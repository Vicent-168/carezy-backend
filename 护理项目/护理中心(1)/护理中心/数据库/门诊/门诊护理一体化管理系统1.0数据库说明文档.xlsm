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0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1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2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3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4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15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16.xml" ContentType="application/vnd.openxmlformats-officedocument.spreadsheetml.comments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17.xml" ContentType="application/vnd.openxmlformats-officedocument.spreadsheetml.comments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18.xml" ContentType="application/vnd.openxmlformats-officedocument.spreadsheetml.comment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19.xml" ContentType="application/vnd.openxmlformats-officedocument.spreadsheetml.comments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0.xml" ContentType="application/vnd.openxmlformats-officedocument.spreadsheetml.comments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1.xml" ContentType="application/vnd.openxmlformats-officedocument.spreadsheetml.comments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2.xml" ContentType="application/vnd.openxmlformats-officedocument.spreadsheetml.comments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3.xml" ContentType="application/vnd.openxmlformats-officedocument.spreadsheetml.comments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4.xml" ContentType="application/vnd.openxmlformats-officedocument.spreadsheetml.comments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25.xml" ContentType="application/vnd.openxmlformats-officedocument.spreadsheetml.comments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26.xml" ContentType="application/vnd.openxmlformats-officedocument.spreadsheetml.comments+xml"/>
  <Override PartName="/xl/drawings/drawing32.xml" ContentType="application/vnd.openxmlformats-officedocument.drawing+xml"/>
  <Override PartName="/xl/ctrlProps/ctrlProp32.xml" ContentType="application/vnd.ms-excel.controlproperties+xml"/>
  <Override PartName="/xl/comments27.xml" ContentType="application/vnd.openxmlformats-officedocument.spreadsheetml.comments+xml"/>
  <Override PartName="/xl/drawings/drawing33.xml" ContentType="application/vnd.openxmlformats-officedocument.drawing+xml"/>
  <Override PartName="/xl/ctrlProps/ctrlProp33.xml" ContentType="application/vnd.ms-excel.controlproperties+xml"/>
  <Override PartName="/xl/comments28.xml" ContentType="application/vnd.openxmlformats-officedocument.spreadsheetml.comments+xml"/>
  <Override PartName="/xl/drawings/drawing34.xml" ContentType="application/vnd.openxmlformats-officedocument.drawing+xml"/>
  <Override PartName="/xl/ctrlProps/ctrlProp34.xml" ContentType="application/vnd.ms-excel.controlproperties+xml"/>
  <Override PartName="/xl/comments29.xml" ContentType="application/vnd.openxmlformats-officedocument.spreadsheetml.comments+xml"/>
  <Override PartName="/xl/drawings/drawing35.xml" ContentType="application/vnd.openxmlformats-officedocument.drawing+xml"/>
  <Override PartName="/xl/ctrlProps/ctrlProp35.xml" ContentType="application/vnd.ms-excel.controlproperties+xml"/>
  <Override PartName="/xl/comments30.xml" ContentType="application/vnd.openxmlformats-officedocument.spreadsheetml.comments+xml"/>
  <Override PartName="/xl/drawings/drawing36.xml" ContentType="application/vnd.openxmlformats-officedocument.drawing+xml"/>
  <Override PartName="/xl/ctrlProps/ctrlProp36.xml" ContentType="application/vnd.ms-excel.controlproperties+xml"/>
  <Override PartName="/xl/comments31.xml" ContentType="application/vnd.openxmlformats-officedocument.spreadsheetml.comments+xml"/>
  <Override PartName="/xl/drawings/drawing37.xml" ContentType="application/vnd.openxmlformats-officedocument.drawing+xml"/>
  <Override PartName="/xl/ctrlProps/ctrlProp37.xml" ContentType="application/vnd.ms-excel.controlproperties+xml"/>
  <Override PartName="/xl/comments3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19420" windowHeight="11020" tabRatio="905" activeTab="12"/>
  </bookViews>
  <sheets>
    <sheet name="修改履历" sheetId="72" r:id="rId1"/>
    <sheet name="目录" sheetId="1" r:id="rId2"/>
    <sheet name="Sheet1" sheetId="167" state="hidden" r:id="rId3"/>
    <sheet name="居民签约信息推送表" sheetId="176" state="hidden" r:id="rId4"/>
    <sheet name="护理通用字典表" sheetId="235" r:id="rId5"/>
    <sheet name="护理通用字典表(数据)" sheetId="236" r:id="rId6"/>
    <sheet name="疾病诊断字典表" sheetId="265" r:id="rId7"/>
    <sheet name="护理记录单文书字典" sheetId="249" r:id="rId8"/>
    <sheet name="护理记录单文书字典(数据)" sheetId="259" r:id="rId9"/>
    <sheet name="护理记录单文书表单字典" sheetId="278" r:id="rId10"/>
    <sheet name="护理记录单文书表单字典(数据)" sheetId="279" r:id="rId11"/>
    <sheet name="护理记录单文书项目字典" sheetId="258" r:id="rId12"/>
    <sheet name="护理记录单文书项目字典(数据)" sheetId="260" r:id="rId13"/>
    <sheet name="护理档案分类记录文书对照表" sheetId="263" r:id="rId14"/>
    <sheet name="护理档案分类指导建议表" sheetId="277" r:id="rId15"/>
    <sheet name="护理档案分类机构对照表" sheetId="270" r:id="rId16"/>
    <sheet name="护理记录模板表" sheetId="268" r:id="rId17"/>
    <sheet name="护理项目字典表" sheetId="233" r:id="rId18"/>
    <sheet name="治疗室表" sheetId="271" r:id="rId19"/>
    <sheet name="护理病人登记信息" sheetId="237" r:id="rId20"/>
    <sheet name="支持中心每日结算表" sheetId="273" r:id="rId21"/>
    <sheet name="护理每日结算表" sheetId="274" r:id="rId22"/>
    <sheet name="病人护理项目医嘱" sheetId="238" r:id="rId23"/>
    <sheet name="病人护理项目执行记录" sheetId="239" r:id="rId24"/>
    <sheet name="病人需求评估" sheetId="246" r:id="rId25"/>
    <sheet name="病人护理项目评估建议" sheetId="247" r:id="rId26"/>
    <sheet name="病人护理记录单文书索引表" sheetId="248" r:id="rId27"/>
    <sheet name="病人护理记录单明细项表" sheetId="250" r:id="rId28"/>
    <sheet name="图片影像存储表" sheetId="262" r:id="rId29"/>
    <sheet name="既往病史评估表_手术史" sheetId="255" r:id="rId30"/>
    <sheet name="既往病史评估表_过敏史" sheetId="256" r:id="rId31"/>
    <sheet name="既往病史评估表_家族史" sheetId="257" r:id="rId32"/>
    <sheet name="糖尿病随访记录单_服药情况" sheetId="261" r:id="rId33"/>
    <sheet name="居家营养方案_营养补充剂" sheetId="269" r:id="rId34"/>
    <sheet name="手指血糖监测记录单_用药情况" sheetId="282" r:id="rId35"/>
    <sheet name="手指血糖监测记录单_运动情况" sheetId="283" r:id="rId36"/>
    <sheet name="慢阻肺护理记录单_雾化吸入" sheetId="286" r:id="rId37"/>
    <sheet name="持续疼痛评估表_处方药使用情况" sheetId="287" r:id="rId38"/>
    <sheet name="医师病人关注表" sheetId="266" r:id="rId39"/>
    <sheet name="打印记录表" sheetId="254" r:id="rId40"/>
    <sheet name="Sheet7" sheetId="253" r:id="rId41"/>
  </sheets>
  <functionGroups builtInGroupCount="17"/>
  <externalReferences>
    <externalReference r:id="rId42"/>
  </externalReferences>
  <definedNames>
    <definedName name="_xlnm._FilterDatabase" localSheetId="10" hidden="1">'护理记录单文书表单字典(数据)'!$A$3:$P$3</definedName>
    <definedName name="_xlnm._FilterDatabase" localSheetId="12" hidden="1">'护理记录单文书项目字典(数据)'!$A$3:$N$412</definedName>
    <definedName name="_xlnm._FilterDatabase" localSheetId="8" hidden="1">'护理记录单文书字典(数据)'!$A$3:$O$460</definedName>
    <definedName name="_xlnm._FilterDatabase" localSheetId="5" hidden="1">'护理通用字典表(数据)'!$A$3:$O$62</definedName>
    <definedName name="HTML_CodePage" hidden="1">932</definedName>
    <definedName name="HTML_Control" localSheetId="27" hidden="1">{"'CORBAｸﾗｲｱﾝﾄ ﾘﾀｰﾝｺｰﾄﾞ (html用)'!$A$1:$D$26"}</definedName>
    <definedName name="HTML_Control" localSheetId="26" hidden="1">{"'CORBAｸﾗｲｱﾝﾄ ﾘﾀｰﾝｺｰﾄﾞ (html用)'!$A$1:$D$26"}</definedName>
    <definedName name="HTML_Control" localSheetId="37" hidden="1">{"'CORBAｸﾗｲｱﾝﾄ ﾘﾀｰﾝｺｰﾄﾞ (html用)'!$A$1:$D$26"}</definedName>
    <definedName name="HTML_Control" localSheetId="39" hidden="1">{"'CORBAｸﾗｲｱﾝﾄ ﾘﾀｰﾝｺｰﾄﾞ (html用)'!$A$1:$D$26"}</definedName>
    <definedName name="HTML_Control" localSheetId="15" hidden="1">{"'CORBAｸﾗｲｱﾝﾄ ﾘﾀｰﾝｺｰﾄﾞ (html用)'!$A$1:$D$26"}</definedName>
    <definedName name="HTML_Control" localSheetId="13" hidden="1">{"'CORBAｸﾗｲｱﾝﾄ ﾘﾀｰﾝｺｰﾄﾞ (html用)'!$A$1:$D$26"}</definedName>
    <definedName name="HTML_Control" localSheetId="14" hidden="1">{"'CORBAｸﾗｲｱﾝﾄ ﾘﾀｰﾝｺｰﾄﾞ (html用)'!$A$1:$D$26"}</definedName>
    <definedName name="HTML_Control" localSheetId="9" hidden="1">{"'CORBAｸﾗｲｱﾝﾄ ﾘﾀｰﾝｺｰﾄﾞ (html用)'!$A$1:$D$26"}</definedName>
    <definedName name="HTML_Control" localSheetId="10" hidden="1">{"'CORBAｸﾗｲｱﾝﾄ ﾘﾀｰﾝｺｰﾄﾞ (html用)'!$A$1:$D$26"}</definedName>
    <definedName name="HTML_Control" localSheetId="11" hidden="1">{"'CORBAｸﾗｲｱﾝﾄ ﾘﾀｰﾝｺｰﾄﾞ (html用)'!$A$1:$D$26"}</definedName>
    <definedName name="HTML_Control" localSheetId="12" hidden="1">{"'CORBAｸﾗｲｱﾝﾄ ﾘﾀｰﾝｺｰﾄﾞ (html用)'!$A$1:$D$26"}</definedName>
    <definedName name="HTML_Control" localSheetId="7" hidden="1">{"'CORBAｸﾗｲｱﾝﾄ ﾘﾀｰﾝｺｰﾄﾞ (html用)'!$A$1:$D$26"}</definedName>
    <definedName name="HTML_Control" localSheetId="8" hidden="1">{"'CORBAｸﾗｲｱﾝﾄ ﾘﾀｰﾝｺｰﾄﾞ (html用)'!$A$1:$D$26"}</definedName>
    <definedName name="HTML_Control" localSheetId="16" hidden="1">{"'CORBAｸﾗｲｱﾝﾄ ﾘﾀｰﾝｺｰﾄﾞ (html用)'!$A$1:$D$26"}</definedName>
    <definedName name="HTML_Control" localSheetId="6" hidden="1">{"'CORBAｸﾗｲｱﾝﾄ ﾘﾀｰﾝｺｰﾄﾞ (html用)'!$A$1:$D$26"}</definedName>
    <definedName name="HTML_Control" localSheetId="30" hidden="1">{"'CORBAｸﾗｲｱﾝﾄ ﾘﾀｰﾝｺｰﾄﾞ (html用)'!$A$1:$D$26"}</definedName>
    <definedName name="HTML_Control" localSheetId="31" hidden="1">{"'CORBAｸﾗｲｱﾝﾄ ﾘﾀｰﾝｺｰﾄﾞ (html用)'!$A$1:$D$26"}</definedName>
    <definedName name="HTML_Control" localSheetId="29" hidden="1">{"'CORBAｸﾗｲｱﾝﾄ ﾘﾀｰﾝｺｰﾄﾞ (html用)'!$A$1:$D$26"}</definedName>
    <definedName name="HTML_Control" localSheetId="33" hidden="1">{"'CORBAｸﾗｲｱﾝﾄ ﾘﾀｰﾝｺｰﾄﾞ (html用)'!$A$1:$D$26"}</definedName>
    <definedName name="HTML_Control" localSheetId="36" hidden="1">{"'CORBAｸﾗｲｱﾝﾄ ﾘﾀｰﾝｺｰﾄﾞ (html用)'!$A$1:$D$26"}</definedName>
    <definedName name="HTML_Control" localSheetId="34" hidden="1">{"'CORBAｸﾗｲｱﾝﾄ ﾘﾀｰﾝｺｰﾄﾞ (html用)'!$A$1:$D$26"}</definedName>
    <definedName name="HTML_Control" localSheetId="35" hidden="1">{"'CORBAｸﾗｲｱﾝﾄ ﾘﾀｰﾝｺｰﾄﾞ (html用)'!$A$1:$D$26"}</definedName>
    <definedName name="HTML_Control" localSheetId="32" hidden="1">{"'CORBAｸﾗｲｱﾝﾄ ﾘﾀｰﾝｺｰﾄﾞ (html用)'!$A$1:$D$26"}</definedName>
    <definedName name="HTML_Control" localSheetId="28" hidden="1">{"'CORBAｸﾗｲｱﾝﾄ ﾘﾀｰﾝｺｰﾄﾞ (html用)'!$A$1:$D$26"}</definedName>
    <definedName name="HTML_Control" localSheetId="38" hidden="1">{"'CORBAｸﾗｲｱﾝﾄ ﾘﾀｰﾝｺｰﾄﾞ (html用)'!$A$1:$D$26"}</definedName>
    <definedName name="HTML_Control" localSheetId="18" hidden="1">{"'CORBAｸﾗｲｱﾝﾄ ﾘﾀｰﾝｺｰﾄﾞ (html用)'!$A$1:$D$26"}</definedName>
    <definedName name="HTML_Control" hidden="1">{"'CORBAｸﾗｲｱﾝﾄ ﾘﾀｰﾝｺｰﾄﾞ (html用)'!$A$1:$D$26"}</definedName>
    <definedName name="HTML_Description" hidden="1">""</definedName>
    <definedName name="HTML_Email" hidden="1">""</definedName>
    <definedName name="HTML_Header" hidden="1">"CORBAｸﾗｲｱﾝﾄ ﾘﾀｰﾝｺｰﾄﾞ (html用)"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"C:\WINDOWS\ﾃﾞｽｸﾄｯﾌﾟ\Clrtncd.htm"</definedName>
    <definedName name="HTML_Title" hidden="1">"ReturnCode"</definedName>
    <definedName name="list" localSheetId="27">#REF!</definedName>
    <definedName name="list" localSheetId="26">#REF!</definedName>
    <definedName name="list" localSheetId="25">#REF!</definedName>
    <definedName name="list" localSheetId="22">#REF!</definedName>
    <definedName name="list" localSheetId="23">#REF!</definedName>
    <definedName name="list" localSheetId="24">#REF!</definedName>
    <definedName name="list" localSheetId="37">#REF!</definedName>
    <definedName name="list" localSheetId="39">#REF!</definedName>
    <definedName name="list" localSheetId="19">#REF!</definedName>
    <definedName name="list" localSheetId="15">#REF!</definedName>
    <definedName name="list" localSheetId="13">#REF!</definedName>
    <definedName name="list" localSheetId="14">#REF!</definedName>
    <definedName name="list" localSheetId="9">#REF!</definedName>
    <definedName name="list" localSheetId="10">#REF!</definedName>
    <definedName name="list" localSheetId="11">#REF!</definedName>
    <definedName name="list" localSheetId="12">#REF!</definedName>
    <definedName name="list" localSheetId="7">#REF!</definedName>
    <definedName name="list" localSheetId="8">#REF!</definedName>
    <definedName name="list" localSheetId="16">#REF!</definedName>
    <definedName name="list" localSheetId="21">#REF!</definedName>
    <definedName name="list" localSheetId="4">#REF!</definedName>
    <definedName name="list" localSheetId="5">#REF!</definedName>
    <definedName name="list" localSheetId="17">#REF!</definedName>
    <definedName name="list" localSheetId="6">#REF!</definedName>
    <definedName name="list" localSheetId="30">#REF!</definedName>
    <definedName name="list" localSheetId="31">#REF!</definedName>
    <definedName name="list" localSheetId="29">#REF!</definedName>
    <definedName name="list" localSheetId="33">#REF!</definedName>
    <definedName name="list" localSheetId="36">#REF!</definedName>
    <definedName name="list" localSheetId="34">#REF!</definedName>
    <definedName name="list" localSheetId="35">#REF!</definedName>
    <definedName name="list" localSheetId="32">#REF!</definedName>
    <definedName name="list" localSheetId="28">#REF!</definedName>
    <definedName name="list" localSheetId="38">#REF!</definedName>
    <definedName name="list" localSheetId="20">#REF!</definedName>
    <definedName name="list" localSheetId="18">#REF!</definedName>
    <definedName name="list">#REF!</definedName>
    <definedName name="OLE_LINK3" localSheetId="0">修改履历!#REF!</definedName>
    <definedName name="Print_Area_MI" localSheetId="27">#REF!</definedName>
    <definedName name="Print_Area_MI" localSheetId="26">#REF!</definedName>
    <definedName name="Print_Area_MI" localSheetId="25">#REF!</definedName>
    <definedName name="Print_Area_MI" localSheetId="22">#REF!</definedName>
    <definedName name="Print_Area_MI" localSheetId="23">#REF!</definedName>
    <definedName name="Print_Area_MI" localSheetId="24">#REF!</definedName>
    <definedName name="Print_Area_MI" localSheetId="37">#REF!</definedName>
    <definedName name="Print_Area_MI" localSheetId="39">#REF!</definedName>
    <definedName name="Print_Area_MI" localSheetId="19">#REF!</definedName>
    <definedName name="Print_Area_MI" localSheetId="15">#REF!</definedName>
    <definedName name="Print_Area_MI" localSheetId="13">#REF!</definedName>
    <definedName name="Print_Area_MI" localSheetId="14">#REF!</definedName>
    <definedName name="Print_Area_MI" localSheetId="9">#REF!</definedName>
    <definedName name="Print_Area_MI" localSheetId="10">#REF!</definedName>
    <definedName name="Print_Area_MI" localSheetId="11">#REF!</definedName>
    <definedName name="Print_Area_MI" localSheetId="12">#REF!</definedName>
    <definedName name="Print_Area_MI" localSheetId="7">#REF!</definedName>
    <definedName name="Print_Area_MI" localSheetId="8">#REF!</definedName>
    <definedName name="Print_Area_MI" localSheetId="16">#REF!</definedName>
    <definedName name="Print_Area_MI" localSheetId="21">#REF!</definedName>
    <definedName name="Print_Area_MI" localSheetId="4">#REF!</definedName>
    <definedName name="Print_Area_MI" localSheetId="5">#REF!</definedName>
    <definedName name="Print_Area_MI" localSheetId="17">#REF!</definedName>
    <definedName name="Print_Area_MI" localSheetId="6">#REF!</definedName>
    <definedName name="Print_Area_MI" localSheetId="30">#REF!</definedName>
    <definedName name="Print_Area_MI" localSheetId="31">#REF!</definedName>
    <definedName name="Print_Area_MI" localSheetId="29">#REF!</definedName>
    <definedName name="Print_Area_MI" localSheetId="33">#REF!</definedName>
    <definedName name="Print_Area_MI" localSheetId="36">#REF!</definedName>
    <definedName name="Print_Area_MI" localSheetId="34">#REF!</definedName>
    <definedName name="Print_Area_MI" localSheetId="35">#REF!</definedName>
    <definedName name="Print_Area_MI" localSheetId="32">#REF!</definedName>
    <definedName name="Print_Area_MI" localSheetId="28">#REF!</definedName>
    <definedName name="Print_Area_MI" localSheetId="38">#REF!</definedName>
    <definedName name="Print_Area_MI" localSheetId="20">#REF!</definedName>
    <definedName name="Print_Area_MI" localSheetId="18">#REF!</definedName>
    <definedName name="Print_Area_MI">#REF!</definedName>
    <definedName name="Print_Titles_2">[1]ヘッダ!$A$1:$IV$6</definedName>
    <definedName name="Print_Titles_M">[1]ヘッダ!$A$1:$IV$6</definedName>
    <definedName name="Print_Titles_MI" localSheetId="27">#REF!</definedName>
    <definedName name="Print_Titles_MI" localSheetId="26">#REF!</definedName>
    <definedName name="Print_Titles_MI" localSheetId="25">#REF!</definedName>
    <definedName name="Print_Titles_MI" localSheetId="22">#REF!</definedName>
    <definedName name="Print_Titles_MI" localSheetId="23">#REF!</definedName>
    <definedName name="Print_Titles_MI" localSheetId="24">#REF!</definedName>
    <definedName name="Print_Titles_MI" localSheetId="37">#REF!</definedName>
    <definedName name="Print_Titles_MI" localSheetId="39">#REF!</definedName>
    <definedName name="Print_Titles_MI" localSheetId="19">#REF!</definedName>
    <definedName name="Print_Titles_MI" localSheetId="15">#REF!</definedName>
    <definedName name="Print_Titles_MI" localSheetId="13">#REF!</definedName>
    <definedName name="Print_Titles_MI" localSheetId="14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12">#REF!</definedName>
    <definedName name="Print_Titles_MI" localSheetId="7">#REF!</definedName>
    <definedName name="Print_Titles_MI" localSheetId="8">#REF!</definedName>
    <definedName name="Print_Titles_MI" localSheetId="16">#REF!</definedName>
    <definedName name="Print_Titles_MI" localSheetId="21">#REF!</definedName>
    <definedName name="Print_Titles_MI" localSheetId="4">#REF!</definedName>
    <definedName name="Print_Titles_MI" localSheetId="5">#REF!</definedName>
    <definedName name="Print_Titles_MI" localSheetId="17">#REF!</definedName>
    <definedName name="Print_Titles_MI" localSheetId="6">#REF!</definedName>
    <definedName name="Print_Titles_MI" localSheetId="30">#REF!</definedName>
    <definedName name="Print_Titles_MI" localSheetId="31">#REF!</definedName>
    <definedName name="Print_Titles_MI" localSheetId="29">#REF!</definedName>
    <definedName name="Print_Titles_MI" localSheetId="33">#REF!</definedName>
    <definedName name="Print_Titles_MI" localSheetId="36">#REF!</definedName>
    <definedName name="Print_Titles_MI" localSheetId="34">#REF!</definedName>
    <definedName name="Print_Titles_MI" localSheetId="35">#REF!</definedName>
    <definedName name="Print_Titles_MI" localSheetId="32">#REF!</definedName>
    <definedName name="Print_Titles_MI" localSheetId="28">#REF!</definedName>
    <definedName name="Print_Titles_MI" localSheetId="38">#REF!</definedName>
    <definedName name="Print_Titles_MI" localSheetId="20">#REF!</definedName>
    <definedName name="Print_Titles_MI" localSheetId="18">#REF!</definedName>
    <definedName name="Print_Titles_MI">#REF!</definedName>
    <definedName name="SA" localSheetId="27" hidden="1">{"'CORBAｸﾗｲｱﾝﾄ ﾘﾀｰﾝｺｰﾄﾞ (html用)'!$A$1:$D$26"}</definedName>
    <definedName name="SA" localSheetId="26" hidden="1">{"'CORBAｸﾗｲｱﾝﾄ ﾘﾀｰﾝｺｰﾄﾞ (html用)'!$A$1:$D$26"}</definedName>
    <definedName name="SA" localSheetId="37" hidden="1">{"'CORBAｸﾗｲｱﾝﾄ ﾘﾀｰﾝｺｰﾄﾞ (html用)'!$A$1:$D$26"}</definedName>
    <definedName name="SA" localSheetId="39" hidden="1">{"'CORBAｸﾗｲｱﾝﾄ ﾘﾀｰﾝｺｰﾄﾞ (html用)'!$A$1:$D$26"}</definedName>
    <definedName name="SA" localSheetId="15" hidden="1">{"'CORBAｸﾗｲｱﾝﾄ ﾘﾀｰﾝｺｰﾄﾞ (html用)'!$A$1:$D$26"}</definedName>
    <definedName name="SA" localSheetId="13" hidden="1">{"'CORBAｸﾗｲｱﾝﾄ ﾘﾀｰﾝｺｰﾄﾞ (html用)'!$A$1:$D$26"}</definedName>
    <definedName name="SA" localSheetId="14" hidden="1">{"'CORBAｸﾗｲｱﾝﾄ ﾘﾀｰﾝｺｰﾄﾞ (html用)'!$A$1:$D$26"}</definedName>
    <definedName name="SA" localSheetId="9" hidden="1">{"'CORBAｸﾗｲｱﾝﾄ ﾘﾀｰﾝｺｰﾄﾞ (html用)'!$A$1:$D$26"}</definedName>
    <definedName name="SA" localSheetId="10" hidden="1">{"'CORBAｸﾗｲｱﾝﾄ ﾘﾀｰﾝｺｰﾄﾞ (html用)'!$A$1:$D$26"}</definedName>
    <definedName name="SA" localSheetId="11" hidden="1">{"'CORBAｸﾗｲｱﾝﾄ ﾘﾀｰﾝｺｰﾄﾞ (html用)'!$A$1:$D$26"}</definedName>
    <definedName name="SA" localSheetId="12" hidden="1">{"'CORBAｸﾗｲｱﾝﾄ ﾘﾀｰﾝｺｰﾄﾞ (html用)'!$A$1:$D$26"}</definedName>
    <definedName name="SA" localSheetId="7" hidden="1">{"'CORBAｸﾗｲｱﾝﾄ ﾘﾀｰﾝｺｰﾄﾞ (html用)'!$A$1:$D$26"}</definedName>
    <definedName name="SA" localSheetId="8" hidden="1">{"'CORBAｸﾗｲｱﾝﾄ ﾘﾀｰﾝｺｰﾄﾞ (html用)'!$A$1:$D$26"}</definedName>
    <definedName name="SA" localSheetId="16" hidden="1">{"'CORBAｸﾗｲｱﾝﾄ ﾘﾀｰﾝｺｰﾄﾞ (html用)'!$A$1:$D$26"}</definedName>
    <definedName name="SA" localSheetId="6" hidden="1">{"'CORBAｸﾗｲｱﾝﾄ ﾘﾀｰﾝｺｰﾄﾞ (html用)'!$A$1:$D$26"}</definedName>
    <definedName name="SA" localSheetId="30" hidden="1">{"'CORBAｸﾗｲｱﾝﾄ ﾘﾀｰﾝｺｰﾄﾞ (html用)'!$A$1:$D$26"}</definedName>
    <definedName name="SA" localSheetId="31" hidden="1">{"'CORBAｸﾗｲｱﾝﾄ ﾘﾀｰﾝｺｰﾄﾞ (html用)'!$A$1:$D$26"}</definedName>
    <definedName name="SA" localSheetId="29" hidden="1">{"'CORBAｸﾗｲｱﾝﾄ ﾘﾀｰﾝｺｰﾄﾞ (html用)'!$A$1:$D$26"}</definedName>
    <definedName name="SA" localSheetId="33" hidden="1">{"'CORBAｸﾗｲｱﾝﾄ ﾘﾀｰﾝｺｰﾄﾞ (html用)'!$A$1:$D$26"}</definedName>
    <definedName name="SA" localSheetId="36" hidden="1">{"'CORBAｸﾗｲｱﾝﾄ ﾘﾀｰﾝｺｰﾄﾞ (html用)'!$A$1:$D$26"}</definedName>
    <definedName name="SA" localSheetId="34" hidden="1">{"'CORBAｸﾗｲｱﾝﾄ ﾘﾀｰﾝｺｰﾄﾞ (html用)'!$A$1:$D$26"}</definedName>
    <definedName name="SA" localSheetId="35" hidden="1">{"'CORBAｸﾗｲｱﾝﾄ ﾘﾀｰﾝｺｰﾄﾞ (html用)'!$A$1:$D$26"}</definedName>
    <definedName name="SA" localSheetId="32" hidden="1">{"'CORBAｸﾗｲｱﾝﾄ ﾘﾀｰﾝｺｰﾄﾞ (html用)'!$A$1:$D$26"}</definedName>
    <definedName name="SA" localSheetId="28" hidden="1">{"'CORBAｸﾗｲｱﾝﾄ ﾘﾀｰﾝｺｰﾄﾞ (html用)'!$A$1:$D$26"}</definedName>
    <definedName name="SA" localSheetId="38" hidden="1">{"'CORBAｸﾗｲｱﾝﾄ ﾘﾀｰﾝｺｰﾄﾞ (html用)'!$A$1:$D$26"}</definedName>
    <definedName name="SA" localSheetId="18" hidden="1">{"'CORBAｸﾗｲｱﾝﾄ ﾘﾀｰﾝｺｰﾄﾞ (html用)'!$A$1:$D$26"}</definedName>
    <definedName name="SA" hidden="1">{"'CORBAｸﾗｲｱﾝﾄ ﾘﾀｰﾝｺｰﾄﾞ (html用)'!$A$1:$D$26"}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279" l="1"/>
  <c r="B1429" i="279"/>
  <c r="B1428" i="279"/>
  <c r="B1427" i="279"/>
  <c r="B1426" i="279"/>
  <c r="B1425" i="279"/>
  <c r="B1424" i="279"/>
  <c r="B1423" i="279"/>
  <c r="B1422" i="279"/>
  <c r="B1421" i="279"/>
  <c r="B1420" i="279"/>
  <c r="B1419" i="279"/>
  <c r="B1418" i="279"/>
  <c r="B1417" i="279"/>
  <c r="B1416" i="279"/>
  <c r="B1415" i="279"/>
  <c r="B1414" i="279"/>
  <c r="B1413" i="279"/>
  <c r="B1412" i="279"/>
  <c r="B1411" i="279"/>
  <c r="B1410" i="279"/>
  <c r="B1409" i="279"/>
  <c r="B1408" i="279"/>
  <c r="B1407" i="279"/>
  <c r="B1406" i="279"/>
  <c r="B1405" i="279"/>
  <c r="B1404" i="279"/>
  <c r="B1403" i="279"/>
  <c r="B1402" i="279"/>
  <c r="B1401" i="279"/>
  <c r="B1400" i="279"/>
  <c r="B1399" i="279"/>
  <c r="B1398" i="279"/>
  <c r="B1397" i="279"/>
  <c r="B1396" i="279"/>
  <c r="B1395" i="279"/>
  <c r="B1394" i="279"/>
  <c r="B1393" i="279"/>
  <c r="B1392" i="279"/>
  <c r="B1391" i="279"/>
  <c r="B1390" i="279"/>
  <c r="B1389" i="279"/>
  <c r="B1388" i="279"/>
  <c r="B1387" i="279"/>
  <c r="B1386" i="279"/>
  <c r="B1385" i="279"/>
  <c r="B1384" i="279"/>
  <c r="B1383" i="279"/>
  <c r="B1382" i="279"/>
  <c r="B1381" i="279"/>
  <c r="B1380" i="279"/>
  <c r="B1379" i="279"/>
  <c r="B1378" i="279"/>
  <c r="B1377" i="279"/>
  <c r="B1376" i="279"/>
  <c r="B1375" i="279"/>
  <c r="B1374" i="279"/>
  <c r="B1373" i="279"/>
  <c r="B1372" i="279"/>
  <c r="B1371" i="279"/>
  <c r="B1370" i="279"/>
  <c r="B1369" i="279"/>
  <c r="B1368" i="279"/>
  <c r="B1367" i="279"/>
  <c r="B1366" i="279"/>
  <c r="B1365" i="279"/>
  <c r="B1364" i="279"/>
  <c r="B1363" i="279"/>
  <c r="B1362" i="279"/>
  <c r="B1361" i="279"/>
  <c r="B1360" i="279"/>
  <c r="B1359" i="279"/>
  <c r="B1358" i="279"/>
  <c r="B1357" i="279"/>
  <c r="B1356" i="279"/>
  <c r="B1355" i="279"/>
  <c r="B1354" i="279"/>
  <c r="B1353" i="279"/>
  <c r="B1352" i="279"/>
  <c r="B1351" i="279"/>
  <c r="B1350" i="279"/>
  <c r="B1349" i="279"/>
  <c r="B1348" i="279"/>
  <c r="B1347" i="279"/>
  <c r="B1346" i="279"/>
  <c r="B1345" i="279"/>
  <c r="B1344" i="279"/>
  <c r="B1343" i="279"/>
  <c r="B1342" i="279"/>
  <c r="B1341" i="279"/>
  <c r="B1340" i="279"/>
  <c r="B1339" i="279"/>
  <c r="B1338" i="279"/>
  <c r="B1337" i="279"/>
  <c r="B1336" i="279"/>
  <c r="B1335" i="279"/>
  <c r="B1334" i="279"/>
  <c r="B1333" i="279"/>
  <c r="B1332" i="279"/>
  <c r="B1331" i="279"/>
  <c r="B1330" i="279"/>
  <c r="B1329" i="279"/>
  <c r="B1328" i="279"/>
  <c r="B1327" i="279"/>
  <c r="B1326" i="279"/>
  <c r="B1325" i="279"/>
  <c r="B1324" i="279"/>
  <c r="B1323" i="279"/>
  <c r="B1322" i="279"/>
  <c r="B1321" i="279"/>
  <c r="B1320" i="279"/>
  <c r="B1319" i="279"/>
  <c r="B1318" i="279"/>
  <c r="B1317" i="279"/>
  <c r="B1316" i="279"/>
  <c r="B1315" i="279"/>
  <c r="B1314" i="279"/>
  <c r="B1313" i="279"/>
  <c r="B1312" i="279"/>
  <c r="B1311" i="279"/>
  <c r="B1310" i="279"/>
  <c r="B1309" i="279"/>
  <c r="B1308" i="279"/>
  <c r="B1307" i="279"/>
  <c r="B1306" i="279"/>
  <c r="B1305" i="279"/>
  <c r="B1304" i="279"/>
  <c r="B1303" i="279"/>
  <c r="B1302" i="279"/>
  <c r="B1301" i="279"/>
  <c r="B1300" i="279"/>
  <c r="B1299" i="279"/>
  <c r="B1298" i="279"/>
  <c r="B1297" i="279"/>
  <c r="B1296" i="279"/>
  <c r="B1295" i="279"/>
  <c r="B1294" i="279"/>
  <c r="B1293" i="279"/>
  <c r="B1292" i="279"/>
  <c r="B1291" i="279"/>
  <c r="B1290" i="279"/>
  <c r="B1289" i="279"/>
  <c r="B1288" i="279"/>
  <c r="B1287" i="279"/>
  <c r="B1286" i="279"/>
  <c r="B1285" i="279"/>
  <c r="B1284" i="279"/>
  <c r="B1283" i="279"/>
  <c r="B1282" i="279"/>
  <c r="B1281" i="279"/>
  <c r="B1280" i="279"/>
  <c r="B1279" i="279"/>
  <c r="B1278" i="279"/>
  <c r="B1277" i="279"/>
  <c r="B1276" i="279"/>
  <c r="B1275" i="279"/>
  <c r="B1274" i="279"/>
  <c r="B1273" i="279"/>
  <c r="B1272" i="279"/>
  <c r="B1271" i="279"/>
  <c r="B1270" i="279"/>
  <c r="B1269" i="279"/>
  <c r="B1268" i="279"/>
  <c r="B1267" i="279"/>
  <c r="B1266" i="279"/>
  <c r="B1265" i="279"/>
  <c r="B1264" i="279"/>
  <c r="B1263" i="279"/>
  <c r="B1262" i="279"/>
  <c r="B1261" i="279"/>
  <c r="B1260" i="279"/>
  <c r="B1259" i="279"/>
  <c r="B1258" i="279"/>
  <c r="B1257" i="279"/>
  <c r="B1256" i="279"/>
  <c r="B1255" i="279"/>
  <c r="B1254" i="279"/>
  <c r="B1253" i="279"/>
  <c r="B1252" i="279"/>
  <c r="B1251" i="279"/>
  <c r="B1250" i="279"/>
  <c r="B1249" i="279"/>
  <c r="B1248" i="279"/>
  <c r="B1247" i="279"/>
  <c r="B1246" i="279"/>
  <c r="B1245" i="279"/>
  <c r="B1244" i="279"/>
  <c r="B1243" i="279"/>
  <c r="B1242" i="279"/>
  <c r="B1241" i="279"/>
  <c r="B1240" i="279"/>
  <c r="B1239" i="279"/>
  <c r="B1238" i="279"/>
  <c r="B1237" i="279"/>
  <c r="B1236" i="279"/>
  <c r="B1235" i="279"/>
  <c r="B1234" i="279"/>
  <c r="B1233" i="279"/>
  <c r="B1232" i="279"/>
  <c r="B1231" i="279"/>
  <c r="B1230" i="279"/>
  <c r="B1229" i="279"/>
  <c r="B1228" i="279"/>
  <c r="B1227" i="279"/>
  <c r="B1226" i="279"/>
  <c r="B1225" i="279"/>
  <c r="B1224" i="279"/>
  <c r="B1223" i="279"/>
  <c r="B1222" i="279"/>
  <c r="B1221" i="279"/>
  <c r="B1220" i="279"/>
  <c r="B1219" i="279"/>
  <c r="B1218" i="279"/>
  <c r="B1217" i="279"/>
  <c r="B1216" i="279"/>
  <c r="B1215" i="279"/>
  <c r="B1214" i="279"/>
  <c r="B1213" i="279"/>
  <c r="B1212" i="279"/>
  <c r="B1211" i="279"/>
  <c r="B1210" i="279"/>
  <c r="B1209" i="279"/>
  <c r="B1208" i="279"/>
  <c r="B1207" i="279"/>
  <c r="B1206" i="279"/>
  <c r="B1205" i="279"/>
  <c r="B1204" i="279"/>
  <c r="B1203" i="279"/>
  <c r="B1202" i="279"/>
  <c r="B1201" i="279"/>
  <c r="B1200" i="279"/>
  <c r="B1199" i="279"/>
  <c r="B1198" i="279"/>
  <c r="B1197" i="279"/>
  <c r="B1196" i="279"/>
  <c r="B1195" i="279"/>
  <c r="B1194" i="279"/>
  <c r="B1193" i="279"/>
  <c r="B1192" i="279"/>
  <c r="B1191" i="279"/>
  <c r="B1190" i="279"/>
  <c r="B1189" i="279"/>
  <c r="B1188" i="279"/>
  <c r="B1187" i="279"/>
  <c r="B1186" i="279"/>
  <c r="B1185" i="279"/>
  <c r="B1184" i="279"/>
  <c r="B1183" i="279"/>
  <c r="B1182" i="279"/>
  <c r="B1181" i="279"/>
  <c r="B1180" i="279"/>
  <c r="B1179" i="279"/>
  <c r="B1178" i="279"/>
  <c r="B1177" i="279"/>
  <c r="B1176" i="279"/>
  <c r="B1175" i="279"/>
  <c r="B1174" i="279"/>
  <c r="B1173" i="279"/>
  <c r="B1172" i="279"/>
  <c r="B1171" i="279"/>
  <c r="B1170" i="279"/>
  <c r="B1169" i="279"/>
  <c r="B1168" i="279"/>
  <c r="B1167" i="279"/>
  <c r="B1166" i="279"/>
  <c r="B1165" i="279"/>
  <c r="B1164" i="279"/>
  <c r="B1163" i="279"/>
  <c r="B1162" i="279"/>
  <c r="B1161" i="279"/>
  <c r="B1160" i="279"/>
  <c r="B1159" i="279"/>
  <c r="B1158" i="279"/>
  <c r="B1157" i="279"/>
  <c r="B1156" i="279"/>
  <c r="B1155" i="279"/>
  <c r="B1154" i="279"/>
  <c r="B1153" i="279"/>
  <c r="B1152" i="279"/>
  <c r="B1151" i="279"/>
  <c r="B1150" i="279"/>
  <c r="B1149" i="279"/>
  <c r="B1148" i="279"/>
  <c r="B1147" i="279"/>
  <c r="B1146" i="279"/>
  <c r="B1145" i="279"/>
  <c r="B1144" i="279"/>
  <c r="B1143" i="279"/>
  <c r="B1142" i="279"/>
  <c r="B1141" i="279"/>
  <c r="B1140" i="279"/>
  <c r="B1139" i="279"/>
  <c r="B1138" i="279"/>
  <c r="B1137" i="279"/>
  <c r="B1136" i="279"/>
  <c r="B1135" i="279"/>
  <c r="B1134" i="279"/>
  <c r="B1133" i="279"/>
  <c r="B1132" i="279"/>
  <c r="B1131" i="279"/>
  <c r="B1130" i="279"/>
  <c r="B1129" i="279"/>
  <c r="B1128" i="279"/>
  <c r="B1127" i="279"/>
  <c r="B1126" i="279"/>
  <c r="B1125" i="279"/>
  <c r="B1124" i="279"/>
  <c r="B1123" i="279"/>
  <c r="B1122" i="279"/>
  <c r="B1121" i="279"/>
  <c r="B1120" i="279"/>
  <c r="B1119" i="279"/>
  <c r="B1118" i="279"/>
  <c r="B1117" i="279"/>
  <c r="B1116" i="279"/>
  <c r="B1115" i="279"/>
  <c r="B1114" i="279"/>
  <c r="B1113" i="279"/>
  <c r="B1112" i="279"/>
  <c r="B1111" i="279"/>
  <c r="B1110" i="279"/>
  <c r="B1109" i="279"/>
  <c r="B1108" i="279"/>
  <c r="B1107" i="279"/>
  <c r="B1106" i="279"/>
  <c r="B1105" i="279"/>
  <c r="B1104" i="279"/>
  <c r="B1103" i="279"/>
  <c r="B1102" i="279"/>
  <c r="B1101" i="279"/>
  <c r="B1100" i="279"/>
  <c r="B1099" i="279"/>
  <c r="B1098" i="279"/>
  <c r="B1097" i="279"/>
  <c r="B1096" i="279"/>
  <c r="B1095" i="279"/>
  <c r="B1094" i="279"/>
  <c r="B1093" i="279"/>
  <c r="B1092" i="279"/>
  <c r="B1091" i="279"/>
  <c r="B1090" i="279"/>
  <c r="B1089" i="279"/>
  <c r="B1088" i="279"/>
  <c r="B1087" i="279"/>
  <c r="B1086" i="279"/>
  <c r="B1085" i="279"/>
  <c r="B1084" i="279"/>
  <c r="B1083" i="279"/>
  <c r="B1082" i="279"/>
  <c r="B1081" i="279"/>
  <c r="B1080" i="279"/>
  <c r="B1079" i="279"/>
  <c r="B1078" i="279"/>
  <c r="B1077" i="279"/>
  <c r="B1076" i="279"/>
  <c r="B1075" i="279"/>
  <c r="B1074" i="279"/>
  <c r="B1073" i="279"/>
  <c r="B1072" i="279"/>
  <c r="B1071" i="279"/>
  <c r="B1070" i="279"/>
  <c r="B1069" i="279"/>
  <c r="B1068" i="279"/>
  <c r="B1067" i="279"/>
  <c r="B1066" i="279"/>
  <c r="B1065" i="279"/>
  <c r="B1064" i="279"/>
  <c r="B1063" i="279"/>
  <c r="B1062" i="279"/>
  <c r="B1061" i="279"/>
  <c r="B1060" i="279"/>
  <c r="B1059" i="279"/>
  <c r="B1058" i="279"/>
  <c r="B1057" i="279"/>
  <c r="B1056" i="279"/>
  <c r="B1055" i="279"/>
  <c r="B1054" i="279"/>
  <c r="B1053" i="279"/>
  <c r="B1052" i="279"/>
  <c r="B1051" i="279"/>
  <c r="B1050" i="279"/>
  <c r="B1049" i="279"/>
  <c r="B1048" i="279"/>
  <c r="B1047" i="279"/>
  <c r="B1046" i="279"/>
  <c r="B1045" i="279"/>
  <c r="B1044" i="279"/>
  <c r="B1043" i="279"/>
  <c r="B1042" i="279"/>
  <c r="B1041" i="279"/>
  <c r="B1040" i="279"/>
  <c r="B1039" i="279"/>
  <c r="B1038" i="279"/>
  <c r="B1037" i="279"/>
  <c r="B1036" i="279"/>
  <c r="B1035" i="279"/>
  <c r="B1034" i="279"/>
  <c r="B1033" i="279"/>
  <c r="B1032" i="279"/>
  <c r="B1031" i="279"/>
  <c r="B1030" i="279"/>
  <c r="B1029" i="279"/>
  <c r="B1028" i="279"/>
  <c r="B1027" i="279"/>
  <c r="B1026" i="279"/>
  <c r="B1025" i="279"/>
  <c r="B1024" i="279"/>
  <c r="B1023" i="279"/>
  <c r="B1022" i="279"/>
  <c r="B1021" i="279"/>
  <c r="B1020" i="279"/>
  <c r="B1019" i="279"/>
  <c r="B1018" i="279"/>
  <c r="B1017" i="279"/>
  <c r="B1016" i="279"/>
  <c r="B1015" i="279"/>
  <c r="B1014" i="279"/>
  <c r="B1013" i="279"/>
  <c r="B1012" i="279"/>
  <c r="B1011" i="279"/>
  <c r="B1010" i="279"/>
  <c r="B1009" i="279"/>
  <c r="B1008" i="279"/>
  <c r="B1007" i="279"/>
  <c r="B1006" i="279"/>
  <c r="B1005" i="279"/>
  <c r="B1004" i="279"/>
  <c r="B1003" i="279"/>
  <c r="B1002" i="279"/>
  <c r="B1001" i="279"/>
  <c r="B1000" i="279"/>
  <c r="B999" i="279"/>
  <c r="B998" i="279"/>
  <c r="B997" i="279"/>
  <c r="B996" i="279"/>
  <c r="B995" i="279"/>
  <c r="B994" i="279"/>
  <c r="B993" i="279"/>
  <c r="B992" i="279"/>
  <c r="B991" i="279"/>
  <c r="B990" i="279"/>
  <c r="B989" i="279"/>
  <c r="B988" i="279"/>
  <c r="B987" i="279"/>
  <c r="B986" i="279"/>
  <c r="B985" i="279"/>
  <c r="B984" i="279"/>
  <c r="B983" i="279"/>
  <c r="B982" i="279"/>
  <c r="B981" i="279"/>
  <c r="B980" i="279"/>
  <c r="B979" i="279"/>
  <c r="B978" i="279"/>
  <c r="B977" i="279"/>
  <c r="B976" i="279"/>
  <c r="B975" i="279"/>
  <c r="B974" i="279"/>
  <c r="B973" i="279"/>
  <c r="B972" i="279"/>
  <c r="B971" i="279"/>
  <c r="B970" i="279"/>
  <c r="B969" i="279"/>
  <c r="B968" i="279"/>
  <c r="B967" i="279"/>
  <c r="B966" i="279"/>
  <c r="B965" i="279"/>
  <c r="B964" i="279"/>
  <c r="B963" i="279"/>
  <c r="B962" i="279"/>
  <c r="B961" i="279"/>
  <c r="B960" i="279"/>
  <c r="B959" i="279"/>
  <c r="B958" i="279"/>
  <c r="B957" i="279"/>
  <c r="B956" i="279"/>
  <c r="B955" i="279"/>
  <c r="B954" i="279"/>
  <c r="B953" i="279"/>
  <c r="B952" i="279"/>
  <c r="B951" i="279"/>
  <c r="B950" i="279"/>
  <c r="B949" i="279"/>
  <c r="B948" i="279"/>
  <c r="B947" i="279"/>
  <c r="B946" i="279"/>
  <c r="B945" i="279"/>
  <c r="B944" i="279"/>
  <c r="B943" i="279"/>
  <c r="B942" i="279"/>
  <c r="B941" i="279"/>
  <c r="B940" i="279"/>
  <c r="B939" i="279"/>
  <c r="B938" i="279"/>
  <c r="B937" i="279"/>
  <c r="B936" i="279"/>
  <c r="B935" i="279"/>
  <c r="B934" i="279"/>
  <c r="B933" i="279"/>
  <c r="B932" i="279"/>
  <c r="B931" i="279"/>
  <c r="B930" i="279"/>
  <c r="B929" i="279"/>
  <c r="B928" i="279"/>
  <c r="B927" i="279"/>
  <c r="B926" i="279"/>
  <c r="B925" i="279"/>
  <c r="B924" i="279"/>
  <c r="B923" i="279"/>
  <c r="B922" i="279"/>
  <c r="B921" i="279"/>
  <c r="B920" i="279"/>
  <c r="B919" i="279"/>
  <c r="B918" i="279"/>
  <c r="B917" i="279"/>
  <c r="B916" i="279"/>
  <c r="B915" i="279"/>
  <c r="B914" i="279"/>
  <c r="B913" i="279"/>
  <c r="B912" i="279"/>
  <c r="B911" i="279"/>
  <c r="B910" i="279"/>
  <c r="B909" i="279"/>
  <c r="B908" i="279"/>
  <c r="B907" i="279"/>
  <c r="B906" i="279"/>
  <c r="B905" i="279"/>
  <c r="B904" i="279"/>
  <c r="B903" i="279"/>
  <c r="B902" i="279"/>
  <c r="B901" i="279"/>
  <c r="B900" i="279"/>
  <c r="B899" i="279"/>
  <c r="B898" i="279"/>
  <c r="B897" i="279"/>
  <c r="B896" i="279"/>
  <c r="B895" i="279"/>
  <c r="B894" i="279"/>
  <c r="B893" i="279"/>
  <c r="B892" i="279"/>
  <c r="B891" i="279"/>
  <c r="B890" i="279"/>
  <c r="B889" i="279"/>
  <c r="B888" i="279"/>
  <c r="B887" i="279"/>
  <c r="B886" i="279"/>
  <c r="B885" i="279"/>
  <c r="B884" i="279"/>
  <c r="B883" i="279"/>
  <c r="B882" i="279"/>
  <c r="B881" i="279"/>
  <c r="B880" i="279"/>
  <c r="B879" i="279"/>
  <c r="B878" i="279"/>
  <c r="B877" i="279"/>
  <c r="B876" i="279"/>
  <c r="B875" i="279"/>
  <c r="B874" i="279"/>
  <c r="B873" i="279"/>
  <c r="B872" i="279"/>
  <c r="B871" i="279"/>
  <c r="B870" i="279"/>
  <c r="B869" i="279"/>
  <c r="B868" i="279"/>
  <c r="B867" i="279"/>
  <c r="B866" i="279"/>
  <c r="B865" i="279"/>
  <c r="B864" i="279"/>
  <c r="B863" i="279"/>
  <c r="B862" i="279"/>
  <c r="B861" i="279"/>
  <c r="B860" i="279"/>
  <c r="B859" i="279"/>
  <c r="B858" i="279"/>
  <c r="B857" i="279"/>
  <c r="B856" i="279"/>
  <c r="B855" i="279"/>
  <c r="B854" i="279"/>
  <c r="B853" i="279"/>
  <c r="B852" i="279"/>
  <c r="B851" i="279"/>
  <c r="B850" i="279"/>
  <c r="B849" i="279"/>
  <c r="B848" i="279"/>
  <c r="B847" i="279"/>
  <c r="B846" i="279"/>
  <c r="B845" i="279"/>
  <c r="B844" i="279"/>
  <c r="B843" i="279"/>
  <c r="B842" i="279"/>
  <c r="B841" i="279"/>
  <c r="B840" i="279"/>
  <c r="B839" i="279"/>
  <c r="B838" i="279"/>
  <c r="B837" i="279"/>
  <c r="B836" i="279"/>
  <c r="B835" i="279"/>
  <c r="B834" i="279"/>
  <c r="B833" i="279"/>
  <c r="B832" i="279"/>
  <c r="B831" i="279"/>
  <c r="B830" i="279"/>
  <c r="B829" i="279"/>
  <c r="B828" i="279"/>
  <c r="B827" i="279"/>
  <c r="B826" i="279"/>
  <c r="B825" i="279"/>
  <c r="B824" i="279"/>
  <c r="B823" i="279"/>
  <c r="B822" i="279"/>
  <c r="B821" i="279"/>
  <c r="B820" i="279"/>
  <c r="B819" i="279"/>
  <c r="B818" i="279"/>
  <c r="B817" i="279"/>
  <c r="B816" i="279"/>
  <c r="B815" i="279"/>
  <c r="B814" i="279"/>
  <c r="B813" i="279"/>
  <c r="B812" i="279"/>
  <c r="B811" i="279"/>
  <c r="B810" i="279"/>
  <c r="B809" i="279"/>
  <c r="B808" i="279"/>
  <c r="B807" i="279"/>
  <c r="B806" i="279"/>
  <c r="B805" i="279"/>
  <c r="B804" i="279"/>
  <c r="B803" i="279"/>
  <c r="B802" i="279"/>
  <c r="B801" i="279"/>
  <c r="B800" i="279"/>
  <c r="B799" i="279"/>
  <c r="B798" i="279"/>
  <c r="B797" i="279"/>
  <c r="B796" i="279"/>
  <c r="B795" i="279"/>
  <c r="B794" i="279"/>
  <c r="B793" i="279"/>
  <c r="B792" i="279"/>
  <c r="B791" i="279"/>
  <c r="B790" i="279"/>
  <c r="B789" i="279"/>
  <c r="B788" i="279"/>
  <c r="B787" i="279"/>
  <c r="B786" i="279"/>
  <c r="B785" i="279"/>
  <c r="B784" i="279"/>
  <c r="B783" i="279"/>
  <c r="B782" i="279"/>
  <c r="B781" i="279"/>
  <c r="B780" i="279"/>
  <c r="B779" i="279"/>
  <c r="B778" i="279"/>
  <c r="B777" i="279"/>
  <c r="B776" i="279"/>
  <c r="B775" i="279"/>
  <c r="B774" i="279"/>
  <c r="B773" i="279"/>
  <c r="B772" i="279"/>
  <c r="B771" i="279"/>
  <c r="B770" i="279"/>
  <c r="B769" i="279"/>
  <c r="B768" i="279"/>
  <c r="B767" i="279"/>
  <c r="B766" i="279"/>
  <c r="B765" i="279"/>
  <c r="B764" i="279"/>
  <c r="B763" i="279"/>
  <c r="B762" i="279"/>
  <c r="B761" i="279"/>
  <c r="B760" i="279"/>
  <c r="B759" i="279"/>
  <c r="B758" i="279"/>
  <c r="B757" i="279"/>
  <c r="B756" i="279"/>
  <c r="B755" i="279"/>
  <c r="B754" i="279"/>
  <c r="B753" i="279"/>
  <c r="B752" i="279"/>
  <c r="B751" i="279"/>
  <c r="B750" i="279"/>
  <c r="B749" i="279"/>
  <c r="B748" i="279"/>
  <c r="B747" i="279"/>
  <c r="B746" i="279"/>
  <c r="B745" i="279"/>
  <c r="B744" i="279"/>
  <c r="B743" i="279"/>
  <c r="B742" i="279"/>
  <c r="B741" i="279"/>
  <c r="B740" i="279"/>
  <c r="B739" i="279"/>
  <c r="B738" i="279"/>
  <c r="B737" i="279"/>
  <c r="B736" i="279"/>
  <c r="B735" i="279"/>
  <c r="B734" i="279"/>
  <c r="B733" i="279"/>
  <c r="B732" i="279"/>
  <c r="B731" i="279"/>
  <c r="B730" i="279"/>
  <c r="B729" i="279"/>
  <c r="B728" i="279"/>
  <c r="B727" i="279"/>
  <c r="B726" i="279"/>
  <c r="B725" i="279"/>
  <c r="B724" i="279"/>
  <c r="B723" i="279"/>
  <c r="B722" i="279"/>
  <c r="B721" i="279"/>
  <c r="B720" i="279"/>
  <c r="B719" i="279"/>
  <c r="B718" i="279"/>
  <c r="B717" i="279"/>
  <c r="B716" i="279"/>
  <c r="B715" i="279"/>
  <c r="B714" i="279"/>
  <c r="B713" i="279"/>
  <c r="B712" i="279"/>
  <c r="B711" i="279"/>
  <c r="B710" i="279"/>
  <c r="B709" i="279"/>
  <c r="B708" i="279"/>
  <c r="B707" i="279"/>
  <c r="B706" i="279"/>
  <c r="B705" i="279"/>
  <c r="B704" i="279"/>
  <c r="B703" i="279"/>
  <c r="B702" i="279"/>
  <c r="B701" i="279"/>
  <c r="B700" i="279"/>
  <c r="B699" i="279"/>
  <c r="B698" i="279"/>
  <c r="B697" i="279"/>
  <c r="B696" i="279"/>
  <c r="B695" i="279"/>
  <c r="B694" i="279"/>
  <c r="B693" i="279"/>
  <c r="B692" i="279"/>
  <c r="B691" i="279"/>
  <c r="B690" i="279"/>
  <c r="B689" i="279"/>
  <c r="B688" i="279"/>
  <c r="B687" i="279"/>
  <c r="B686" i="279"/>
  <c r="B685" i="279"/>
  <c r="B684" i="279"/>
  <c r="B683" i="279"/>
  <c r="B682" i="279"/>
  <c r="B681" i="279"/>
  <c r="B680" i="279"/>
  <c r="B679" i="279"/>
  <c r="B678" i="279"/>
  <c r="B677" i="279"/>
  <c r="B676" i="279"/>
  <c r="B675" i="279"/>
  <c r="B674" i="279"/>
  <c r="B673" i="279"/>
  <c r="B672" i="279"/>
  <c r="B671" i="279"/>
  <c r="B670" i="279"/>
  <c r="B669" i="279"/>
  <c r="B668" i="279"/>
  <c r="B667" i="279"/>
  <c r="B666" i="279"/>
  <c r="B665" i="279"/>
  <c r="B664" i="279"/>
  <c r="B663" i="279"/>
  <c r="B662" i="279"/>
  <c r="B661" i="279"/>
  <c r="B660" i="279"/>
  <c r="B659" i="279"/>
  <c r="B658" i="279"/>
  <c r="B657" i="279"/>
  <c r="B656" i="279"/>
  <c r="B655" i="279"/>
  <c r="B654" i="279"/>
  <c r="B653" i="279"/>
  <c r="B652" i="279"/>
  <c r="B651" i="279"/>
  <c r="B650" i="279"/>
  <c r="B649" i="279"/>
  <c r="B648" i="279"/>
  <c r="B647" i="279"/>
  <c r="B646" i="279"/>
  <c r="B645" i="279"/>
  <c r="B644" i="279"/>
  <c r="B643" i="279"/>
  <c r="B642" i="279"/>
  <c r="B641" i="279"/>
  <c r="B640" i="279"/>
  <c r="B639" i="279"/>
  <c r="B638" i="279"/>
  <c r="B637" i="279"/>
  <c r="B636" i="279"/>
  <c r="B635" i="279"/>
  <c r="B634" i="279"/>
  <c r="B633" i="279"/>
  <c r="B632" i="279"/>
  <c r="B631" i="279"/>
  <c r="B630" i="279"/>
  <c r="B629" i="279"/>
  <c r="B628" i="279"/>
  <c r="B627" i="279"/>
  <c r="B626" i="279"/>
  <c r="B625" i="279"/>
  <c r="B624" i="279"/>
  <c r="B623" i="279"/>
  <c r="B622" i="279"/>
  <c r="B621" i="279"/>
  <c r="B620" i="279"/>
  <c r="B619" i="279"/>
  <c r="B618" i="279"/>
  <c r="B617" i="279"/>
  <c r="B616" i="279"/>
  <c r="B615" i="279"/>
  <c r="B614" i="279"/>
  <c r="B613" i="279"/>
  <c r="B612" i="279"/>
  <c r="B611" i="279"/>
  <c r="B610" i="279"/>
  <c r="B609" i="279"/>
  <c r="B608" i="279"/>
  <c r="B607" i="279"/>
  <c r="B606" i="279"/>
  <c r="B605" i="279"/>
  <c r="B604" i="279"/>
  <c r="B603" i="279"/>
  <c r="B602" i="279"/>
  <c r="B601" i="279"/>
  <c r="B600" i="279"/>
  <c r="B599" i="279"/>
  <c r="B598" i="279"/>
  <c r="B597" i="279"/>
  <c r="B596" i="279"/>
  <c r="B595" i="279"/>
  <c r="B594" i="279"/>
  <c r="B593" i="279"/>
  <c r="B592" i="279"/>
  <c r="B591" i="279"/>
  <c r="B590" i="279"/>
  <c r="B589" i="279"/>
  <c r="B588" i="279"/>
  <c r="B587" i="279"/>
  <c r="B586" i="279"/>
  <c r="B585" i="279"/>
  <c r="B584" i="279"/>
  <c r="B583" i="279"/>
  <c r="B582" i="279"/>
  <c r="B581" i="279"/>
  <c r="B580" i="279"/>
  <c r="B579" i="279"/>
  <c r="B578" i="279"/>
  <c r="B577" i="279"/>
  <c r="B576" i="279"/>
  <c r="B575" i="279"/>
  <c r="B574" i="279"/>
  <c r="B573" i="279"/>
  <c r="B572" i="279"/>
  <c r="B571" i="279"/>
  <c r="B570" i="279"/>
  <c r="B569" i="279"/>
  <c r="B568" i="279"/>
  <c r="B567" i="279"/>
  <c r="B566" i="279"/>
  <c r="B565" i="279"/>
  <c r="B564" i="279"/>
  <c r="B563" i="279"/>
  <c r="B562" i="279"/>
  <c r="B561" i="279"/>
  <c r="B560" i="279"/>
  <c r="B559" i="279"/>
  <c r="B558" i="279"/>
  <c r="B557" i="279"/>
  <c r="B556" i="279"/>
  <c r="B555" i="279"/>
  <c r="B554" i="279"/>
  <c r="B553" i="279"/>
  <c r="B552" i="279"/>
  <c r="B551" i="279"/>
  <c r="B550" i="279"/>
  <c r="B549" i="279"/>
  <c r="B548" i="279"/>
  <c r="B547" i="279"/>
  <c r="B546" i="279"/>
  <c r="B545" i="279"/>
  <c r="B544" i="279"/>
  <c r="B543" i="279"/>
  <c r="B542" i="279"/>
  <c r="B541" i="279"/>
  <c r="B540" i="279"/>
  <c r="B539" i="279"/>
  <c r="B538" i="279"/>
  <c r="B537" i="279"/>
  <c r="B536" i="279"/>
  <c r="B535" i="279"/>
  <c r="B534" i="279"/>
  <c r="B533" i="279"/>
  <c r="B532" i="279"/>
  <c r="B531" i="279"/>
  <c r="B530" i="279"/>
  <c r="B529" i="279"/>
  <c r="B528" i="279"/>
  <c r="B527" i="279"/>
  <c r="B526" i="279"/>
  <c r="B525" i="279"/>
  <c r="B524" i="279"/>
  <c r="B523" i="279"/>
  <c r="B522" i="279"/>
  <c r="B521" i="279"/>
  <c r="B520" i="279"/>
  <c r="B519" i="279"/>
  <c r="B518" i="279"/>
  <c r="B517" i="279"/>
  <c r="B516" i="279"/>
  <c r="B515" i="279"/>
  <c r="B514" i="279"/>
  <c r="B513" i="279"/>
  <c r="B512" i="279"/>
  <c r="B511" i="279"/>
  <c r="B510" i="279"/>
  <c r="B509" i="279"/>
  <c r="B508" i="279"/>
  <c r="B507" i="279"/>
  <c r="B506" i="279"/>
  <c r="B505" i="279"/>
  <c r="B504" i="279"/>
  <c r="B503" i="279"/>
  <c r="B502" i="279"/>
  <c r="B501" i="279"/>
  <c r="B500" i="279"/>
  <c r="B499" i="279"/>
  <c r="B498" i="279"/>
  <c r="B497" i="279"/>
  <c r="B496" i="279"/>
  <c r="B495" i="279"/>
  <c r="B494" i="279"/>
  <c r="B493" i="279"/>
  <c r="B492" i="279"/>
  <c r="B491" i="279"/>
  <c r="B490" i="279"/>
  <c r="B489" i="279"/>
  <c r="B488" i="279"/>
  <c r="B487" i="279"/>
  <c r="B486" i="279"/>
  <c r="B485" i="279"/>
  <c r="B484" i="279"/>
  <c r="B483" i="279"/>
  <c r="B482" i="279"/>
  <c r="B481" i="279"/>
  <c r="B480" i="279"/>
  <c r="B479" i="279"/>
  <c r="B478" i="279"/>
  <c r="B477" i="279"/>
  <c r="B476" i="279"/>
  <c r="B475" i="279"/>
  <c r="B474" i="279"/>
  <c r="B473" i="279"/>
  <c r="B472" i="279"/>
  <c r="B471" i="279"/>
  <c r="B470" i="279"/>
  <c r="B469" i="279"/>
  <c r="B468" i="279"/>
  <c r="B467" i="279"/>
  <c r="B466" i="279"/>
  <c r="B465" i="279"/>
  <c r="B464" i="279"/>
  <c r="B463" i="279"/>
  <c r="B462" i="279"/>
  <c r="B461" i="279"/>
  <c r="B460" i="279"/>
  <c r="B459" i="279"/>
  <c r="B458" i="279"/>
  <c r="B457" i="279"/>
  <c r="B456" i="279"/>
  <c r="B455" i="279"/>
  <c r="B454" i="279"/>
  <c r="B453" i="279"/>
  <c r="B452" i="279"/>
  <c r="B451" i="279"/>
  <c r="B450" i="279"/>
  <c r="B449" i="279"/>
  <c r="B448" i="279"/>
  <c r="B447" i="279"/>
  <c r="B446" i="279"/>
  <c r="B445" i="279"/>
  <c r="B444" i="279"/>
  <c r="B443" i="279"/>
  <c r="B442" i="279"/>
  <c r="B441" i="279"/>
  <c r="B440" i="279"/>
  <c r="B439" i="279"/>
  <c r="B438" i="279"/>
  <c r="B437" i="279"/>
  <c r="B436" i="279"/>
  <c r="B435" i="279"/>
  <c r="B434" i="279"/>
  <c r="B433" i="279"/>
  <c r="B432" i="279"/>
  <c r="B431" i="279"/>
  <c r="B430" i="279"/>
  <c r="B429" i="279"/>
  <c r="B428" i="279"/>
  <c r="B427" i="279"/>
  <c r="B426" i="279"/>
  <c r="B425" i="279"/>
  <c r="B424" i="279"/>
  <c r="B423" i="279"/>
  <c r="B422" i="279"/>
  <c r="B421" i="279"/>
  <c r="B420" i="279"/>
  <c r="B419" i="279"/>
  <c r="B418" i="279"/>
  <c r="B417" i="279"/>
  <c r="B416" i="279"/>
  <c r="B415" i="279"/>
  <c r="B414" i="279"/>
  <c r="B413" i="279"/>
  <c r="B412" i="279"/>
  <c r="B411" i="279"/>
  <c r="B410" i="279"/>
  <c r="B409" i="279"/>
  <c r="B408" i="279"/>
  <c r="B407" i="279"/>
  <c r="B406" i="279"/>
  <c r="B405" i="279"/>
  <c r="B404" i="279"/>
  <c r="B403" i="279"/>
  <c r="B402" i="279"/>
  <c r="B401" i="279"/>
  <c r="B400" i="279"/>
  <c r="B399" i="279"/>
  <c r="B398" i="279"/>
  <c r="B397" i="279"/>
  <c r="B396" i="279"/>
  <c r="B395" i="279"/>
  <c r="B394" i="279"/>
  <c r="B393" i="279"/>
  <c r="B392" i="279"/>
  <c r="B391" i="279"/>
  <c r="B390" i="279"/>
  <c r="B389" i="279"/>
  <c r="B388" i="279"/>
  <c r="B387" i="279"/>
  <c r="B386" i="279"/>
  <c r="B385" i="279"/>
  <c r="B384" i="279"/>
  <c r="B383" i="279"/>
  <c r="B382" i="279"/>
  <c r="B381" i="279"/>
  <c r="B380" i="279"/>
  <c r="B379" i="279"/>
  <c r="B378" i="279"/>
  <c r="B377" i="279"/>
  <c r="B376" i="279"/>
  <c r="B375" i="279"/>
  <c r="B374" i="279"/>
  <c r="B373" i="279"/>
  <c r="B372" i="279"/>
  <c r="B371" i="279"/>
  <c r="B370" i="279"/>
  <c r="B369" i="279"/>
  <c r="B368" i="279"/>
  <c r="B367" i="279"/>
  <c r="B366" i="279"/>
  <c r="B365" i="279"/>
  <c r="B364" i="279"/>
  <c r="B363" i="279"/>
  <c r="B362" i="279"/>
  <c r="B361" i="279"/>
  <c r="B360" i="279"/>
  <c r="B359" i="279"/>
  <c r="B358" i="279"/>
  <c r="B357" i="279"/>
  <c r="B356" i="279"/>
  <c r="B355" i="279"/>
  <c r="B354" i="279"/>
  <c r="B353" i="279"/>
  <c r="B352" i="279"/>
  <c r="B351" i="279"/>
  <c r="B350" i="279"/>
  <c r="B349" i="279"/>
  <c r="B348" i="279"/>
  <c r="B347" i="279"/>
  <c r="B346" i="279"/>
  <c r="B345" i="279"/>
  <c r="B344" i="279"/>
  <c r="B343" i="279"/>
  <c r="B342" i="279"/>
  <c r="B341" i="279"/>
  <c r="B340" i="279"/>
  <c r="B339" i="279"/>
  <c r="B338" i="279"/>
  <c r="B337" i="279"/>
  <c r="B336" i="279"/>
  <c r="B335" i="279"/>
  <c r="B334" i="279"/>
  <c r="B333" i="279"/>
  <c r="B332" i="279"/>
  <c r="B331" i="279"/>
  <c r="B330" i="279"/>
  <c r="B329" i="279"/>
  <c r="B328" i="279"/>
  <c r="B327" i="279"/>
  <c r="B326" i="279"/>
  <c r="B325" i="279"/>
  <c r="B324" i="279"/>
  <c r="B323" i="279"/>
  <c r="B322" i="279"/>
  <c r="B321" i="279"/>
  <c r="B320" i="279"/>
  <c r="B319" i="279"/>
  <c r="B318" i="279"/>
  <c r="B317" i="279"/>
  <c r="B316" i="279"/>
  <c r="B315" i="279"/>
  <c r="B314" i="279"/>
  <c r="B313" i="279"/>
  <c r="B312" i="279"/>
  <c r="B311" i="279"/>
  <c r="B310" i="279"/>
  <c r="B309" i="279"/>
  <c r="B308" i="279"/>
  <c r="B307" i="279"/>
  <c r="B306" i="279"/>
  <c r="B305" i="279"/>
  <c r="B304" i="279"/>
  <c r="B303" i="279"/>
  <c r="B302" i="279"/>
  <c r="B301" i="279"/>
  <c r="B300" i="279"/>
  <c r="B299" i="279"/>
  <c r="B298" i="279"/>
  <c r="B297" i="279"/>
  <c r="B296" i="279"/>
  <c r="B295" i="279"/>
  <c r="B294" i="279"/>
  <c r="B293" i="279"/>
  <c r="B292" i="279"/>
  <c r="B291" i="279"/>
  <c r="B290" i="279"/>
  <c r="B289" i="279"/>
  <c r="B288" i="279"/>
  <c r="B287" i="279"/>
  <c r="B286" i="279"/>
  <c r="B285" i="279"/>
  <c r="B284" i="279"/>
  <c r="B283" i="279"/>
  <c r="B282" i="279"/>
  <c r="B281" i="279"/>
  <c r="B280" i="279"/>
  <c r="B279" i="279"/>
  <c r="B278" i="279"/>
  <c r="B277" i="279"/>
  <c r="B276" i="279"/>
  <c r="B275" i="279"/>
  <c r="B274" i="279"/>
  <c r="B273" i="279"/>
  <c r="B272" i="279"/>
  <c r="B271" i="279"/>
  <c r="B270" i="279"/>
  <c r="B269" i="279"/>
  <c r="B268" i="279"/>
  <c r="B267" i="279"/>
  <c r="B266" i="279"/>
  <c r="B265" i="279"/>
  <c r="B264" i="279"/>
  <c r="B263" i="279"/>
  <c r="B262" i="279"/>
  <c r="B261" i="279"/>
  <c r="B260" i="279"/>
  <c r="B259" i="279"/>
  <c r="B258" i="279"/>
  <c r="B257" i="279"/>
  <c r="B256" i="279"/>
  <c r="B255" i="279"/>
  <c r="B254" i="279"/>
  <c r="B253" i="279"/>
  <c r="B252" i="279"/>
  <c r="B251" i="279"/>
  <c r="B250" i="279"/>
  <c r="B249" i="279"/>
  <c r="B248" i="279"/>
  <c r="B247" i="279"/>
  <c r="B246" i="279"/>
  <c r="B245" i="279"/>
  <c r="B244" i="279"/>
  <c r="B243" i="279"/>
  <c r="B242" i="279"/>
  <c r="B241" i="279"/>
  <c r="B240" i="279"/>
  <c r="B239" i="279"/>
  <c r="B238" i="279"/>
  <c r="B237" i="279"/>
  <c r="B236" i="279"/>
  <c r="B235" i="279"/>
  <c r="B234" i="279"/>
  <c r="B233" i="279"/>
  <c r="B232" i="279"/>
  <c r="B231" i="279"/>
  <c r="B230" i="279"/>
  <c r="B229" i="279"/>
  <c r="B228" i="279"/>
  <c r="B227" i="279"/>
  <c r="B226" i="279"/>
  <c r="B225" i="279"/>
  <c r="B224" i="279"/>
  <c r="B223" i="279"/>
  <c r="B222" i="279"/>
  <c r="B221" i="279"/>
  <c r="B220" i="279"/>
  <c r="B219" i="279"/>
  <c r="B218" i="279"/>
  <c r="B217" i="279"/>
  <c r="B216" i="279"/>
  <c r="B215" i="279"/>
  <c r="B214" i="279"/>
  <c r="B213" i="279"/>
  <c r="B212" i="279"/>
  <c r="B211" i="279"/>
  <c r="B210" i="279"/>
  <c r="B209" i="279"/>
  <c r="B208" i="279"/>
  <c r="B207" i="279"/>
  <c r="B206" i="279"/>
  <c r="B205" i="279"/>
  <c r="B204" i="279"/>
  <c r="B203" i="279"/>
  <c r="B202" i="279"/>
  <c r="B201" i="279"/>
  <c r="B200" i="279"/>
  <c r="B199" i="279"/>
  <c r="B198" i="279"/>
  <c r="B197" i="279"/>
  <c r="B196" i="279"/>
  <c r="B195" i="279"/>
  <c r="B194" i="279"/>
  <c r="B193" i="279"/>
  <c r="B192" i="279"/>
  <c r="B191" i="279"/>
  <c r="B190" i="279"/>
  <c r="B189" i="279"/>
  <c r="B188" i="279"/>
  <c r="B187" i="279"/>
  <c r="B186" i="279"/>
  <c r="B185" i="279"/>
  <c r="B184" i="279"/>
  <c r="B183" i="279"/>
  <c r="B182" i="279"/>
  <c r="B181" i="279"/>
  <c r="B180" i="279"/>
  <c r="B179" i="279"/>
  <c r="B178" i="279"/>
  <c r="B177" i="279"/>
  <c r="B176" i="279"/>
  <c r="B175" i="279"/>
  <c r="B174" i="279"/>
  <c r="B173" i="279"/>
  <c r="B172" i="279"/>
  <c r="B171" i="279"/>
  <c r="B170" i="279"/>
  <c r="B169" i="279"/>
  <c r="B168" i="279"/>
  <c r="B167" i="279"/>
  <c r="B166" i="279"/>
  <c r="B165" i="279"/>
  <c r="B164" i="279"/>
  <c r="B163" i="279"/>
  <c r="B162" i="279"/>
  <c r="B161" i="279"/>
  <c r="B160" i="279"/>
  <c r="B159" i="279"/>
  <c r="B158" i="279"/>
  <c r="B157" i="279"/>
  <c r="B156" i="279"/>
  <c r="B155" i="279"/>
  <c r="B154" i="279"/>
  <c r="B153" i="279"/>
  <c r="B152" i="279"/>
  <c r="B151" i="279"/>
  <c r="B150" i="279"/>
  <c r="B149" i="279"/>
  <c r="B148" i="279"/>
  <c r="B147" i="279"/>
  <c r="B146" i="279"/>
  <c r="B145" i="279"/>
  <c r="B144" i="279"/>
  <c r="B143" i="279"/>
  <c r="B142" i="279"/>
  <c r="B141" i="279"/>
  <c r="B140" i="279"/>
  <c r="B139" i="279"/>
  <c r="B138" i="279"/>
  <c r="B137" i="279"/>
  <c r="B136" i="279"/>
  <c r="B135" i="279"/>
  <c r="B134" i="279"/>
  <c r="B133" i="279"/>
  <c r="B132" i="279"/>
  <c r="B131" i="279"/>
  <c r="B130" i="279"/>
  <c r="B129" i="279"/>
  <c r="B128" i="279"/>
  <c r="B127" i="279"/>
  <c r="B126" i="279"/>
  <c r="B125" i="279"/>
  <c r="B124" i="279"/>
  <c r="B123" i="279"/>
  <c r="B122" i="279"/>
  <c r="B121" i="279"/>
  <c r="B120" i="279"/>
  <c r="B119" i="279"/>
  <c r="B118" i="279"/>
  <c r="B117" i="279"/>
  <c r="B116" i="279"/>
  <c r="B115" i="279"/>
  <c r="B114" i="279"/>
  <c r="B113" i="279"/>
  <c r="B112" i="279"/>
  <c r="B111" i="279"/>
  <c r="B110" i="279"/>
  <c r="B109" i="279"/>
  <c r="B108" i="279"/>
  <c r="B107" i="279"/>
  <c r="B106" i="279"/>
  <c r="B105" i="279"/>
  <c r="B104" i="279"/>
  <c r="B103" i="279"/>
  <c r="B102" i="279"/>
  <c r="B101" i="279"/>
  <c r="B100" i="279"/>
  <c r="B99" i="279"/>
  <c r="B98" i="279"/>
  <c r="B97" i="279"/>
  <c r="B96" i="279"/>
  <c r="B95" i="279"/>
  <c r="B94" i="279"/>
  <c r="B93" i="279"/>
  <c r="B92" i="279"/>
  <c r="B91" i="279"/>
  <c r="B90" i="279"/>
  <c r="B89" i="279"/>
  <c r="B88" i="279"/>
  <c r="B87" i="279"/>
  <c r="B86" i="279"/>
  <c r="B85" i="279"/>
  <c r="B84" i="279"/>
  <c r="B83" i="279"/>
  <c r="B82" i="279"/>
  <c r="B81" i="279"/>
  <c r="B80" i="279"/>
  <c r="B79" i="279"/>
  <c r="B78" i="279"/>
  <c r="B77" i="279"/>
  <c r="B76" i="279"/>
  <c r="B75" i="279"/>
  <c r="B74" i="279"/>
  <c r="B73" i="279"/>
  <c r="B72" i="279"/>
  <c r="B71" i="279"/>
  <c r="B70" i="279"/>
  <c r="B69" i="279"/>
  <c r="B68" i="279"/>
  <c r="B67" i="279"/>
  <c r="B66" i="279"/>
  <c r="B65" i="279"/>
  <c r="B64" i="279"/>
  <c r="B63" i="279"/>
  <c r="B62" i="279"/>
  <c r="B61" i="279"/>
  <c r="B60" i="279"/>
  <c r="B59" i="279"/>
  <c r="B58" i="279"/>
  <c r="B57" i="279"/>
  <c r="B56" i="279"/>
  <c r="B55" i="279"/>
  <c r="B54" i="279"/>
  <c r="B53" i="279"/>
  <c r="B52" i="279"/>
  <c r="B51" i="279"/>
  <c r="B50" i="279"/>
  <c r="B49" i="279"/>
  <c r="B48" i="279"/>
  <c r="B47" i="279"/>
  <c r="B46" i="279"/>
  <c r="B45" i="279"/>
  <c r="B44" i="279"/>
  <c r="B43" i="279"/>
  <c r="B42" i="279"/>
  <c r="B41" i="279"/>
  <c r="B40" i="279"/>
  <c r="B39" i="279"/>
  <c r="B38" i="279"/>
  <c r="B37" i="279"/>
  <c r="B36" i="279"/>
  <c r="B35" i="279"/>
  <c r="B34" i="279"/>
  <c r="B33" i="279"/>
  <c r="B32" i="279"/>
  <c r="B31" i="279"/>
  <c r="B30" i="279"/>
  <c r="B29" i="279"/>
  <c r="B28" i="279"/>
  <c r="B27" i="279"/>
  <c r="B26" i="279"/>
  <c r="B25" i="279"/>
  <c r="B24" i="279"/>
  <c r="B23" i="279"/>
  <c r="B22" i="279"/>
  <c r="B21" i="279"/>
  <c r="B20" i="279"/>
  <c r="B19" i="279"/>
  <c r="B18" i="279"/>
  <c r="B17" i="279"/>
  <c r="B16" i="279"/>
  <c r="B15" i="279"/>
  <c r="B14" i="279"/>
  <c r="B13" i="279"/>
  <c r="B12" i="279"/>
  <c r="B11" i="279"/>
  <c r="B10" i="279"/>
  <c r="B9" i="279"/>
  <c r="B8" i="279"/>
  <c r="B7" i="279"/>
  <c r="B6" i="279"/>
  <c r="B4" i="279"/>
  <c r="B38" i="260" l="1"/>
  <c r="B37" i="260"/>
  <c r="B36" i="260"/>
  <c r="B35" i="260"/>
  <c r="B34" i="260"/>
  <c r="B81" i="260"/>
  <c r="G20" i="1" l="1"/>
  <c r="G19" i="1"/>
  <c r="B1356" i="260"/>
  <c r="B1355" i="260"/>
  <c r="B1354" i="260"/>
  <c r="B1353" i="260"/>
  <c r="B1352" i="260"/>
  <c r="B1351" i="260"/>
  <c r="B1350" i="260"/>
  <c r="B1349" i="260"/>
  <c r="B1348" i="260"/>
  <c r="B1347" i="260"/>
  <c r="B1346" i="260"/>
  <c r="B1345" i="260"/>
  <c r="B1344" i="260"/>
  <c r="B1343" i="260"/>
  <c r="B1342" i="260"/>
  <c r="B1341" i="260"/>
  <c r="B1340" i="260"/>
  <c r="B1339" i="260"/>
  <c r="B1338" i="260"/>
  <c r="B1337" i="260"/>
  <c r="B1336" i="260"/>
  <c r="B1335" i="260"/>
  <c r="B1334" i="260"/>
  <c r="B1333" i="260"/>
  <c r="B1332" i="260"/>
  <c r="B1331" i="260"/>
  <c r="B1330" i="260"/>
  <c r="B1329" i="260"/>
  <c r="B1328" i="260"/>
  <c r="B1327" i="260"/>
  <c r="B1326" i="260"/>
  <c r="B1325" i="260"/>
  <c r="B1324" i="260"/>
  <c r="B1323" i="260"/>
  <c r="B1322" i="260"/>
  <c r="B1321" i="260"/>
  <c r="B1320" i="260"/>
  <c r="B1319" i="260"/>
  <c r="B1318" i="260"/>
  <c r="B1317" i="260"/>
  <c r="B1316" i="260"/>
  <c r="B1315" i="260"/>
  <c r="B1314" i="260"/>
  <c r="B1313" i="260"/>
  <c r="B1312" i="260"/>
  <c r="B1311" i="260"/>
  <c r="B1310" i="260"/>
  <c r="B1309" i="260"/>
  <c r="B1308" i="260"/>
  <c r="B1307" i="260"/>
  <c r="B1306" i="260"/>
  <c r="B1305" i="260"/>
  <c r="B1304" i="260"/>
  <c r="B1303" i="260"/>
  <c r="B1302" i="260"/>
  <c r="B1301" i="260"/>
  <c r="B1300" i="260"/>
  <c r="B1299" i="260"/>
  <c r="B1298" i="260"/>
  <c r="B1297" i="260"/>
  <c r="B1296" i="260"/>
  <c r="B1295" i="260"/>
  <c r="B1294" i="260"/>
  <c r="B1293" i="260"/>
  <c r="B1292" i="260"/>
  <c r="B1291" i="260"/>
  <c r="B1290" i="260"/>
  <c r="B1289" i="260"/>
  <c r="B1288" i="260"/>
  <c r="B1287" i="260"/>
  <c r="B1286" i="260"/>
  <c r="B1285" i="260"/>
  <c r="B1284" i="260"/>
  <c r="B1283" i="260"/>
  <c r="B1282" i="260"/>
  <c r="B1281" i="260"/>
  <c r="B1280" i="260"/>
  <c r="B1279" i="260"/>
  <c r="B1278" i="260"/>
  <c r="B1277" i="260"/>
  <c r="B309" i="260"/>
  <c r="B308" i="260"/>
  <c r="B307" i="260"/>
  <c r="B306" i="260"/>
  <c r="B366" i="260"/>
  <c r="B365" i="260"/>
  <c r="B403" i="260"/>
  <c r="B402" i="260"/>
  <c r="B938" i="260"/>
  <c r="B937" i="260"/>
  <c r="B912" i="260"/>
  <c r="B911" i="260"/>
  <c r="G18" i="1"/>
  <c r="G17" i="1"/>
  <c r="B162" i="260"/>
  <c r="B161" i="260"/>
  <c r="B1276" i="260"/>
  <c r="B1275" i="260"/>
  <c r="B1274" i="260"/>
  <c r="B1273" i="260"/>
  <c r="B1272" i="260"/>
  <c r="B1271" i="260"/>
  <c r="B1270" i="260"/>
  <c r="B1269" i="260"/>
  <c r="B1268" i="260"/>
  <c r="B1267" i="260"/>
  <c r="B1266" i="260"/>
  <c r="B1265" i="260"/>
  <c r="B1264" i="260"/>
  <c r="B1263" i="260"/>
  <c r="B1262" i="260"/>
  <c r="B1261" i="260"/>
  <c r="B1260" i="260"/>
  <c r="B1259" i="260"/>
  <c r="B1258" i="260"/>
  <c r="B1257" i="260"/>
  <c r="B1256" i="260"/>
  <c r="B1255" i="260"/>
  <c r="B1254" i="260"/>
  <c r="B1253" i="260"/>
  <c r="B1252" i="260"/>
  <c r="B1251" i="260"/>
  <c r="B1250" i="260"/>
  <c r="B1249" i="260"/>
  <c r="B1248" i="260"/>
  <c r="B1247" i="260"/>
  <c r="B1246" i="260"/>
  <c r="B1245" i="260"/>
  <c r="B1244" i="260"/>
  <c r="B1243" i="260"/>
  <c r="B1242" i="260"/>
  <c r="B1241" i="260"/>
  <c r="B1240" i="260"/>
  <c r="B1239" i="260"/>
  <c r="B1238" i="260"/>
  <c r="B1237" i="260"/>
  <c r="B1236" i="260"/>
  <c r="B1235" i="260"/>
  <c r="B1234" i="260"/>
  <c r="B1233" i="260"/>
  <c r="B1232" i="260"/>
  <c r="B1231" i="260"/>
  <c r="B1230" i="260"/>
  <c r="B1229" i="260"/>
  <c r="B1228" i="260"/>
  <c r="B1227" i="260"/>
  <c r="B1226" i="260"/>
  <c r="B1225" i="260"/>
  <c r="B1224" i="260"/>
  <c r="B1223" i="260"/>
  <c r="B1222" i="260"/>
  <c r="B1221" i="260"/>
  <c r="B1220" i="260"/>
  <c r="B1219" i="260"/>
  <c r="B1218" i="260"/>
  <c r="B1217" i="260"/>
  <c r="B1216" i="260"/>
  <c r="B1215" i="260"/>
  <c r="B1214" i="260"/>
  <c r="B1213" i="260"/>
  <c r="B1212" i="260"/>
  <c r="B1211" i="260"/>
  <c r="B1210" i="260"/>
  <c r="B1209" i="260"/>
  <c r="B1208" i="260"/>
  <c r="B1207" i="260"/>
  <c r="B1206" i="260"/>
  <c r="B1205" i="260"/>
  <c r="B1204" i="260"/>
  <c r="B1203" i="260"/>
  <c r="B1202" i="260"/>
  <c r="B1201" i="260"/>
  <c r="B1200" i="260"/>
  <c r="B1199" i="260"/>
  <c r="B1198" i="260"/>
  <c r="B1197" i="260"/>
  <c r="B1196" i="260"/>
  <c r="B1195" i="260"/>
  <c r="B1194" i="260"/>
  <c r="B1193" i="260"/>
  <c r="B1192" i="260"/>
  <c r="B1191" i="260"/>
  <c r="B1190" i="260"/>
  <c r="B1189" i="260"/>
  <c r="B1188" i="260"/>
  <c r="B1187" i="260"/>
  <c r="B1186" i="260"/>
  <c r="B1185" i="260"/>
  <c r="B1184" i="260"/>
  <c r="B1183" i="260"/>
  <c r="B1182" i="260"/>
  <c r="B1181" i="260"/>
  <c r="B1180" i="260"/>
  <c r="B1179" i="260"/>
  <c r="B1178" i="260"/>
  <c r="B1177" i="260"/>
  <c r="B1176" i="260"/>
  <c r="B1175" i="260"/>
  <c r="B1174" i="260"/>
  <c r="B1173" i="260"/>
  <c r="B1172" i="260"/>
  <c r="B1171" i="260"/>
  <c r="B1170" i="260"/>
  <c r="B1169" i="260"/>
  <c r="B1168" i="260"/>
  <c r="B1167" i="260"/>
  <c r="B1166" i="260"/>
  <c r="B1165" i="260"/>
  <c r="B1164" i="260"/>
  <c r="B1163" i="260"/>
  <c r="B1162" i="260"/>
  <c r="B1161" i="260"/>
  <c r="B1160" i="260"/>
  <c r="B1159" i="260"/>
  <c r="B1158" i="260"/>
  <c r="B1157" i="260"/>
  <c r="B1156" i="260"/>
  <c r="B1155" i="260"/>
  <c r="B1154" i="260"/>
  <c r="B1153" i="260"/>
  <c r="B1152" i="260"/>
  <c r="B1151" i="260"/>
  <c r="B1150" i="260"/>
  <c r="B1149" i="260"/>
  <c r="B1148" i="260"/>
  <c r="B1147" i="260"/>
  <c r="B1146" i="260"/>
  <c r="B1145" i="260"/>
  <c r="B1144" i="260"/>
  <c r="B1143" i="260"/>
  <c r="B1142" i="260"/>
  <c r="B1141" i="260"/>
  <c r="B1140" i="260"/>
  <c r="B1139" i="260"/>
  <c r="B1138" i="260"/>
  <c r="B1137" i="260"/>
  <c r="B1136" i="260"/>
  <c r="B1135" i="260"/>
  <c r="B1134" i="260"/>
  <c r="B1133" i="260"/>
  <c r="B1132" i="260"/>
  <c r="B1131" i="260"/>
  <c r="B1130" i="260"/>
  <c r="B1129" i="260"/>
  <c r="B1128" i="260"/>
  <c r="B1127" i="260"/>
  <c r="B1126" i="260"/>
  <c r="B1125" i="260"/>
  <c r="B1124" i="260"/>
  <c r="B1123" i="260"/>
  <c r="B1122" i="260"/>
  <c r="B1121" i="260"/>
  <c r="B1120" i="260"/>
  <c r="B1119" i="260"/>
  <c r="B1118" i="260"/>
  <c r="B1117" i="260"/>
  <c r="B338" i="260"/>
  <c r="B337" i="260"/>
  <c r="B187" i="260"/>
  <c r="B186" i="260"/>
  <c r="B1001" i="260"/>
  <c r="B1000" i="260"/>
  <c r="B999" i="260"/>
  <c r="B998" i="260"/>
  <c r="B997" i="260"/>
  <c r="B996" i="260"/>
  <c r="B995" i="260"/>
  <c r="B994" i="260"/>
  <c r="B993" i="260"/>
  <c r="B992" i="260"/>
  <c r="B991" i="260"/>
  <c r="B990" i="260"/>
  <c r="B989" i="260"/>
  <c r="B988" i="260"/>
  <c r="B987" i="260"/>
  <c r="B986" i="260"/>
  <c r="B985" i="260"/>
  <c r="B984" i="260"/>
  <c r="B983" i="260"/>
  <c r="B982" i="260"/>
  <c r="B981" i="260"/>
  <c r="B1075" i="260"/>
  <c r="B1074" i="260"/>
  <c r="B1073" i="260"/>
  <c r="B606" i="260"/>
  <c r="B605" i="260"/>
  <c r="B604" i="260"/>
  <c r="B603" i="260"/>
  <c r="B602" i="260"/>
  <c r="B1116" i="260"/>
  <c r="B1115" i="260"/>
  <c r="B1114" i="260"/>
  <c r="B1113" i="260"/>
  <c r="B1112" i="260"/>
  <c r="B1111" i="260"/>
  <c r="B1110" i="260"/>
  <c r="B1109" i="260"/>
  <c r="B1108" i="260"/>
  <c r="B1107" i="260"/>
  <c r="B1106" i="260"/>
  <c r="B1105" i="260"/>
  <c r="B1104" i="260"/>
  <c r="B1103" i="260"/>
  <c r="B1102" i="260"/>
  <c r="B1101" i="260"/>
  <c r="B1100" i="260"/>
  <c r="B1099" i="260"/>
  <c r="B1098" i="260"/>
  <c r="B1097" i="260"/>
  <c r="B1096" i="260"/>
  <c r="B1095" i="260"/>
  <c r="B1094" i="260"/>
  <c r="B1093" i="260"/>
  <c r="B1092" i="260"/>
  <c r="B1091" i="260"/>
  <c r="B1090" i="260"/>
  <c r="B1089" i="260"/>
  <c r="B1088" i="260"/>
  <c r="B1087" i="260"/>
  <c r="B1086" i="260"/>
  <c r="B1085" i="260"/>
  <c r="B1084" i="260"/>
  <c r="B1083" i="260"/>
  <c r="B1082" i="260"/>
  <c r="B1081" i="260"/>
  <c r="B1080" i="260"/>
  <c r="B1079" i="260"/>
  <c r="B1078" i="260"/>
  <c r="B1077" i="260"/>
  <c r="B1076" i="260"/>
  <c r="B83" i="260" l="1"/>
  <c r="B82" i="260"/>
  <c r="B42" i="260"/>
  <c r="B33" i="260"/>
  <c r="B32" i="260"/>
  <c r="B25" i="260"/>
  <c r="B24" i="260"/>
  <c r="B23" i="260"/>
  <c r="B22" i="260"/>
  <c r="B21" i="260"/>
  <c r="B20" i="260"/>
  <c r="B19" i="260"/>
  <c r="B18" i="260"/>
  <c r="B28" i="260"/>
  <c r="B29" i="260"/>
  <c r="B27" i="260"/>
  <c r="B26" i="260"/>
  <c r="B1072" i="260"/>
  <c r="B1071" i="260"/>
  <c r="B1070" i="260"/>
  <c r="B1069" i="260"/>
  <c r="B1068" i="260"/>
  <c r="B1067" i="260"/>
  <c r="B1066" i="260"/>
  <c r="B1065" i="260"/>
  <c r="B1064" i="260"/>
  <c r="B1063" i="260"/>
  <c r="B1062" i="260"/>
  <c r="B1061" i="260"/>
  <c r="B1060" i="260"/>
  <c r="B1059" i="260"/>
  <c r="B1058" i="260"/>
  <c r="B1057" i="260"/>
  <c r="B1056" i="260"/>
  <c r="B1055" i="260"/>
  <c r="B1054" i="260"/>
  <c r="B1053" i="260"/>
  <c r="B1052" i="260"/>
  <c r="B1051" i="260"/>
  <c r="B1050" i="260"/>
  <c r="B1049" i="260"/>
  <c r="B1048" i="260"/>
  <c r="B1047" i="260"/>
  <c r="B1046" i="260"/>
  <c r="B1045" i="260"/>
  <c r="B1044" i="260"/>
  <c r="B1043" i="260"/>
  <c r="B1042" i="260"/>
  <c r="B1041" i="260"/>
  <c r="B1040" i="260"/>
  <c r="B1039" i="260"/>
  <c r="B1038" i="260"/>
  <c r="B1037" i="260"/>
  <c r="B1036" i="260"/>
  <c r="B1035" i="260"/>
  <c r="B1034" i="260"/>
  <c r="B1033" i="260"/>
  <c r="B1032" i="260"/>
  <c r="B1031" i="260"/>
  <c r="B1030" i="260"/>
  <c r="B1029" i="260"/>
  <c r="B1028" i="260"/>
  <c r="B1027" i="260"/>
  <c r="B1026" i="260"/>
  <c r="B1025" i="260"/>
  <c r="B1024" i="260"/>
  <c r="B1023" i="260"/>
  <c r="B1022" i="260"/>
  <c r="B1021" i="260"/>
  <c r="B1020" i="260"/>
  <c r="B1019" i="260"/>
  <c r="B1018" i="260"/>
  <c r="B1017" i="260"/>
  <c r="B1016" i="260"/>
  <c r="B1015" i="260"/>
  <c r="B1014" i="260"/>
  <c r="B1013" i="260"/>
  <c r="B1012" i="260"/>
  <c r="B1011" i="260"/>
  <c r="B1010" i="260"/>
  <c r="B1009" i="260"/>
  <c r="B1008" i="260"/>
  <c r="B1007" i="260"/>
  <c r="B1006" i="260"/>
  <c r="B1005" i="260"/>
  <c r="B1004" i="260"/>
  <c r="B1003" i="260"/>
  <c r="B1002" i="260"/>
  <c r="B980" i="260"/>
  <c r="B979" i="260"/>
  <c r="B978" i="260"/>
  <c r="B977" i="260"/>
  <c r="B976" i="260"/>
  <c r="B975" i="260"/>
  <c r="B974" i="260"/>
  <c r="B973" i="260"/>
  <c r="B972" i="260"/>
  <c r="B971" i="260"/>
  <c r="B970" i="260"/>
  <c r="B969" i="260"/>
  <c r="B968" i="260"/>
  <c r="B967" i="260"/>
  <c r="B966" i="260"/>
  <c r="B965" i="260"/>
  <c r="B964" i="260"/>
  <c r="B963" i="260"/>
  <c r="B962" i="260"/>
  <c r="B961" i="260"/>
  <c r="B960" i="260"/>
  <c r="B959" i="260"/>
  <c r="B958" i="260"/>
  <c r="B957" i="260"/>
  <c r="B956" i="260"/>
  <c r="B955" i="260"/>
  <c r="B954" i="260"/>
  <c r="B953" i="260"/>
  <c r="B952" i="260"/>
  <c r="B951" i="260"/>
  <c r="B950" i="260"/>
  <c r="B949" i="260"/>
  <c r="B948" i="260"/>
  <c r="B947" i="260"/>
  <c r="B946" i="260"/>
  <c r="B945" i="260"/>
  <c r="B944" i="260"/>
  <c r="B943" i="260"/>
  <c r="B942" i="260"/>
  <c r="B941" i="260"/>
  <c r="B940" i="260"/>
  <c r="B939" i="260"/>
  <c r="B936" i="260"/>
  <c r="B935" i="260"/>
  <c r="B934" i="260"/>
  <c r="B933" i="260"/>
  <c r="B932" i="260"/>
  <c r="B931" i="260"/>
  <c r="B930" i="260"/>
  <c r="B929" i="260"/>
  <c r="B928" i="260"/>
  <c r="B927" i="260"/>
  <c r="B926" i="260"/>
  <c r="B925" i="260"/>
  <c r="B924" i="260"/>
  <c r="B923" i="260"/>
  <c r="B922" i="260"/>
  <c r="B921" i="260"/>
  <c r="B920" i="260"/>
  <c r="B919" i="260"/>
  <c r="B918" i="260"/>
  <c r="B917" i="260"/>
  <c r="B916" i="260"/>
  <c r="B915" i="260"/>
  <c r="B914" i="260"/>
  <c r="B913" i="260"/>
  <c r="B910" i="260"/>
  <c r="B909" i="260"/>
  <c r="B908" i="260"/>
  <c r="B907" i="260"/>
  <c r="B906" i="260"/>
  <c r="B905" i="260"/>
  <c r="B904" i="260"/>
  <c r="B903" i="260"/>
  <c r="B902" i="260"/>
  <c r="B901" i="260"/>
  <c r="B900" i="260"/>
  <c r="B899" i="260"/>
  <c r="B898" i="260"/>
  <c r="B897" i="260"/>
  <c r="B896" i="260"/>
  <c r="B895" i="260"/>
  <c r="B894" i="260"/>
  <c r="B893" i="260"/>
  <c r="B892" i="260"/>
  <c r="B891" i="260"/>
  <c r="B890" i="260"/>
  <c r="B889" i="260"/>
  <c r="B888" i="260"/>
  <c r="B887" i="260"/>
  <c r="B886" i="260"/>
  <c r="B885" i="260"/>
  <c r="B884" i="260"/>
  <c r="B883" i="260"/>
  <c r="B882" i="260"/>
  <c r="B881" i="260"/>
  <c r="B880" i="260"/>
  <c r="B879" i="260"/>
  <c r="B878" i="260"/>
  <c r="B877" i="260"/>
  <c r="B876" i="260"/>
  <c r="B875" i="260"/>
  <c r="B874" i="260"/>
  <c r="B873" i="260"/>
  <c r="B872" i="260"/>
  <c r="B871" i="260"/>
  <c r="B870" i="260"/>
  <c r="B869" i="260"/>
  <c r="B868" i="260"/>
  <c r="B867" i="260"/>
  <c r="B866" i="260"/>
  <c r="B865" i="260"/>
  <c r="B864" i="260"/>
  <c r="B863" i="260"/>
  <c r="B862" i="260"/>
  <c r="B861" i="260"/>
  <c r="B860" i="260"/>
  <c r="B859" i="260"/>
  <c r="B858" i="260"/>
  <c r="B857" i="260"/>
  <c r="B856" i="260"/>
  <c r="B855" i="260"/>
  <c r="B854" i="260"/>
  <c r="B853" i="260"/>
  <c r="B852" i="260"/>
  <c r="B851" i="260"/>
  <c r="B850" i="260"/>
  <c r="B849" i="260"/>
  <c r="B848" i="260"/>
  <c r="B847" i="260"/>
  <c r="B846" i="260"/>
  <c r="B845" i="260"/>
  <c r="B844" i="260"/>
  <c r="B843" i="260"/>
  <c r="B842" i="260"/>
  <c r="B841" i="260"/>
  <c r="B840" i="260"/>
  <c r="B839" i="260"/>
  <c r="B838" i="260"/>
  <c r="B837" i="260"/>
  <c r="B836" i="260"/>
  <c r="B835" i="260"/>
  <c r="B834" i="260"/>
  <c r="B833" i="260"/>
  <c r="B832" i="260"/>
  <c r="B831" i="260"/>
  <c r="B830" i="260"/>
  <c r="B829" i="260"/>
  <c r="B828" i="260"/>
  <c r="B827" i="260"/>
  <c r="B826" i="260"/>
  <c r="B825" i="260"/>
  <c r="B824" i="260"/>
  <c r="B823" i="260"/>
  <c r="B822" i="260"/>
  <c r="B821" i="260"/>
  <c r="B820" i="260"/>
  <c r="B819" i="260"/>
  <c r="B818" i="260"/>
  <c r="B817" i="260"/>
  <c r="B816" i="260"/>
  <c r="B815" i="260"/>
  <c r="B814" i="260"/>
  <c r="B813" i="260"/>
  <c r="B812" i="260"/>
  <c r="B811" i="260"/>
  <c r="B810" i="260"/>
  <c r="B809" i="260"/>
  <c r="B808" i="260"/>
  <c r="B807" i="260"/>
  <c r="B806" i="260"/>
  <c r="B805" i="260"/>
  <c r="B804" i="260"/>
  <c r="B803" i="260"/>
  <c r="B802" i="260"/>
  <c r="B801" i="260"/>
  <c r="B800" i="260"/>
  <c r="B799" i="260"/>
  <c r="B798" i="260"/>
  <c r="B797" i="260"/>
  <c r="B796" i="260"/>
  <c r="B795" i="260"/>
  <c r="B794" i="260"/>
  <c r="B793" i="260"/>
  <c r="B792" i="260"/>
  <c r="B791" i="260"/>
  <c r="B790" i="260"/>
  <c r="B789" i="260"/>
  <c r="B788" i="260"/>
  <c r="B787" i="260"/>
  <c r="B786" i="260"/>
  <c r="B785" i="260"/>
  <c r="B784" i="260"/>
  <c r="B783" i="260"/>
  <c r="B782" i="260"/>
  <c r="B781" i="260"/>
  <c r="B780" i="260"/>
  <c r="B779" i="260"/>
  <c r="B778" i="260"/>
  <c r="B777" i="260"/>
  <c r="B776" i="260"/>
  <c r="B775" i="260"/>
  <c r="B774" i="260"/>
  <c r="B773" i="260"/>
  <c r="B772" i="260"/>
  <c r="B771" i="260"/>
  <c r="B770" i="260"/>
  <c r="B769" i="260"/>
  <c r="B768" i="260"/>
  <c r="B767" i="260"/>
  <c r="B766" i="260"/>
  <c r="B765" i="260"/>
  <c r="B764" i="260"/>
  <c r="B763" i="260"/>
  <c r="B762" i="260"/>
  <c r="B761" i="260"/>
  <c r="B760" i="260"/>
  <c r="B759" i="260"/>
  <c r="B758" i="260"/>
  <c r="B757" i="260"/>
  <c r="B756" i="260"/>
  <c r="B755" i="260"/>
  <c r="B754" i="260"/>
  <c r="B753" i="260"/>
  <c r="B752" i="260"/>
  <c r="B751" i="260"/>
  <c r="B750" i="260"/>
  <c r="B749" i="260"/>
  <c r="B748" i="260"/>
  <c r="B747" i="260"/>
  <c r="B746" i="260"/>
  <c r="B745" i="260"/>
  <c r="B744" i="260"/>
  <c r="B743" i="260"/>
  <c r="B742" i="260"/>
  <c r="B741" i="260"/>
  <c r="B740" i="260"/>
  <c r="B739" i="260"/>
  <c r="B738" i="260"/>
  <c r="B737" i="260"/>
  <c r="B736" i="260"/>
  <c r="B735" i="260"/>
  <c r="B734" i="260"/>
  <c r="B733" i="260"/>
  <c r="B732" i="260"/>
  <c r="B731" i="260"/>
  <c r="B730" i="260"/>
  <c r="B729" i="260"/>
  <c r="B728" i="260"/>
  <c r="B727" i="260"/>
  <c r="B726" i="260"/>
  <c r="B725" i="260"/>
  <c r="B724" i="260"/>
  <c r="B723" i="260"/>
  <c r="B722" i="260"/>
  <c r="B721" i="260"/>
  <c r="B720" i="260"/>
  <c r="B719" i="260"/>
  <c r="B718" i="260"/>
  <c r="B717" i="260"/>
  <c r="B716" i="260"/>
  <c r="B715" i="260"/>
  <c r="B714" i="260"/>
  <c r="B713" i="260"/>
  <c r="B712" i="260"/>
  <c r="B711" i="260"/>
  <c r="B710" i="260"/>
  <c r="B709" i="260"/>
  <c r="B708" i="260"/>
  <c r="B707" i="260"/>
  <c r="B706" i="260"/>
  <c r="B705" i="260"/>
  <c r="B704" i="260"/>
  <c r="B703" i="260"/>
  <c r="B702" i="260"/>
  <c r="B701" i="260"/>
  <c r="B700" i="260"/>
  <c r="B699" i="260"/>
  <c r="B698" i="260"/>
  <c r="B697" i="260"/>
  <c r="B696" i="260"/>
  <c r="B695" i="260"/>
  <c r="B694" i="260"/>
  <c r="B693" i="260"/>
  <c r="B692" i="260"/>
  <c r="B691" i="260"/>
  <c r="B690" i="260"/>
  <c r="B689" i="260"/>
  <c r="B688" i="260"/>
  <c r="B687" i="260"/>
  <c r="B686" i="260"/>
  <c r="B685" i="260"/>
  <c r="B684" i="260"/>
  <c r="B683" i="260"/>
  <c r="B682" i="260"/>
  <c r="B681" i="260"/>
  <c r="B680" i="260"/>
  <c r="B679" i="260"/>
  <c r="B678" i="260"/>
  <c r="B677" i="260"/>
  <c r="B676" i="260"/>
  <c r="B675" i="260"/>
  <c r="B674" i="260"/>
  <c r="B673" i="260"/>
  <c r="B672" i="260"/>
  <c r="B671" i="260"/>
  <c r="B670" i="260"/>
  <c r="B669" i="260"/>
  <c r="B668" i="260"/>
  <c r="B667" i="260"/>
  <c r="B666" i="260"/>
  <c r="B665" i="260"/>
  <c r="B664" i="260"/>
  <c r="B663" i="260"/>
  <c r="B662" i="260"/>
  <c r="B661" i="260"/>
  <c r="B660" i="260"/>
  <c r="B659" i="260"/>
  <c r="B658" i="260"/>
  <c r="B657" i="260"/>
  <c r="B656" i="260"/>
  <c r="B655" i="260"/>
  <c r="B654" i="260"/>
  <c r="B653" i="260"/>
  <c r="B652" i="260"/>
  <c r="B651" i="260"/>
  <c r="B650" i="260"/>
  <c r="B649" i="260"/>
  <c r="B648" i="260"/>
  <c r="B647" i="260"/>
  <c r="B646" i="260"/>
  <c r="B645" i="260"/>
  <c r="B644" i="260"/>
  <c r="B643" i="260"/>
  <c r="B642" i="260"/>
  <c r="B641" i="260"/>
  <c r="B640" i="260"/>
  <c r="B639" i="260"/>
  <c r="B638" i="260"/>
  <c r="B637" i="260"/>
  <c r="B636" i="260"/>
  <c r="B635" i="260"/>
  <c r="B634" i="260"/>
  <c r="B633" i="260"/>
  <c r="B632" i="260"/>
  <c r="B631" i="260"/>
  <c r="B630" i="260"/>
  <c r="B629" i="260"/>
  <c r="B628" i="260"/>
  <c r="B627" i="260"/>
  <c r="B626" i="260"/>
  <c r="B625" i="260"/>
  <c r="B624" i="260"/>
  <c r="B623" i="260"/>
  <c r="B622" i="260"/>
  <c r="B621" i="260"/>
  <c r="B620" i="260"/>
  <c r="B619" i="260"/>
  <c r="B618" i="260"/>
  <c r="B617" i="260"/>
  <c r="B616" i="260"/>
  <c r="B615" i="260"/>
  <c r="B614" i="260"/>
  <c r="B613" i="260"/>
  <c r="B612" i="260"/>
  <c r="B611" i="260"/>
  <c r="B610" i="260"/>
  <c r="B609" i="260"/>
  <c r="B608" i="260"/>
  <c r="B607" i="260"/>
  <c r="B601" i="260"/>
  <c r="B600" i="260"/>
  <c r="B599" i="260"/>
  <c r="B598" i="260"/>
  <c r="B597" i="260"/>
  <c r="B596" i="260"/>
  <c r="B595" i="260"/>
  <c r="B594" i="260"/>
  <c r="B593" i="260"/>
  <c r="B592" i="260"/>
  <c r="B591" i="260"/>
  <c r="B590" i="260"/>
  <c r="B589" i="260"/>
  <c r="B588" i="260"/>
  <c r="B587" i="260"/>
  <c r="B586" i="260"/>
  <c r="B585" i="260"/>
  <c r="B584" i="260"/>
  <c r="B583" i="260"/>
  <c r="B582" i="260"/>
  <c r="B581" i="260"/>
  <c r="B580" i="260"/>
  <c r="B579" i="260"/>
  <c r="B578" i="260"/>
  <c r="B577" i="260"/>
  <c r="B576" i="260"/>
  <c r="B575" i="260"/>
  <c r="B574" i="260"/>
  <c r="B573" i="260"/>
  <c r="B572" i="260"/>
  <c r="B571" i="260"/>
  <c r="B570" i="260"/>
  <c r="B569" i="260"/>
  <c r="B568" i="260"/>
  <c r="B567" i="260"/>
  <c r="B566" i="260"/>
  <c r="B565" i="260"/>
  <c r="B564" i="260"/>
  <c r="B563" i="260"/>
  <c r="B562" i="260"/>
  <c r="B561" i="260"/>
  <c r="B560" i="260"/>
  <c r="B559" i="260"/>
  <c r="B558" i="260"/>
  <c r="B557" i="260"/>
  <c r="B556" i="260"/>
  <c r="B555" i="260"/>
  <c r="B554" i="260"/>
  <c r="B553" i="260"/>
  <c r="B552" i="260"/>
  <c r="B551" i="260"/>
  <c r="B550" i="260"/>
  <c r="B549" i="260"/>
  <c r="B548" i="260"/>
  <c r="B547" i="260"/>
  <c r="B546" i="260"/>
  <c r="B545" i="260"/>
  <c r="B544" i="260"/>
  <c r="B543" i="260"/>
  <c r="B542" i="260"/>
  <c r="B541" i="260"/>
  <c r="B540" i="260"/>
  <c r="B539" i="260"/>
  <c r="B538" i="260"/>
  <c r="B537" i="260"/>
  <c r="B536" i="260"/>
  <c r="B535" i="260"/>
  <c r="B534" i="260"/>
  <c r="B533" i="260"/>
  <c r="B532" i="260"/>
  <c r="B531" i="260"/>
  <c r="B530" i="260"/>
  <c r="B529" i="260"/>
  <c r="B528" i="260"/>
  <c r="B527" i="260"/>
  <c r="B526" i="260"/>
  <c r="B525" i="260"/>
  <c r="B524" i="260"/>
  <c r="B523" i="260"/>
  <c r="B522" i="260"/>
  <c r="B521" i="260"/>
  <c r="B520" i="260"/>
  <c r="B519" i="260"/>
  <c r="B518" i="260"/>
  <c r="B517" i="260"/>
  <c r="B516" i="260"/>
  <c r="B515" i="260"/>
  <c r="B514" i="260"/>
  <c r="B513" i="260"/>
  <c r="B512" i="260"/>
  <c r="B511" i="260"/>
  <c r="B510" i="260"/>
  <c r="B509" i="260"/>
  <c r="B508" i="260"/>
  <c r="B507" i="260"/>
  <c r="B506" i="260"/>
  <c r="B505" i="260"/>
  <c r="B504" i="260"/>
  <c r="B503" i="260"/>
  <c r="B502" i="260"/>
  <c r="B501" i="260"/>
  <c r="B500" i="260"/>
  <c r="B499" i="260"/>
  <c r="B498" i="260"/>
  <c r="B497" i="260"/>
  <c r="B496" i="260"/>
  <c r="B495" i="260"/>
  <c r="B494" i="260"/>
  <c r="B493" i="260"/>
  <c r="B492" i="260"/>
  <c r="B491" i="260"/>
  <c r="B490" i="260"/>
  <c r="B489" i="260"/>
  <c r="B488" i="260"/>
  <c r="B487" i="260"/>
  <c r="B486" i="260"/>
  <c r="B485" i="260"/>
  <c r="B484" i="260"/>
  <c r="B483" i="260"/>
  <c r="B482" i="260"/>
  <c r="B481" i="260"/>
  <c r="B480" i="260"/>
  <c r="B479" i="260"/>
  <c r="B478" i="260"/>
  <c r="B477" i="260"/>
  <c r="B476" i="260"/>
  <c r="B475" i="260"/>
  <c r="B474" i="260"/>
  <c r="B473" i="260"/>
  <c r="B472" i="260"/>
  <c r="B471" i="260"/>
  <c r="B470" i="260"/>
  <c r="B469" i="260"/>
  <c r="B468" i="260"/>
  <c r="B467" i="260"/>
  <c r="B466" i="260"/>
  <c r="B465" i="260"/>
  <c r="B464" i="260"/>
  <c r="B463" i="260"/>
  <c r="B462" i="260"/>
  <c r="B461" i="260"/>
  <c r="B460" i="260"/>
  <c r="B459" i="260"/>
  <c r="B458" i="260"/>
  <c r="B457" i="260"/>
  <c r="B456" i="260"/>
  <c r="B455" i="260"/>
  <c r="B454" i="260"/>
  <c r="B453" i="260"/>
  <c r="B452" i="260"/>
  <c r="B451" i="260"/>
  <c r="B450" i="260"/>
  <c r="B449" i="260"/>
  <c r="B448" i="260"/>
  <c r="B447" i="260"/>
  <c r="B446" i="260"/>
  <c r="B445" i="260"/>
  <c r="B444" i="260"/>
  <c r="B443" i="260"/>
  <c r="B442" i="260"/>
  <c r="B441" i="260"/>
  <c r="B440" i="260"/>
  <c r="B439" i="260"/>
  <c r="B438" i="260"/>
  <c r="B437" i="260"/>
  <c r="B436" i="260"/>
  <c r="B435" i="260"/>
  <c r="B434" i="260"/>
  <c r="B433" i="260"/>
  <c r="B432" i="260"/>
  <c r="B431" i="260"/>
  <c r="B430" i="260"/>
  <c r="B429" i="260"/>
  <c r="B428" i="260"/>
  <c r="B427" i="260"/>
  <c r="B426" i="260"/>
  <c r="B425" i="260"/>
  <c r="B424" i="260"/>
  <c r="B423" i="260"/>
  <c r="B422" i="260"/>
  <c r="B421" i="260"/>
  <c r="B420" i="260"/>
  <c r="B419" i="260"/>
  <c r="B418" i="260"/>
  <c r="B417" i="260"/>
  <c r="B416" i="260"/>
  <c r="B415" i="260"/>
  <c r="B414" i="260"/>
  <c r="B413" i="260"/>
  <c r="B412" i="260"/>
  <c r="B411" i="260"/>
  <c r="B410" i="260"/>
  <c r="B409" i="260"/>
  <c r="B408" i="260"/>
  <c r="B407" i="260"/>
  <c r="B406" i="260"/>
  <c r="B405" i="260"/>
  <c r="B404" i="260"/>
  <c r="B401" i="260"/>
  <c r="B400" i="260"/>
  <c r="B399" i="260"/>
  <c r="B398" i="260"/>
  <c r="B397" i="260"/>
  <c r="B396" i="260"/>
  <c r="B395" i="260"/>
  <c r="B394" i="260"/>
  <c r="B393" i="260"/>
  <c r="B392" i="260"/>
  <c r="B391" i="260"/>
  <c r="B390" i="260"/>
  <c r="B389" i="260"/>
  <c r="B388" i="260"/>
  <c r="B387" i="260"/>
  <c r="B386" i="260"/>
  <c r="B385" i="260"/>
  <c r="B384" i="260"/>
  <c r="B383" i="260"/>
  <c r="B382" i="260"/>
  <c r="B381" i="260"/>
  <c r="B380" i="260"/>
  <c r="B379" i="260"/>
  <c r="B378" i="260"/>
  <c r="B377" i="260"/>
  <c r="B376" i="260"/>
  <c r="B375" i="260"/>
  <c r="B374" i="260"/>
  <c r="B373" i="260"/>
  <c r="B372" i="260"/>
  <c r="B371" i="260"/>
  <c r="B370" i="260"/>
  <c r="B369" i="260"/>
  <c r="B368" i="260"/>
  <c r="B367" i="260"/>
  <c r="B364" i="260"/>
  <c r="B363" i="260"/>
  <c r="B362" i="260"/>
  <c r="B361" i="260"/>
  <c r="B360" i="260"/>
  <c r="B359" i="260"/>
  <c r="B358" i="260"/>
  <c r="B357" i="260"/>
  <c r="B356" i="260"/>
  <c r="B355" i="260"/>
  <c r="B354" i="260"/>
  <c r="B353" i="260"/>
  <c r="B352" i="260"/>
  <c r="B351" i="260"/>
  <c r="B350" i="260"/>
  <c r="B349" i="260"/>
  <c r="B348" i="260"/>
  <c r="B347" i="260"/>
  <c r="B346" i="260"/>
  <c r="B345" i="260"/>
  <c r="B344" i="260"/>
  <c r="B343" i="260"/>
  <c r="B342" i="260"/>
  <c r="B341" i="260"/>
  <c r="B340" i="260"/>
  <c r="B339" i="260"/>
  <c r="B336" i="260"/>
  <c r="B335" i="260"/>
  <c r="B334" i="260"/>
  <c r="B333" i="260"/>
  <c r="B332" i="260"/>
  <c r="B331" i="260"/>
  <c r="B330" i="260"/>
  <c r="B329" i="260"/>
  <c r="B328" i="260"/>
  <c r="B327" i="260"/>
  <c r="B326" i="260"/>
  <c r="B325" i="260"/>
  <c r="B324" i="260"/>
  <c r="B323" i="260"/>
  <c r="B322" i="260"/>
  <c r="B321" i="260"/>
  <c r="B320" i="260"/>
  <c r="B319" i="260"/>
  <c r="B318" i="260"/>
  <c r="B317" i="260"/>
  <c r="B316" i="260"/>
  <c r="B315" i="260"/>
  <c r="B314" i="260"/>
  <c r="B313" i="260"/>
  <c r="B312" i="260"/>
  <c r="B311" i="260"/>
  <c r="B310" i="260"/>
  <c r="B305" i="260"/>
  <c r="B304" i="260"/>
  <c r="B303" i="260"/>
  <c r="B302" i="260"/>
  <c r="B301" i="260"/>
  <c r="B300" i="260"/>
  <c r="B299" i="260"/>
  <c r="B298" i="260"/>
  <c r="B297" i="260"/>
  <c r="B296" i="260"/>
  <c r="B295" i="260"/>
  <c r="B294" i="260"/>
  <c r="B293" i="260"/>
  <c r="B292" i="260"/>
  <c r="B291" i="260"/>
  <c r="B290" i="260"/>
  <c r="B289" i="260"/>
  <c r="B288" i="260"/>
  <c r="B287" i="260"/>
  <c r="B286" i="260"/>
  <c r="B285" i="260"/>
  <c r="B284" i="260"/>
  <c r="B283" i="260"/>
  <c r="B282" i="260"/>
  <c r="B281" i="260"/>
  <c r="B280" i="260"/>
  <c r="B279" i="260"/>
  <c r="B278" i="260"/>
  <c r="B277" i="260"/>
  <c r="B276" i="260"/>
  <c r="B275" i="260"/>
  <c r="B274" i="260"/>
  <c r="B273" i="260"/>
  <c r="B272" i="260"/>
  <c r="B271" i="260"/>
  <c r="B270" i="260"/>
  <c r="B269" i="260"/>
  <c r="B268" i="260"/>
  <c r="B267" i="260"/>
  <c r="B266" i="260"/>
  <c r="B265" i="260"/>
  <c r="B264" i="260"/>
  <c r="B263" i="260"/>
  <c r="B262" i="260"/>
  <c r="B261" i="260"/>
  <c r="B260" i="260"/>
  <c r="B259" i="260"/>
  <c r="B258" i="260"/>
  <c r="B257" i="260"/>
  <c r="B256" i="260"/>
  <c r="B255" i="260"/>
  <c r="B254" i="260"/>
  <c r="B253" i="260"/>
  <c r="B252" i="260"/>
  <c r="B251" i="260"/>
  <c r="B250" i="260"/>
  <c r="B249" i="260"/>
  <c r="B248" i="260"/>
  <c r="B247" i="260"/>
  <c r="B246" i="260"/>
  <c r="B245" i="260"/>
  <c r="B244" i="260"/>
  <c r="B243" i="260"/>
  <c r="B242" i="260"/>
  <c r="B241" i="260"/>
  <c r="B240" i="260"/>
  <c r="B239" i="260"/>
  <c r="B238" i="260"/>
  <c r="B237" i="260"/>
  <c r="B236" i="260"/>
  <c r="B235" i="260"/>
  <c r="B234" i="260"/>
  <c r="B233" i="260"/>
  <c r="B232" i="260"/>
  <c r="B231" i="260"/>
  <c r="B230" i="260"/>
  <c r="B229" i="260"/>
  <c r="B228" i="260"/>
  <c r="B227" i="260"/>
  <c r="B226" i="260"/>
  <c r="B225" i="260"/>
  <c r="B224" i="260"/>
  <c r="B223" i="260"/>
  <c r="B222" i="260"/>
  <c r="B221" i="260"/>
  <c r="B220" i="260"/>
  <c r="B219" i="260"/>
  <c r="B218" i="260"/>
  <c r="B217" i="260"/>
  <c r="B216" i="260"/>
  <c r="B215" i="260"/>
  <c r="B214" i="260"/>
  <c r="B213" i="260"/>
  <c r="B212" i="260"/>
  <c r="B211" i="260"/>
  <c r="B210" i="260"/>
  <c r="B209" i="260"/>
  <c r="B208" i="260"/>
  <c r="B207" i="260"/>
  <c r="B206" i="260"/>
  <c r="B205" i="260"/>
  <c r="B204" i="260"/>
  <c r="B203" i="260"/>
  <c r="B202" i="260"/>
  <c r="B201" i="260"/>
  <c r="B200" i="260"/>
  <c r="B199" i="260"/>
  <c r="B198" i="260"/>
  <c r="B197" i="260"/>
  <c r="B196" i="260"/>
  <c r="B195" i="260"/>
  <c r="B194" i="260"/>
  <c r="B193" i="260"/>
  <c r="B192" i="260"/>
  <c r="B191" i="260"/>
  <c r="B190" i="260"/>
  <c r="B189" i="260"/>
  <c r="B188" i="260"/>
  <c r="B185" i="260"/>
  <c r="B184" i="260"/>
  <c r="B183" i="260"/>
  <c r="B182" i="260"/>
  <c r="B181" i="260"/>
  <c r="B180" i="260"/>
  <c r="B179" i="260"/>
  <c r="B178" i="260"/>
  <c r="B177" i="260"/>
  <c r="B176" i="260"/>
  <c r="B175" i="260"/>
  <c r="B174" i="260"/>
  <c r="B173" i="260"/>
  <c r="B172" i="260"/>
  <c r="B171" i="260"/>
  <c r="B170" i="260"/>
  <c r="B169" i="260"/>
  <c r="B168" i="260"/>
  <c r="B167" i="260"/>
  <c r="B166" i="260"/>
  <c r="B165" i="260"/>
  <c r="B164" i="260"/>
  <c r="B163" i="260"/>
  <c r="B160" i="260"/>
  <c r="B159" i="260"/>
  <c r="B158" i="260"/>
  <c r="B157" i="260"/>
  <c r="B156" i="260"/>
  <c r="B155" i="260"/>
  <c r="B154" i="260"/>
  <c r="B153" i="260"/>
  <c r="B152" i="260"/>
  <c r="B151" i="260"/>
  <c r="B150" i="260"/>
  <c r="B149" i="260"/>
  <c r="B148" i="260"/>
  <c r="B147" i="260"/>
  <c r="B146" i="260"/>
  <c r="B145" i="260"/>
  <c r="B144" i="260"/>
  <c r="B143" i="260"/>
  <c r="B142" i="260"/>
  <c r="B141" i="260"/>
  <c r="B140" i="260"/>
  <c r="B139" i="260"/>
  <c r="B138" i="260"/>
  <c r="B137" i="260"/>
  <c r="B136" i="260"/>
  <c r="B135" i="260"/>
  <c r="B134" i="260"/>
  <c r="B133" i="260"/>
  <c r="B132" i="260"/>
  <c r="B131" i="260"/>
  <c r="B130" i="260"/>
  <c r="B129" i="260"/>
  <c r="B128" i="260"/>
  <c r="B127" i="260"/>
  <c r="B126" i="260"/>
  <c r="B125" i="260"/>
  <c r="B124" i="260"/>
  <c r="B123" i="260"/>
  <c r="B122" i="260"/>
  <c r="B121" i="260"/>
  <c r="B120" i="260"/>
  <c r="B119" i="260"/>
  <c r="B118" i="260"/>
  <c r="B117" i="260"/>
  <c r="B116" i="260"/>
  <c r="B115" i="260"/>
  <c r="B114" i="260"/>
  <c r="B113" i="260"/>
  <c r="B112" i="260"/>
  <c r="B111" i="260"/>
  <c r="B110" i="260"/>
  <c r="B109" i="260"/>
  <c r="B108" i="260"/>
  <c r="B107" i="260"/>
  <c r="B106" i="260"/>
  <c r="B105" i="260"/>
  <c r="B104" i="260"/>
  <c r="B103" i="260"/>
  <c r="B102" i="260"/>
  <c r="B101" i="260"/>
  <c r="B100" i="260"/>
  <c r="B99" i="260"/>
  <c r="B98" i="260"/>
  <c r="B97" i="260"/>
  <c r="B96" i="260"/>
  <c r="B95" i="260"/>
  <c r="B94" i="260"/>
  <c r="B93" i="260"/>
  <c r="B92" i="260"/>
  <c r="B91" i="260"/>
  <c r="B90" i="260"/>
  <c r="B89" i="260"/>
  <c r="B88" i="260"/>
  <c r="B87" i="260"/>
  <c r="B86" i="260"/>
  <c r="B85" i="260"/>
  <c r="B84" i="260"/>
  <c r="B80" i="260"/>
  <c r="B79" i="260"/>
  <c r="B78" i="260"/>
  <c r="B77" i="260"/>
  <c r="B76" i="260"/>
  <c r="B75" i="260"/>
  <c r="B74" i="260"/>
  <c r="B73" i="260"/>
  <c r="B72" i="260"/>
  <c r="B71" i="260"/>
  <c r="B70" i="260"/>
  <c r="B69" i="260"/>
  <c r="B68" i="260"/>
  <c r="B67" i="260"/>
  <c r="B66" i="260"/>
  <c r="B65" i="260"/>
  <c r="B64" i="260"/>
  <c r="B63" i="260"/>
  <c r="B62" i="260"/>
  <c r="B61" i="260"/>
  <c r="B60" i="260"/>
  <c r="B59" i="260"/>
  <c r="B58" i="260"/>
  <c r="B57" i="260"/>
  <c r="B56" i="260"/>
  <c r="B55" i="260"/>
  <c r="B54" i="260"/>
  <c r="B53" i="260"/>
  <c r="B52" i="260"/>
  <c r="B51" i="260"/>
  <c r="B50" i="260"/>
  <c r="B49" i="260"/>
  <c r="B48" i="260"/>
  <c r="B47" i="260"/>
  <c r="B46" i="260"/>
  <c r="B45" i="260"/>
  <c r="B44" i="260"/>
  <c r="B43" i="260"/>
  <c r="B41" i="260"/>
  <c r="B40" i="260"/>
  <c r="B39" i="260"/>
  <c r="B31" i="260"/>
  <c r="B30" i="260"/>
  <c r="B17" i="260"/>
  <c r="B16" i="260"/>
  <c r="B15" i="260"/>
  <c r="B14" i="260"/>
  <c r="B13" i="260"/>
  <c r="B12" i="260"/>
  <c r="B11" i="260"/>
  <c r="B10" i="260"/>
  <c r="B9" i="260"/>
  <c r="B8" i="260"/>
  <c r="B7" i="260"/>
  <c r="B6" i="260"/>
  <c r="B5" i="260"/>
  <c r="B4" i="260"/>
  <c r="G36" i="1" l="1"/>
  <c r="G24" i="1" l="1"/>
  <c r="G23" i="1"/>
  <c r="G40" i="1" l="1"/>
  <c r="G16" i="1" l="1"/>
  <c r="G39" i="1" l="1"/>
  <c r="G35" i="1" l="1"/>
  <c r="G22" i="1"/>
  <c r="G38" i="1"/>
  <c r="G37" i="1"/>
  <c r="G33" i="1"/>
  <c r="G29" i="1"/>
  <c r="G27" i="1"/>
  <c r="G26" i="1"/>
  <c r="G21" i="1"/>
  <c r="G15" i="1"/>
  <c r="G14" i="1"/>
  <c r="G13" i="1"/>
  <c r="G12" i="1"/>
  <c r="G11" i="1"/>
  <c r="G10" i="1"/>
  <c r="G9" i="1"/>
  <c r="G8" i="1"/>
  <c r="G7" i="1"/>
  <c r="G6" i="1"/>
  <c r="G5" i="1"/>
  <c r="G4" i="1"/>
  <c r="D2" i="167" l="1"/>
  <c r="D3" i="167"/>
  <c r="D4" i="167"/>
  <c r="D5" i="167"/>
  <c r="D6" i="167"/>
  <c r="D7" i="167"/>
  <c r="D8" i="167"/>
  <c r="D9" i="167"/>
  <c r="D10" i="167"/>
  <c r="D11" i="167"/>
  <c r="D12" i="167"/>
  <c r="D13" i="167"/>
  <c r="D14" i="167"/>
  <c r="D15" i="167"/>
  <c r="D16" i="167"/>
  <c r="D17" i="167"/>
  <c r="D18" i="167"/>
  <c r="D19" i="167"/>
  <c r="D20" i="167"/>
  <c r="D21" i="167"/>
  <c r="D22" i="167"/>
  <c r="D23" i="167"/>
  <c r="D24" i="167"/>
  <c r="D25" i="167"/>
  <c r="D26" i="167"/>
  <c r="D27" i="167"/>
  <c r="D28" i="167"/>
  <c r="D29" i="167"/>
  <c r="D30" i="167"/>
  <c r="D31" i="167"/>
  <c r="D32" i="167"/>
  <c r="D33" i="167"/>
</calcChain>
</file>

<file path=xl/comments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<sst xmlns="http://schemas.openxmlformats.org/spreadsheetml/2006/main" count="31532" uniqueCount="4667">
  <si>
    <t>表名</t>
  </si>
  <si>
    <t>说明</t>
  </si>
  <si>
    <t>目录</t>
  </si>
  <si>
    <t>字段名</t>
  </si>
  <si>
    <t>类型</t>
  </si>
  <si>
    <t>主键</t>
  </si>
  <si>
    <t>允许空</t>
  </si>
  <si>
    <t>默认值</t>
  </si>
  <si>
    <t>×</t>
  </si>
  <si>
    <t>证件号码</t>
  </si>
  <si>
    <t>创建时间</t>
  </si>
  <si>
    <t>更新时间</t>
  </si>
  <si>
    <t>证件类型</t>
  </si>
  <si>
    <t>0：正常 1：删除</t>
    <phoneticPr fontId="7" type="noConversion"/>
  </si>
  <si>
    <t>来源代码</t>
    <phoneticPr fontId="7" type="noConversion"/>
  </si>
  <si>
    <t>ZJHM</t>
  </si>
  <si>
    <t>ZJLX</t>
  </si>
  <si>
    <t>VARCHAR2(32)</t>
  </si>
  <si>
    <t>VARCHAR2(2)</t>
  </si>
  <si>
    <t>VARCHAR2(4)</t>
  </si>
  <si>
    <t>保留字段1</t>
    <phoneticPr fontId="7" type="noConversion"/>
  </si>
  <si>
    <t>保留字段3</t>
    <phoneticPr fontId="7" type="noConversion"/>
  </si>
  <si>
    <t>VARCHAR2(200)</t>
  </si>
  <si>
    <t>BACK1</t>
    <phoneticPr fontId="7" type="noConversion"/>
  </si>
  <si>
    <t>BACK2</t>
  </si>
  <si>
    <t>保留字段2</t>
    <phoneticPr fontId="7" type="noConversion"/>
  </si>
  <si>
    <t>BACK3</t>
  </si>
  <si>
    <t>CREATE_DATE</t>
  </si>
  <si>
    <t>UPDATE_DATE</t>
  </si>
  <si>
    <t>删除标志</t>
    <phoneticPr fontId="7" type="noConversion"/>
  </si>
  <si>
    <t>SOURCE_ID</t>
  </si>
  <si>
    <t>索引</t>
    <phoneticPr fontId="7" type="noConversion"/>
  </si>
  <si>
    <t>IDX1</t>
    <phoneticPr fontId="7" type="noConversion"/>
  </si>
  <si>
    <t>VARCHAR2(1)</t>
  </si>
  <si>
    <t>UPDATE_ID</t>
  </si>
  <si>
    <t>字段名</t>
    <phoneticPr fontId="7" type="noConversion"/>
  </si>
  <si>
    <t>×</t>
    <phoneticPr fontId="7" type="noConversion"/>
  </si>
  <si>
    <t>IDX1</t>
    <phoneticPr fontId="7" type="noConversion"/>
  </si>
  <si>
    <t>字典：证件类型【01.身份证】；</t>
    <phoneticPr fontId="7" type="noConversion"/>
  </si>
  <si>
    <t>修改者</t>
  </si>
  <si>
    <t>版本</t>
  </si>
  <si>
    <t>修改日期</t>
  </si>
  <si>
    <t>修改内容</t>
  </si>
  <si>
    <t>CDC_TB_JYXX</t>
    <phoneticPr fontId="7" type="noConversion"/>
  </si>
  <si>
    <t>字典：来源代码【0.系统录入, 1.系统导入, 2.批处理, 8.历史数据导入, 9.自荐上传】；</t>
    <phoneticPr fontId="7" type="noConversion"/>
  </si>
  <si>
    <t>TIMESTAMP</t>
    <phoneticPr fontId="7" type="noConversion"/>
  </si>
  <si>
    <t>STATUS</t>
    <phoneticPr fontId="7" type="noConversion"/>
  </si>
  <si>
    <t>已上线</t>
    <phoneticPr fontId="7" type="noConversion"/>
  </si>
  <si>
    <t>CDC_TB_MBSF_TZCL</t>
    <phoneticPr fontId="7" type="noConversion"/>
  </si>
  <si>
    <t>CDC_TS_FYXX</t>
    <phoneticPr fontId="7" type="noConversion"/>
  </si>
  <si>
    <t>CDC_TS_DIAGNOSIS_DETAIL</t>
    <phoneticPr fontId="7" type="noConversion"/>
  </si>
  <si>
    <t>CDC_TS_LIS_INDICATORS</t>
    <phoneticPr fontId="7" type="noConversion"/>
  </si>
  <si>
    <t>CDC_TS_PATIENT_INFORMATION</t>
    <phoneticPr fontId="7" type="noConversion"/>
  </si>
  <si>
    <t>CDC_TS_RIS_REPORT</t>
    <phoneticPr fontId="7" type="noConversion"/>
  </si>
  <si>
    <t>VARCHAR2(20)</t>
    <phoneticPr fontId="7" type="noConversion"/>
  </si>
  <si>
    <t>QXBM</t>
    <phoneticPr fontId="7" type="noConversion"/>
  </si>
  <si>
    <t>V1.0</t>
    <phoneticPr fontId="7" type="noConversion"/>
  </si>
  <si>
    <t>新建</t>
    <phoneticPr fontId="7" type="noConversion"/>
  </si>
  <si>
    <t>类型</t>
    <phoneticPr fontId="7" type="noConversion"/>
  </si>
  <si>
    <t>DOWNLOAD_FLG</t>
  </si>
  <si>
    <t>下发标志</t>
  </si>
  <si>
    <t>IS_DOWNLOAD</t>
  </si>
  <si>
    <t>1.待下发, 2.已下发；</t>
    <phoneticPr fontId="7" type="noConversion"/>
  </si>
  <si>
    <t>CREATE_ID</t>
  </si>
  <si>
    <t>SYNCHRO_STATUS</t>
  </si>
  <si>
    <t>CDC_TS_LIS_INDICATORS</t>
    <phoneticPr fontId="7" type="noConversion"/>
  </si>
  <si>
    <t>CDC_TS_RIS_REPORT2</t>
    <phoneticPr fontId="7" type="noConversion"/>
  </si>
  <si>
    <t>CDC_TS_GPQY_QYXX</t>
  </si>
  <si>
    <t>居民签约信息推送表</t>
  </si>
  <si>
    <t>签约状态</t>
  </si>
  <si>
    <t>QYSTATE</t>
  </si>
  <si>
    <t>签约日期</t>
  </si>
  <si>
    <t>GPRQ</t>
  </si>
  <si>
    <t>DATA</t>
  </si>
  <si>
    <t>签约医生姓名</t>
  </si>
  <si>
    <t>GPYSXM</t>
  </si>
  <si>
    <t>签约医生工号</t>
  </si>
  <si>
    <t>GPYSNO</t>
  </si>
  <si>
    <t>GPJGDM</t>
  </si>
  <si>
    <t>0未生效 1生效 2签约变更 3解约</t>
    <phoneticPr fontId="7" type="noConversion"/>
  </si>
  <si>
    <t>YYYY-MM-DD</t>
    <phoneticPr fontId="7" type="noConversion"/>
  </si>
  <si>
    <t>签约医疗机构</t>
    <phoneticPr fontId="7" type="noConversion"/>
  </si>
  <si>
    <t>区县编码</t>
    <phoneticPr fontId="7" type="noConversion"/>
  </si>
  <si>
    <t>联系电话</t>
  </si>
  <si>
    <t>xz</t>
    <phoneticPr fontId="7" type="noConversion"/>
  </si>
  <si>
    <t>表名</t>
    <phoneticPr fontId="7" type="noConversion"/>
  </si>
  <si>
    <t>UUID</t>
    <phoneticPr fontId="7" type="noConversion"/>
  </si>
  <si>
    <t>约束/索引</t>
    <phoneticPr fontId="7" type="noConversion"/>
  </si>
  <si>
    <t>模块</t>
    <phoneticPr fontId="7" type="noConversion"/>
  </si>
  <si>
    <t>说明</t>
    <phoneticPr fontId="7" type="noConversion"/>
  </si>
  <si>
    <t>表/视图</t>
    <phoneticPr fontId="7" type="noConversion"/>
  </si>
  <si>
    <t>id</t>
  </si>
  <si>
    <t>varchar(2)</t>
  </si>
  <si>
    <t>varchar(32)</t>
  </si>
  <si>
    <t>备注</t>
  </si>
  <si>
    <t>Y</t>
    <phoneticPr fontId="7" type="noConversion"/>
  </si>
  <si>
    <t>字段描述</t>
    <phoneticPr fontId="7" type="noConversion"/>
  </si>
  <si>
    <t>主键ID</t>
  </si>
  <si>
    <t>姓名</t>
  </si>
  <si>
    <t>身高</t>
  </si>
  <si>
    <t>体重</t>
  </si>
  <si>
    <t>收缩压</t>
  </si>
  <si>
    <t>舒张压</t>
  </si>
  <si>
    <t>varchar(30)</t>
  </si>
  <si>
    <t>varchar(200)</t>
  </si>
  <si>
    <t>kh</t>
    <phoneticPr fontId="7" type="noConversion"/>
  </si>
  <si>
    <t>卡号</t>
    <phoneticPr fontId="7" type="noConversion"/>
  </si>
  <si>
    <t>klx</t>
    <phoneticPr fontId="7" type="noConversion"/>
  </si>
  <si>
    <t>varchar(2)</t>
    <phoneticPr fontId="7" type="noConversion"/>
  </si>
  <si>
    <t>zdmc</t>
    <phoneticPr fontId="7" type="noConversion"/>
  </si>
  <si>
    <t>datetime(0)</t>
    <phoneticPr fontId="7" type="noConversion"/>
  </si>
  <si>
    <t>主键ID</t>
    <phoneticPr fontId="7" type="noConversion"/>
  </si>
  <si>
    <t>varchar(32)</t>
    <phoneticPr fontId="7" type="noConversion"/>
  </si>
  <si>
    <t>number(3)</t>
    <phoneticPr fontId="7" type="noConversion"/>
  </si>
  <si>
    <t>xh</t>
    <phoneticPr fontId="7" type="noConversion"/>
  </si>
  <si>
    <t>字典名称</t>
  </si>
  <si>
    <t>字典代码</t>
  </si>
  <si>
    <t>删除标志</t>
  </si>
  <si>
    <t>创建人</t>
  </si>
  <si>
    <t>更新人</t>
  </si>
  <si>
    <t>remarks</t>
  </si>
  <si>
    <t xml:space="preserve">0：正常 
1：删除 </t>
    <phoneticPr fontId="7" type="noConversion"/>
  </si>
  <si>
    <t>varchar(255)</t>
    <phoneticPr fontId="7" type="noConversion"/>
  </si>
  <si>
    <t>VARCHAR(200)</t>
  </si>
  <si>
    <t>zdlx</t>
    <phoneticPr fontId="7" type="noConversion"/>
  </si>
  <si>
    <r>
      <t>z</t>
    </r>
    <r>
      <rPr>
        <sz val="11"/>
        <color indexed="8"/>
        <rFont val="宋体"/>
        <family val="3"/>
        <charset val="134"/>
      </rPr>
      <t>ddm</t>
    </r>
    <phoneticPr fontId="7" type="noConversion"/>
  </si>
  <si>
    <t>表空间</t>
    <phoneticPr fontId="7" type="noConversion"/>
  </si>
  <si>
    <t>填充比列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</si>
  <si>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</si>
  <si>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</si>
  <si>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</si>
  <si>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</si>
  <si>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</si>
  <si>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</si>
  <si>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'0'</t>
    <phoneticPr fontId="7" type="noConversion"/>
  </si>
  <si>
    <t>ck</t>
    <phoneticPr fontId="7" type="noConversion"/>
  </si>
  <si>
    <t>项目代码</t>
  </si>
  <si>
    <t>项目名称</t>
  </si>
  <si>
    <t>医疗机构id</t>
    <phoneticPr fontId="7" type="noConversion"/>
  </si>
  <si>
    <t>科室id</t>
    <phoneticPr fontId="7" type="noConversion"/>
  </si>
  <si>
    <t>bk1</t>
    <phoneticPr fontId="7" type="noConversion"/>
  </si>
  <si>
    <t>bk2</t>
    <phoneticPr fontId="7" type="noConversion"/>
  </si>
  <si>
    <t>bk3</t>
    <phoneticPr fontId="7" type="noConversion"/>
  </si>
  <si>
    <t>ck</t>
    <phoneticPr fontId="7" type="noConversion"/>
  </si>
  <si>
    <t>医生id</t>
    <phoneticPr fontId="7" type="noConversion"/>
  </si>
  <si>
    <t>VARCHAR(50)</t>
    <phoneticPr fontId="7" type="noConversion"/>
  </si>
  <si>
    <t>VARCHAR(100)</t>
    <phoneticPr fontId="7" type="noConversion"/>
  </si>
  <si>
    <t>序号</t>
    <phoneticPr fontId="7" type="noConversion"/>
  </si>
  <si>
    <t>yljgid</t>
  </si>
  <si>
    <t>字典类型</t>
    <phoneticPr fontId="7" type="noConversion"/>
  </si>
  <si>
    <t>zdlxms</t>
    <phoneticPr fontId="7" type="noConversion"/>
  </si>
  <si>
    <t>字典类型描述</t>
    <phoneticPr fontId="7" type="noConversion"/>
  </si>
  <si>
    <t>字典代码</t>
    <phoneticPr fontId="7" type="noConversion"/>
  </si>
  <si>
    <t>字典名称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</si>
  <si>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</si>
  <si>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</si>
  <si>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</si>
  <si>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</si>
  <si>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备注</t>
    <phoneticPr fontId="7" type="noConversion"/>
  </si>
  <si>
    <t>性别</t>
  </si>
  <si>
    <t>1</t>
  </si>
  <si>
    <t>2</t>
  </si>
  <si>
    <t>0</t>
  </si>
  <si>
    <t>admin</t>
    <phoneticPr fontId="7" type="noConversion"/>
  </si>
  <si>
    <t/>
  </si>
  <si>
    <t>sqksid</t>
    <phoneticPr fontId="7" type="noConversion"/>
  </si>
  <si>
    <t>业务表</t>
  </si>
  <si>
    <t>字典</t>
  </si>
  <si>
    <t>护理项目字典表</t>
    <phoneticPr fontId="7" type="noConversion"/>
  </si>
  <si>
    <t>金额</t>
  </si>
  <si>
    <t>number(10,2)</t>
    <phoneticPr fontId="7" type="noConversion"/>
  </si>
  <si>
    <t>xmmc</t>
    <phoneticPr fontId="7" type="noConversion"/>
  </si>
  <si>
    <t>xmdm</t>
    <phoneticPr fontId="7" type="noConversion"/>
  </si>
  <si>
    <t>je</t>
    <phoneticPr fontId="7" type="noConversion"/>
  </si>
  <si>
    <t>fl</t>
    <phoneticPr fontId="7" type="noConversion"/>
  </si>
  <si>
    <t>卡类型</t>
    <phoneticPr fontId="7" type="noConversion"/>
  </si>
  <si>
    <t>Y</t>
    <phoneticPr fontId="7" type="noConversion"/>
  </si>
  <si>
    <t>T_HL_DIC_GENERAL</t>
    <phoneticPr fontId="7" type="noConversion"/>
  </si>
  <si>
    <t>护理项目字典表</t>
    <phoneticPr fontId="7" type="noConversion"/>
  </si>
  <si>
    <t>护理通用字典表</t>
    <phoneticPr fontId="7" type="noConversion"/>
  </si>
  <si>
    <t>护理通用字典表</t>
    <phoneticPr fontId="7" type="noConversion"/>
  </si>
  <si>
    <t>T_HL_DIC_GENERAL</t>
    <phoneticPr fontId="7" type="noConversion"/>
  </si>
  <si>
    <t>DIC_HLLX</t>
  </si>
  <si>
    <t>DIC_HLZT</t>
  </si>
  <si>
    <t>DIC_JKGLFW</t>
  </si>
  <si>
    <t>DIC_SF</t>
  </si>
  <si>
    <t>待评估</t>
  </si>
  <si>
    <t>家庭医生签约</t>
  </si>
  <si>
    <t>慢病建卡</t>
  </si>
  <si>
    <t>转诊</t>
  </si>
  <si>
    <t>咨询家庭医生</t>
  </si>
  <si>
    <t>否</t>
  </si>
  <si>
    <t>是</t>
  </si>
  <si>
    <t>护理类型</t>
  </si>
  <si>
    <t>护理状态</t>
  </si>
  <si>
    <t>专病护理服务</t>
  </si>
  <si>
    <t>健康管理服务</t>
  </si>
  <si>
    <t>是否</t>
  </si>
  <si>
    <t>xm</t>
  </si>
  <si>
    <t>xb</t>
  </si>
  <si>
    <t>csrq</t>
  </si>
  <si>
    <t>出身日期</t>
  </si>
  <si>
    <t>lxdh</t>
  </si>
  <si>
    <t>就诊门诊号</t>
  </si>
  <si>
    <t>varchar(64)</t>
  </si>
  <si>
    <t>就诊时间</t>
    <phoneticPr fontId="35" type="noConversion"/>
  </si>
  <si>
    <t>登记日期</t>
    <phoneticPr fontId="35" type="noConversion"/>
  </si>
  <si>
    <t>yljgid</t>
    <phoneticPr fontId="7" type="noConversion"/>
  </si>
  <si>
    <t>医生id</t>
    <phoneticPr fontId="7" type="noConversion"/>
  </si>
  <si>
    <t>主键ID</t>
    <phoneticPr fontId="7" type="noConversion"/>
  </si>
  <si>
    <t>护理次数</t>
  </si>
  <si>
    <t>护理剩余次数</t>
  </si>
  <si>
    <t>护理频次</t>
  </si>
  <si>
    <t>护理金额</t>
  </si>
  <si>
    <t>身份证号</t>
    <phoneticPr fontId="7" type="noConversion"/>
  </si>
  <si>
    <t>sfzh</t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</si>
  <si>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</si>
  <si>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</si>
  <si>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datetime</t>
    </r>
    <r>
      <rPr>
        <sz val="11"/>
        <color indexed="8"/>
        <rFont val="宋体"/>
        <family val="3"/>
        <charset val="134"/>
      </rPr>
      <t>(0)</t>
    </r>
    <phoneticPr fontId="35" type="noConversion"/>
  </si>
  <si>
    <t>jzksid</t>
    <phoneticPr fontId="7" type="noConversion"/>
  </si>
  <si>
    <t>科室id</t>
    <phoneticPr fontId="7" type="noConversion"/>
  </si>
  <si>
    <t>就诊科室id</t>
    <phoneticPr fontId="7" type="noConversion"/>
  </si>
  <si>
    <r>
      <t>医疗机构I</t>
    </r>
    <r>
      <rPr>
        <sz val="11"/>
        <color indexed="8"/>
        <rFont val="宋体"/>
        <family val="3"/>
        <charset val="134"/>
      </rPr>
      <t>D</t>
    </r>
    <phoneticPr fontId="7" type="noConversion"/>
  </si>
  <si>
    <r>
      <t>jzys</t>
    </r>
    <r>
      <rPr>
        <sz val="11"/>
        <color indexed="8"/>
        <rFont val="宋体"/>
        <family val="3"/>
        <charset val="134"/>
      </rPr>
      <t>id</t>
    </r>
    <phoneticPr fontId="7" type="noConversion"/>
  </si>
  <si>
    <t>jzmzh</t>
    <phoneticPr fontId="7" type="noConversion"/>
  </si>
  <si>
    <t>jzsj</t>
    <phoneticPr fontId="35" type="noConversion"/>
  </si>
  <si>
    <t>hllx</t>
    <phoneticPr fontId="7" type="noConversion"/>
  </si>
  <si>
    <t>hlxmid</t>
    <phoneticPr fontId="7" type="noConversion"/>
  </si>
  <si>
    <t>护理项目id</t>
    <phoneticPr fontId="7" type="noConversion"/>
  </si>
  <si>
    <t>护理项目字典表.主键ID</t>
    <phoneticPr fontId="7" type="noConversion"/>
  </si>
  <si>
    <t>varchar(200)</t>
    <phoneticPr fontId="7" type="noConversion"/>
  </si>
  <si>
    <t>护理项目名称</t>
    <phoneticPr fontId="7" type="noConversion"/>
  </si>
  <si>
    <t>hlxmmc</t>
    <phoneticPr fontId="7" type="noConversion"/>
  </si>
  <si>
    <t>hlcs</t>
    <phoneticPr fontId="7" type="noConversion"/>
  </si>
  <si>
    <t>hlsycs</t>
    <phoneticPr fontId="7" type="noConversion"/>
  </si>
  <si>
    <t>hlpc</t>
    <phoneticPr fontId="7" type="noConversion"/>
  </si>
  <si>
    <t>hlje</t>
    <phoneticPr fontId="7" type="noConversion"/>
  </si>
  <si>
    <t>datetime</t>
  </si>
  <si>
    <t>病人护理项目申请单.主键ID</t>
    <phoneticPr fontId="7" type="noConversion"/>
  </si>
  <si>
    <t>护理次数</t>
    <phoneticPr fontId="7" type="noConversion"/>
  </si>
  <si>
    <t>zxysid</t>
    <phoneticPr fontId="7" type="noConversion"/>
  </si>
  <si>
    <t>就诊医生id</t>
    <phoneticPr fontId="7" type="noConversion"/>
  </si>
  <si>
    <t>医生id</t>
    <phoneticPr fontId="7" type="noConversion"/>
  </si>
  <si>
    <t>zxrq</t>
    <phoneticPr fontId="7" type="noConversion"/>
  </si>
  <si>
    <t>病人护理项目执行记录</t>
    <phoneticPr fontId="7" type="noConversion"/>
  </si>
  <si>
    <t>医疗机构ID</t>
    <phoneticPr fontId="7" type="noConversion"/>
  </si>
  <si>
    <t>执行科室id</t>
    <phoneticPr fontId="7" type="noConversion"/>
  </si>
  <si>
    <t>sqysid</t>
    <phoneticPr fontId="7" type="noConversion"/>
  </si>
  <si>
    <t>zxksid</t>
    <phoneticPr fontId="7" type="noConversion"/>
  </si>
  <si>
    <t>执行日期</t>
    <phoneticPr fontId="7" type="noConversion"/>
  </si>
  <si>
    <t>执行护士id</t>
    <phoneticPr fontId="7" type="noConversion"/>
  </si>
  <si>
    <t>病人护理项目执行记录</t>
    <phoneticPr fontId="7" type="noConversion"/>
  </si>
  <si>
    <t>护理病人登记信息</t>
    <phoneticPr fontId="7" type="noConversion"/>
  </si>
  <si>
    <t>T_HL_YW_BRDJXX</t>
    <phoneticPr fontId="7" type="noConversion"/>
  </si>
  <si>
    <t>DIC_HLZT</t>
    <phoneticPr fontId="7" type="noConversion"/>
  </si>
  <si>
    <t>字典类型</t>
    <phoneticPr fontId="7" type="noConversion"/>
  </si>
  <si>
    <t>待护理</t>
    <phoneticPr fontId="7" type="noConversion"/>
  </si>
  <si>
    <t>护理中</t>
    <phoneticPr fontId="7" type="noConversion"/>
  </si>
  <si>
    <t>已完成</t>
    <phoneticPr fontId="7" type="noConversion"/>
  </si>
  <si>
    <t>中医护理</t>
    <phoneticPr fontId="7" type="noConversion"/>
  </si>
  <si>
    <t>康复护理</t>
    <phoneticPr fontId="7" type="noConversion"/>
  </si>
  <si>
    <t>母婴护理</t>
    <phoneticPr fontId="7" type="noConversion"/>
  </si>
  <si>
    <t>糖尿病</t>
    <phoneticPr fontId="7" type="noConversion"/>
  </si>
  <si>
    <t>造口伤口</t>
    <phoneticPr fontId="7" type="noConversion"/>
  </si>
  <si>
    <t>PICC护理</t>
    <phoneticPr fontId="7" type="noConversion"/>
  </si>
  <si>
    <t>慢阻肺</t>
    <phoneticPr fontId="7" type="noConversion"/>
  </si>
  <si>
    <t>安宁疗护</t>
    <phoneticPr fontId="7" type="noConversion"/>
  </si>
  <si>
    <t>其他护理</t>
    <phoneticPr fontId="7" type="noConversion"/>
  </si>
  <si>
    <t>djrq</t>
    <phoneticPr fontId="35" type="noConversion"/>
  </si>
  <si>
    <t>sjly</t>
    <phoneticPr fontId="7" type="noConversion"/>
  </si>
  <si>
    <t>varchar(1)</t>
    <phoneticPr fontId="7" type="noConversion"/>
  </si>
  <si>
    <t>病人护理项目医嘱</t>
    <phoneticPr fontId="7" type="noConversion"/>
  </si>
  <si>
    <t>医嘱科室id</t>
    <phoneticPr fontId="7" type="noConversion"/>
  </si>
  <si>
    <t>医嘱医生id</t>
    <phoneticPr fontId="7" type="noConversion"/>
  </si>
  <si>
    <t>执行记录</t>
    <phoneticPr fontId="7" type="noConversion"/>
  </si>
  <si>
    <t>zxjl</t>
    <phoneticPr fontId="7" type="noConversion"/>
  </si>
  <si>
    <t>护理需求</t>
    <phoneticPr fontId="7" type="noConversion"/>
  </si>
  <si>
    <t>hlxq</t>
    <phoneticPr fontId="7" type="noConversion"/>
  </si>
  <si>
    <t>病人需求评估</t>
    <phoneticPr fontId="7" type="noConversion"/>
  </si>
  <si>
    <t>护理病人登记信息.主键ID</t>
    <phoneticPr fontId="7" type="noConversion"/>
  </si>
  <si>
    <t>病人唯一号</t>
    <phoneticPr fontId="7" type="noConversion"/>
  </si>
  <si>
    <t>brid</t>
    <phoneticPr fontId="7" type="noConversion"/>
  </si>
  <si>
    <t>护理项目医嘱id</t>
    <phoneticPr fontId="7" type="noConversion"/>
  </si>
  <si>
    <t>hlxmyzid</t>
    <phoneticPr fontId="7" type="noConversion"/>
  </si>
  <si>
    <t>病人护理项目医嘱.主键ID</t>
    <phoneticPr fontId="7" type="noConversion"/>
  </si>
  <si>
    <t>血糖</t>
  </si>
  <si>
    <t>护理需求描述</t>
  </si>
  <si>
    <t>number(4,1)</t>
    <phoneticPr fontId="7" type="noConversion"/>
  </si>
  <si>
    <t>number(3)</t>
    <phoneticPr fontId="7" type="noConversion"/>
  </si>
  <si>
    <t>number(4,1)</t>
    <phoneticPr fontId="7" type="noConversion"/>
  </si>
  <si>
    <t>number(5,2)</t>
    <phoneticPr fontId="7" type="noConversion"/>
  </si>
  <si>
    <t>pk</t>
  </si>
  <si>
    <t>sg</t>
    <phoneticPr fontId="7" type="noConversion"/>
  </si>
  <si>
    <t>tz</t>
    <phoneticPr fontId="7" type="noConversion"/>
  </si>
  <si>
    <t>ssy</t>
    <phoneticPr fontId="7" type="noConversion"/>
  </si>
  <si>
    <t>szy</t>
    <phoneticPr fontId="7" type="noConversion"/>
  </si>
  <si>
    <t>xt</t>
    <phoneticPr fontId="7" type="noConversion"/>
  </si>
  <si>
    <t>zbhl</t>
    <phoneticPr fontId="7" type="noConversion"/>
  </si>
  <si>
    <t>jkgl</t>
    <phoneticPr fontId="7" type="noConversion"/>
  </si>
  <si>
    <t>varchar(50)</t>
    <phoneticPr fontId="7" type="noConversion"/>
  </si>
  <si>
    <t>DIC_HLJY</t>
    <phoneticPr fontId="7" type="noConversion"/>
  </si>
  <si>
    <t>其他护理建议</t>
    <phoneticPr fontId="7" type="noConversion"/>
  </si>
  <si>
    <t>qt</t>
    <phoneticPr fontId="7" type="noConversion"/>
  </si>
  <si>
    <t>多选，逗号分割
护理通用字典表:
字典类型:DIC_HLLX</t>
    <phoneticPr fontId="7" type="noConversion"/>
  </si>
  <si>
    <t>DIC_JKGLFW</t>
    <phoneticPr fontId="7" type="noConversion"/>
  </si>
  <si>
    <t>多选，逗号分割
护理通用字典表:
字典类型:DIC_JKGLFW</t>
    <phoneticPr fontId="7" type="noConversion"/>
  </si>
  <si>
    <t>DIC_HLJY</t>
    <phoneticPr fontId="7" type="noConversion"/>
  </si>
  <si>
    <t>多选，逗号分割
护理通用字典表:
字典类型:DIC_HLJY</t>
    <phoneticPr fontId="7" type="noConversion"/>
  </si>
  <si>
    <t>T_HL_YW_HLXM_ZXJL</t>
    <phoneticPr fontId="7" type="noConversion"/>
  </si>
  <si>
    <t>T_HL_YW_HLPG</t>
  </si>
  <si>
    <t>T_HL_YW_HLPG</t>
    <phoneticPr fontId="7" type="noConversion"/>
  </si>
  <si>
    <t>T_HL_YW_HLXM_YZ</t>
    <phoneticPr fontId="7" type="noConversion"/>
  </si>
  <si>
    <t>T_HL_YW_HLXM_ZXJL</t>
    <phoneticPr fontId="7" type="noConversion"/>
  </si>
  <si>
    <t>病人护理项目评估建议</t>
    <phoneticPr fontId="7" type="noConversion"/>
  </si>
  <si>
    <t>字段描述</t>
    <phoneticPr fontId="7" type="noConversion"/>
  </si>
  <si>
    <t>约束/索引</t>
    <phoneticPr fontId="7" type="noConversion"/>
  </si>
  <si>
    <t>id</t>
    <phoneticPr fontId="7" type="noConversion"/>
  </si>
  <si>
    <t>varchar(32)</t>
    <phoneticPr fontId="7" type="noConversion"/>
  </si>
  <si>
    <t>pk</t>
    <phoneticPr fontId="7" type="noConversion"/>
  </si>
  <si>
    <t>×</t>
    <phoneticPr fontId="7" type="noConversion"/>
  </si>
  <si>
    <t>wsid</t>
    <phoneticPr fontId="7" type="noConversion"/>
  </si>
  <si>
    <t xml:space="preserve">病历文书id </t>
    <phoneticPr fontId="7" type="noConversion"/>
  </si>
  <si>
    <t>varchar(32)</t>
    <phoneticPr fontId="7" type="noConversion"/>
  </si>
  <si>
    <t>zf</t>
    <phoneticPr fontId="7" type="noConversion"/>
  </si>
  <si>
    <t>总分</t>
    <phoneticPr fontId="7" type="noConversion"/>
  </si>
  <si>
    <t>number(5,2)</t>
    <phoneticPr fontId="7" type="noConversion"/>
  </si>
  <si>
    <t>量表</t>
    <phoneticPr fontId="7" type="noConversion"/>
  </si>
  <si>
    <t>jl</t>
    <phoneticPr fontId="7" type="noConversion"/>
  </si>
  <si>
    <t>结论</t>
    <phoneticPr fontId="7" type="noConversion"/>
  </si>
  <si>
    <t>医疗机构id</t>
    <phoneticPr fontId="7" type="noConversion"/>
  </si>
  <si>
    <t>医疗机构ID</t>
    <phoneticPr fontId="7" type="noConversion"/>
  </si>
  <si>
    <t>ksid</t>
  </si>
  <si>
    <t>科室id</t>
    <phoneticPr fontId="7" type="noConversion"/>
  </si>
  <si>
    <t>科室ID</t>
    <phoneticPr fontId="7" type="noConversion"/>
  </si>
  <si>
    <t>rq</t>
    <phoneticPr fontId="7" type="noConversion"/>
  </si>
  <si>
    <t>日期</t>
  </si>
  <si>
    <t>datetime(0)</t>
    <phoneticPr fontId="7" type="noConversion"/>
  </si>
  <si>
    <t>qmysid</t>
    <phoneticPr fontId="7" type="noConversion"/>
  </si>
  <si>
    <t>签名医生id</t>
    <phoneticPr fontId="7" type="noConversion"/>
  </si>
  <si>
    <t>康复系统医生id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</si>
  <si>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</si>
  <si>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>varchar(2)</t>
    <phoneticPr fontId="7" type="noConversion"/>
  </si>
  <si>
    <t>'0'</t>
    <phoneticPr fontId="7" type="noConversion"/>
  </si>
  <si>
    <t xml:space="preserve">0：正常 
1：删除 </t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</si>
  <si>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</si>
  <si>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</si>
  <si>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</si>
  <si>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</si>
  <si>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</si>
  <si>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</si>
  <si>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t>varchar(32)</t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</si>
  <si>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</si>
  <si>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</si>
  <si>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datetime(0)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</si>
  <si>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</si>
  <si>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</si>
  <si>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填充比列</t>
    <phoneticPr fontId="7" type="noConversion"/>
  </si>
  <si>
    <t>表空间</t>
    <phoneticPr fontId="7" type="noConversion"/>
  </si>
  <si>
    <t>mc</t>
    <phoneticPr fontId="7" type="noConversion"/>
  </si>
  <si>
    <t>xh</t>
    <phoneticPr fontId="7" type="noConversion"/>
  </si>
  <si>
    <t>number(4)</t>
    <phoneticPr fontId="7" type="noConversion"/>
  </si>
  <si>
    <t>文书分类名称</t>
  </si>
  <si>
    <t>fldm</t>
    <phoneticPr fontId="7" type="noConversion"/>
  </si>
  <si>
    <t>文书分类代码</t>
    <phoneticPr fontId="7" type="noConversion"/>
  </si>
  <si>
    <t>flxh</t>
    <phoneticPr fontId="7" type="noConversion"/>
  </si>
  <si>
    <t>文书分类序号</t>
  </si>
  <si>
    <t>bbh</t>
    <phoneticPr fontId="7" type="noConversion"/>
  </si>
  <si>
    <t>版本号</t>
  </si>
  <si>
    <t>number(5,2)</t>
    <phoneticPr fontId="7" type="noConversion"/>
  </si>
  <si>
    <t>url</t>
    <phoneticPr fontId="7" type="noConversion"/>
  </si>
  <si>
    <t>系统关联页面ID（关联菜单信息表通过菜单表进行授权使用）</t>
  </si>
  <si>
    <t>varchar(128)</t>
    <phoneticPr fontId="7" type="noConversion"/>
  </si>
  <si>
    <t>lx</t>
    <phoneticPr fontId="7" type="noConversion"/>
  </si>
  <si>
    <t>文书类型</t>
    <phoneticPr fontId="7" type="noConversion"/>
  </si>
  <si>
    <t>lblx</t>
    <phoneticPr fontId="7" type="noConversion"/>
  </si>
  <si>
    <t>量表类型</t>
    <phoneticPr fontId="7" type="noConversion"/>
  </si>
  <si>
    <t>qtbj</t>
    <phoneticPr fontId="7" type="noConversion"/>
  </si>
  <si>
    <t>启停标记</t>
    <phoneticPr fontId="7" type="noConversion"/>
  </si>
  <si>
    <t>varchar(1)</t>
  </si>
  <si>
    <t>'0'</t>
    <phoneticPr fontId="7" type="noConversion"/>
  </si>
  <si>
    <t>qyrq</t>
    <phoneticPr fontId="7" type="noConversion"/>
  </si>
  <si>
    <t>启用日期</t>
  </si>
  <si>
    <t>tyrq</t>
    <phoneticPr fontId="7" type="noConversion"/>
  </si>
  <si>
    <t>停用日期</t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</si>
  <si>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</si>
  <si>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 xml:space="preserve">0：正常 
1：删除 </t>
    <phoneticPr fontId="7" type="noConversion"/>
  </si>
  <si>
    <t>康复系统医生id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</si>
  <si>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</si>
  <si>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</si>
  <si>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医生id</t>
    <phoneticPr fontId="7" type="noConversion"/>
  </si>
  <si>
    <t>护理记录文书分类字典.主键ID</t>
    <phoneticPr fontId="7" type="noConversion"/>
  </si>
  <si>
    <t>护理类型</t>
    <phoneticPr fontId="7" type="noConversion"/>
  </si>
  <si>
    <t>文书序号</t>
    <phoneticPr fontId="7" type="noConversion"/>
  </si>
  <si>
    <t>pk</t>
    <phoneticPr fontId="7" type="noConversion"/>
  </si>
  <si>
    <t>ck</t>
    <phoneticPr fontId="7" type="noConversion"/>
  </si>
  <si>
    <t>字段描述</t>
    <phoneticPr fontId="7" type="noConversion"/>
  </si>
  <si>
    <t>约束/索引</t>
    <phoneticPr fontId="7" type="noConversion"/>
  </si>
  <si>
    <t>varchar(32)</t>
    <phoneticPr fontId="7" type="noConversion"/>
  </si>
  <si>
    <t>uuid</t>
    <phoneticPr fontId="7" type="noConversion"/>
  </si>
  <si>
    <t>blwsid</t>
    <phoneticPr fontId="7" type="noConversion"/>
  </si>
  <si>
    <t>xmdm</t>
    <phoneticPr fontId="7" type="noConversion"/>
  </si>
  <si>
    <t>项目代码</t>
    <phoneticPr fontId="7" type="noConversion"/>
  </si>
  <si>
    <t>varchar(100)</t>
  </si>
  <si>
    <t>画面项目唯一id</t>
    <phoneticPr fontId="7" type="noConversion"/>
  </si>
  <si>
    <t>xmmc</t>
    <phoneticPr fontId="7" type="noConversion"/>
  </si>
  <si>
    <t>项目名称</t>
    <phoneticPr fontId="7" type="noConversion"/>
  </si>
  <si>
    <t>varchar(300)</t>
  </si>
  <si>
    <t>xmzsm</t>
    <phoneticPr fontId="7" type="noConversion"/>
  </si>
  <si>
    <t>项目值说明</t>
    <phoneticPr fontId="7" type="noConversion"/>
  </si>
  <si>
    <t>xmz</t>
    <phoneticPr fontId="7" type="noConversion"/>
  </si>
  <si>
    <t>项目值</t>
    <phoneticPr fontId="7" type="noConversion"/>
  </si>
  <si>
    <t>fz</t>
    <phoneticPr fontId="7" type="noConversion"/>
  </si>
  <si>
    <t>分值</t>
  </si>
  <si>
    <t>病人护理记录文书索引表.id</t>
    <phoneticPr fontId="7" type="noConversion"/>
  </si>
  <si>
    <t>bz</t>
    <phoneticPr fontId="7" type="noConversion"/>
  </si>
  <si>
    <t>备注</t>
    <phoneticPr fontId="7" type="noConversion"/>
  </si>
  <si>
    <t>varchar</t>
    <phoneticPr fontId="7" type="noConversion"/>
  </si>
  <si>
    <t>varchar(200)</t>
    <phoneticPr fontId="7" type="noConversion"/>
  </si>
  <si>
    <t>护理记录单文书字典</t>
    <phoneticPr fontId="7" type="noConversion"/>
  </si>
  <si>
    <t>病人护理记录单文书索引表</t>
    <phoneticPr fontId="7" type="noConversion"/>
  </si>
  <si>
    <t>病人护理记录单明细项表</t>
    <phoneticPr fontId="7" type="noConversion"/>
  </si>
  <si>
    <t>病人护理记录单文书索引表</t>
    <phoneticPr fontId="7" type="noConversion"/>
  </si>
  <si>
    <t>DIC_HLJY</t>
    <phoneticPr fontId="7" type="noConversion"/>
  </si>
  <si>
    <t>宣教</t>
    <phoneticPr fontId="7" type="noConversion"/>
  </si>
  <si>
    <t>DIC_HLDAFL</t>
    <phoneticPr fontId="7" type="noConversion"/>
  </si>
  <si>
    <t>护理档案分类</t>
    <phoneticPr fontId="7" type="noConversion"/>
  </si>
  <si>
    <t>DIC_HLDAFL</t>
    <phoneticPr fontId="7" type="noConversion"/>
  </si>
  <si>
    <t>护理档案分类</t>
    <phoneticPr fontId="7" type="noConversion"/>
  </si>
  <si>
    <t>hldafl</t>
    <phoneticPr fontId="7" type="noConversion"/>
  </si>
  <si>
    <t>护理通用字典表:
字典类型:DIC_HLDAFL</t>
    <phoneticPr fontId="7" type="noConversion"/>
  </si>
  <si>
    <t>fz</t>
    <phoneticPr fontId="7" type="noConversion"/>
  </si>
  <si>
    <t>number(5,2)</t>
    <phoneticPr fontId="7" type="noConversion"/>
  </si>
  <si>
    <t>lx</t>
    <phoneticPr fontId="7" type="noConversion"/>
  </si>
  <si>
    <t>文书类型</t>
    <phoneticPr fontId="7" type="noConversion"/>
  </si>
  <si>
    <t>varchar(2)</t>
    <phoneticPr fontId="7" type="noConversion"/>
  </si>
  <si>
    <t>打印记录表</t>
    <phoneticPr fontId="7" type="noConversion"/>
  </si>
  <si>
    <t>病人文书索引唯一键</t>
    <phoneticPr fontId="7" type="noConversion"/>
  </si>
  <si>
    <t>ysid</t>
    <phoneticPr fontId="7" type="noConversion"/>
  </si>
  <si>
    <t>病人手术史</t>
    <phoneticPr fontId="7" type="noConversion"/>
  </si>
  <si>
    <t>手术名称</t>
    <phoneticPr fontId="7" type="noConversion"/>
  </si>
  <si>
    <t>手术时间</t>
    <phoneticPr fontId="7" type="noConversion"/>
  </si>
  <si>
    <t>手术医院</t>
    <phoneticPr fontId="7" type="noConversion"/>
  </si>
  <si>
    <t>手术原因</t>
    <phoneticPr fontId="7" type="noConversion"/>
  </si>
  <si>
    <t>varchar(50)</t>
  </si>
  <si>
    <t>varchar(50)</t>
    <phoneticPr fontId="37" type="noConversion"/>
  </si>
  <si>
    <t>datetime(0)</t>
    <phoneticPr fontId="37" type="noConversion"/>
  </si>
  <si>
    <t>varchar(100)</t>
    <phoneticPr fontId="37" type="noConversion"/>
  </si>
  <si>
    <t>术后恢复情况</t>
    <phoneticPr fontId="37" type="noConversion"/>
  </si>
  <si>
    <t>varchar(2)</t>
    <phoneticPr fontId="37" type="noConversion"/>
  </si>
  <si>
    <t>1：良好
2：一般
3：较差</t>
    <phoneticPr fontId="37" type="noConversion"/>
  </si>
  <si>
    <t>ssmc</t>
    <phoneticPr fontId="7" type="noConversion"/>
  </si>
  <si>
    <t>sssj</t>
    <phoneticPr fontId="7" type="noConversion"/>
  </si>
  <si>
    <t>ssyy</t>
    <phoneticPr fontId="7" type="noConversion"/>
  </si>
  <si>
    <t>ssyymc</t>
    <phoneticPr fontId="7" type="noConversion"/>
  </si>
  <si>
    <t>hfqk</t>
    <phoneticPr fontId="37" type="noConversion"/>
  </si>
  <si>
    <t>病人过敏史</t>
    <phoneticPr fontId="7" type="noConversion"/>
  </si>
  <si>
    <t>过敏类型</t>
    <phoneticPr fontId="7" type="noConversion"/>
  </si>
  <si>
    <t>名称</t>
    <phoneticPr fontId="7" type="noConversion"/>
  </si>
  <si>
    <t>反应表现</t>
    <phoneticPr fontId="7" type="noConversion"/>
  </si>
  <si>
    <t>gmlx</t>
    <phoneticPr fontId="7" type="noConversion"/>
  </si>
  <si>
    <t>gmmc</t>
    <phoneticPr fontId="7" type="noConversion"/>
  </si>
  <si>
    <t>fy</t>
    <phoneticPr fontId="7" type="noConversion"/>
  </si>
  <si>
    <t>1：药物过敏
2：环境过敏
3：食物过敏</t>
    <phoneticPr fontId="37" type="noConversion"/>
  </si>
  <si>
    <t>病人家族史</t>
    <phoneticPr fontId="7" type="noConversion"/>
  </si>
  <si>
    <t>疾病名称</t>
    <phoneticPr fontId="7" type="noConversion"/>
  </si>
  <si>
    <t>患病亲属姓名</t>
    <phoneticPr fontId="7" type="noConversion"/>
  </si>
  <si>
    <t>关系</t>
    <phoneticPr fontId="7" type="noConversion"/>
  </si>
  <si>
    <t>患者本人风险评估</t>
    <phoneticPr fontId="7" type="noConversion"/>
  </si>
  <si>
    <t>1：高
2：中
3：低</t>
    <phoneticPr fontId="37" type="noConversion"/>
  </si>
  <si>
    <t>jbmc</t>
    <phoneticPr fontId="7" type="noConversion"/>
  </si>
  <si>
    <t>xm</t>
    <phoneticPr fontId="7" type="noConversion"/>
  </si>
  <si>
    <t>gx</t>
    <phoneticPr fontId="7" type="noConversion"/>
  </si>
  <si>
    <t>fxpg</t>
    <phoneticPr fontId="7" type="noConversion"/>
  </si>
  <si>
    <t>varchar(20)</t>
    <phoneticPr fontId="37" type="noConversion"/>
  </si>
  <si>
    <t>1:兄弟
2：父母</t>
    <phoneticPr fontId="37" type="noConversion"/>
  </si>
  <si>
    <t>varchar(30)</t>
    <phoneticPr fontId="37" type="noConversion"/>
  </si>
  <si>
    <t>wsid</t>
    <phoneticPr fontId="7" type="noConversion"/>
  </si>
  <si>
    <t>病历文书id</t>
    <phoneticPr fontId="7" type="noConversion"/>
  </si>
  <si>
    <t>zdlx</t>
    <phoneticPr fontId="7" type="noConversion"/>
  </si>
  <si>
    <t>字典类型</t>
    <phoneticPr fontId="7" type="noConversion"/>
  </si>
  <si>
    <t>varchar(50)</t>
    <phoneticPr fontId="7" type="noConversion"/>
  </si>
  <si>
    <t>zdlxms</t>
    <phoneticPr fontId="7" type="noConversion"/>
  </si>
  <si>
    <t>zdxh</t>
    <phoneticPr fontId="7" type="noConversion"/>
  </si>
  <si>
    <t>字典序号</t>
    <phoneticPr fontId="7" type="noConversion"/>
  </si>
  <si>
    <t>zddm</t>
    <phoneticPr fontId="7" type="noConversion"/>
  </si>
  <si>
    <t>分值</t>
    <phoneticPr fontId="7" type="noConversion"/>
  </si>
  <si>
    <t>jb</t>
    <phoneticPr fontId="7" type="noConversion"/>
  </si>
  <si>
    <t>级别</t>
  </si>
  <si>
    <t>varchar(100)</t>
    <phoneticPr fontId="7" type="noConversion"/>
  </si>
  <si>
    <t>护理记录单文书字典.主键ID</t>
    <phoneticPr fontId="7" type="noConversion"/>
  </si>
  <si>
    <t>护理记录单文书字典</t>
    <phoneticPr fontId="7" type="noConversion"/>
  </si>
  <si>
    <t>护理通用字典表(数据)</t>
    <phoneticPr fontId="7" type="noConversion"/>
  </si>
  <si>
    <t>护理记录单文书项目字典</t>
    <phoneticPr fontId="7" type="noConversion"/>
  </si>
  <si>
    <t>varchar(300)</t>
    <phoneticPr fontId="7" type="noConversion"/>
  </si>
  <si>
    <t>lblx</t>
    <phoneticPr fontId="7" type="noConversion"/>
  </si>
  <si>
    <t>量表类型</t>
    <phoneticPr fontId="7" type="noConversion"/>
  </si>
  <si>
    <t>varchar(2)</t>
    <phoneticPr fontId="7" type="noConversion"/>
  </si>
  <si>
    <t>1分值结果
2级别</t>
    <phoneticPr fontId="7" type="noConversion"/>
  </si>
  <si>
    <t>病历文书名称</t>
    <phoneticPr fontId="7" type="noConversion"/>
  </si>
  <si>
    <t>病历文书序号</t>
    <phoneticPr fontId="7" type="noConversion"/>
  </si>
  <si>
    <t>文书分类名称</t>
    <phoneticPr fontId="7" type="noConversion"/>
  </si>
  <si>
    <t>文书分类序号</t>
    <phoneticPr fontId="7" type="noConversion"/>
  </si>
  <si>
    <t>版本号</t>
    <phoneticPr fontId="7" type="noConversion"/>
  </si>
  <si>
    <t>系统关联页面ID（关联菜单信息表通过菜单表进行授权使用）</t>
    <phoneticPr fontId="7" type="noConversion"/>
  </si>
  <si>
    <t>启用日期</t>
    <phoneticPr fontId="7" type="noConversion"/>
  </si>
  <si>
    <t>停用日期</t>
    <phoneticPr fontId="7" type="noConversion"/>
  </si>
  <si>
    <t>创建人</t>
    <phoneticPr fontId="7" type="noConversion"/>
  </si>
  <si>
    <t>更新时间</t>
    <phoneticPr fontId="7" type="noConversion"/>
  </si>
  <si>
    <t>remarks</t>
    <phoneticPr fontId="7" type="noConversion"/>
  </si>
  <si>
    <t>admin</t>
  </si>
  <si>
    <t>病历文书id</t>
    <phoneticPr fontId="7" type="noConversion"/>
  </si>
  <si>
    <t>字典类型</t>
    <phoneticPr fontId="7" type="noConversion"/>
  </si>
  <si>
    <t>字典类型描述</t>
    <phoneticPr fontId="7" type="noConversion"/>
  </si>
  <si>
    <t>字典序号</t>
    <phoneticPr fontId="7" type="noConversion"/>
  </si>
  <si>
    <t>字典代码</t>
    <phoneticPr fontId="7" type="noConversion"/>
  </si>
  <si>
    <t>字典名称</t>
    <phoneticPr fontId="7" type="noConversion"/>
  </si>
  <si>
    <t>分值</t>
    <phoneticPr fontId="7" type="noConversion"/>
  </si>
  <si>
    <t>级别</t>
    <phoneticPr fontId="7" type="noConversion"/>
  </si>
  <si>
    <t>删除标志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</si>
  <si>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</si>
  <si>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</si>
  <si>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</si>
  <si>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</si>
  <si>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wsid</t>
    <phoneticPr fontId="7" type="noConversion"/>
  </si>
  <si>
    <t>zdlxms</t>
    <phoneticPr fontId="7" type="noConversion"/>
  </si>
  <si>
    <t>zdxh</t>
    <phoneticPr fontId="7" type="noConversion"/>
  </si>
  <si>
    <t>zddm</t>
    <phoneticPr fontId="7" type="noConversion"/>
  </si>
  <si>
    <t>zdmc</t>
    <phoneticPr fontId="7" type="noConversion"/>
  </si>
  <si>
    <t>fz</t>
    <phoneticPr fontId="7" type="noConversion"/>
  </si>
  <si>
    <t>jb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</si>
  <si>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</si>
  <si>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</si>
  <si>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</si>
  <si>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</si>
  <si>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remarks</t>
    <phoneticPr fontId="7" type="noConversion"/>
  </si>
  <si>
    <t>2024-08-19 17:24:29</t>
  </si>
  <si>
    <t>通用护理</t>
    <phoneticPr fontId="7" type="noConversion"/>
  </si>
  <si>
    <t>通用护理</t>
    <phoneticPr fontId="37" type="noConversion"/>
  </si>
  <si>
    <t>糖尿病护理记录单</t>
  </si>
  <si>
    <t>糖尿病</t>
    <phoneticPr fontId="7" type="noConversion"/>
  </si>
  <si>
    <t>糖尿病</t>
    <phoneticPr fontId="37" type="noConversion"/>
  </si>
  <si>
    <t>造口伤口</t>
    <phoneticPr fontId="7" type="noConversion"/>
  </si>
  <si>
    <t>造口伤口</t>
    <phoneticPr fontId="37" type="noConversion"/>
  </si>
  <si>
    <t>腹膜透析换液护理记录单</t>
    <phoneticPr fontId="37" type="noConversion"/>
  </si>
  <si>
    <t>病人护理项目医嘱</t>
    <phoneticPr fontId="7" type="noConversion"/>
  </si>
  <si>
    <t>病人需求评估</t>
    <phoneticPr fontId="7" type="noConversion"/>
  </si>
  <si>
    <t>病人护理项目评估建议</t>
    <phoneticPr fontId="7" type="noConversion"/>
  </si>
  <si>
    <t>zlcs</t>
    <phoneticPr fontId="7" type="noConversion"/>
  </si>
  <si>
    <t>当次执行次数</t>
    <phoneticPr fontId="7" type="noConversion"/>
  </si>
  <si>
    <t>number(3)</t>
    <phoneticPr fontId="7" type="noConversion"/>
  </si>
  <si>
    <t>病人护理记录单明细项表</t>
    <phoneticPr fontId="7" type="noConversion"/>
  </si>
  <si>
    <t>既往病史评估表_手术史</t>
    <phoneticPr fontId="7" type="noConversion"/>
  </si>
  <si>
    <t>既往病史评估表_过敏史</t>
    <phoneticPr fontId="7" type="noConversion"/>
  </si>
  <si>
    <t>既往病史评估表_家族史</t>
    <phoneticPr fontId="7" type="noConversion"/>
  </si>
  <si>
    <t>糖尿病随访记录单_服药情况</t>
    <phoneticPr fontId="7" type="noConversion"/>
  </si>
  <si>
    <t>药物名称</t>
  </si>
  <si>
    <t>每日用量（次/日）</t>
  </si>
  <si>
    <t>服药时间（中）</t>
  </si>
  <si>
    <t>服药时间（晚）</t>
  </si>
  <si>
    <t>服药时间（睡前）</t>
  </si>
  <si>
    <t>每次服药（g）</t>
  </si>
  <si>
    <t>number(2)</t>
    <phoneticPr fontId="7" type="noConversion"/>
  </si>
  <si>
    <t>number(4,1)</t>
    <phoneticPr fontId="7" type="noConversion"/>
  </si>
  <si>
    <t>糖尿病服药情况</t>
    <phoneticPr fontId="7" type="noConversion"/>
  </si>
  <si>
    <t>ywmc</t>
    <phoneticPr fontId="7" type="noConversion"/>
  </si>
  <si>
    <t>服药时间（早）</t>
    <phoneticPr fontId="37" type="noConversion"/>
  </si>
  <si>
    <t>fycs</t>
    <phoneticPr fontId="7" type="noConversion"/>
  </si>
  <si>
    <t>fyl</t>
    <phoneticPr fontId="37" type="noConversion"/>
  </si>
  <si>
    <t>fysj_za</t>
    <phoneticPr fontId="7" type="noConversion"/>
  </si>
  <si>
    <t>fysj_zo</t>
    <phoneticPr fontId="7" type="noConversion"/>
  </si>
  <si>
    <t>fysj_w</t>
    <phoneticPr fontId="7" type="noConversion"/>
  </si>
  <si>
    <t>fysj_s</t>
    <phoneticPr fontId="7" type="noConversion"/>
  </si>
  <si>
    <t>腹透管更换及维护护理评估单</t>
    <phoneticPr fontId="37" type="noConversion"/>
  </si>
  <si>
    <t>既往病史评估表</t>
    <phoneticPr fontId="37" type="noConversion"/>
  </si>
  <si>
    <t>picc护理记录单</t>
    <phoneticPr fontId="37" type="noConversion"/>
  </si>
  <si>
    <t>中医护理前的患者症状评估</t>
    <phoneticPr fontId="37" type="noConversion"/>
  </si>
  <si>
    <t>T_HL_DIC_HLJLWS</t>
    <phoneticPr fontId="7" type="noConversion"/>
  </si>
  <si>
    <t>护理记录单文书项目字典</t>
    <phoneticPr fontId="7" type="noConversion"/>
  </si>
  <si>
    <t>T_HL_DIC_HLJLWS</t>
    <phoneticPr fontId="7" type="noConversion"/>
  </si>
  <si>
    <t>T_HL_DIC_HLJLWSXM</t>
    <phoneticPr fontId="7" type="noConversion"/>
  </si>
  <si>
    <t>T_HL_DIC_HLJLWSXM</t>
    <phoneticPr fontId="7" type="noConversion"/>
  </si>
  <si>
    <t>TS_HLYTH_KEEP</t>
  </si>
  <si>
    <t>打印记录表</t>
    <phoneticPr fontId="7" type="noConversion"/>
  </si>
  <si>
    <t>医生id</t>
    <phoneticPr fontId="7" type="noConversion"/>
  </si>
  <si>
    <t>number(2)</t>
    <phoneticPr fontId="7" type="noConversion"/>
  </si>
  <si>
    <t>DIC_HLLX</t>
    <phoneticPr fontId="7" type="noConversion"/>
  </si>
  <si>
    <t>图片影像存储表</t>
    <phoneticPr fontId="7" type="noConversion"/>
  </si>
  <si>
    <t>图片影像存储表</t>
    <phoneticPr fontId="7" type="noConversion"/>
  </si>
  <si>
    <t>varchar(200)</t>
    <phoneticPr fontId="7" type="noConversion"/>
  </si>
  <si>
    <t>文件存储地址</t>
    <phoneticPr fontId="7" type="noConversion"/>
  </si>
  <si>
    <t>护理档案分类</t>
    <phoneticPr fontId="7" type="noConversion"/>
  </si>
  <si>
    <t>ck</t>
    <phoneticPr fontId="7" type="noConversion"/>
  </si>
  <si>
    <t>xh</t>
    <phoneticPr fontId="7" type="noConversion"/>
  </si>
  <si>
    <t>序号</t>
    <phoneticPr fontId="7" type="noConversion"/>
  </si>
  <si>
    <t>护理档案分类机构对照表</t>
    <phoneticPr fontId="7" type="noConversion"/>
  </si>
  <si>
    <t>用户ID</t>
    <phoneticPr fontId="7" type="noConversion"/>
  </si>
  <si>
    <t>ksid</t>
    <phoneticPr fontId="7" type="noConversion"/>
  </si>
  <si>
    <t>所属科室ID</t>
    <phoneticPr fontId="7" type="noConversion"/>
  </si>
  <si>
    <t>病人需求评估.主键ID</t>
    <phoneticPr fontId="7" type="noConversion"/>
  </si>
  <si>
    <t>pgid</t>
    <phoneticPr fontId="7" type="noConversion"/>
  </si>
  <si>
    <t>评估唯一号</t>
    <phoneticPr fontId="7" type="noConversion"/>
  </si>
  <si>
    <t>idx1</t>
    <phoneticPr fontId="7" type="noConversion"/>
  </si>
  <si>
    <t>T_HL_YW_HLXM_PGJY</t>
    <phoneticPr fontId="7" type="noConversion"/>
  </si>
  <si>
    <t>zdid</t>
    <phoneticPr fontId="7" type="noConversion"/>
  </si>
  <si>
    <t>诊断id</t>
    <phoneticPr fontId="7" type="noConversion"/>
  </si>
  <si>
    <t>varchar(32)</t>
    <phoneticPr fontId="7" type="noConversion"/>
  </si>
  <si>
    <t>诊断ID</t>
    <phoneticPr fontId="7" type="noConversion"/>
  </si>
  <si>
    <t>慢病管理对象</t>
    <phoneticPr fontId="7" type="noConversion"/>
  </si>
  <si>
    <t>mbgldx</t>
    <phoneticPr fontId="7" type="noConversion"/>
  </si>
  <si>
    <t>varchar(32)</t>
    <phoneticPr fontId="7" type="noConversion"/>
  </si>
  <si>
    <t>varchar(32)</t>
    <phoneticPr fontId="7" type="noConversion"/>
  </si>
  <si>
    <t>签约医生</t>
    <phoneticPr fontId="7" type="noConversion"/>
  </si>
  <si>
    <t>签约日期</t>
    <phoneticPr fontId="7" type="noConversion"/>
  </si>
  <si>
    <t>qyys</t>
    <phoneticPr fontId="7" type="noConversion"/>
  </si>
  <si>
    <t>qyrq</t>
    <phoneticPr fontId="7" type="noConversion"/>
  </si>
  <si>
    <t>签约机构名称</t>
    <phoneticPr fontId="7" type="noConversion"/>
  </si>
  <si>
    <t>qyjg</t>
    <phoneticPr fontId="7" type="noConversion"/>
  </si>
  <si>
    <t>疾病诊断字典表</t>
    <phoneticPr fontId="7" type="noConversion"/>
  </si>
  <si>
    <t>诊断代码</t>
  </si>
  <si>
    <t>诊断名称</t>
    <phoneticPr fontId="7" type="noConversion"/>
  </si>
  <si>
    <t>疾病诊断字典表</t>
    <phoneticPr fontId="7" type="noConversion"/>
  </si>
  <si>
    <t>T_HL_YW_HLJLWSSYB</t>
  </si>
  <si>
    <t>T_HL_YW_HLJLMX</t>
  </si>
  <si>
    <t>T_HL_YW_TPYXCCB</t>
  </si>
  <si>
    <t>T_HL_YW_BRSSS</t>
  </si>
  <si>
    <t>T_HL_YW_BRGMS</t>
  </si>
  <si>
    <t>T_HL_YW_BRJZS</t>
  </si>
  <si>
    <t>T_HL_YW_TNBFYQK</t>
  </si>
  <si>
    <t>T_HL_YW_DYJL</t>
  </si>
  <si>
    <t>T_HL_DIC_JBZD</t>
    <phoneticPr fontId="7" type="noConversion"/>
  </si>
  <si>
    <t>sp</t>
    <phoneticPr fontId="7" type="noConversion"/>
  </si>
  <si>
    <t>首拼</t>
    <phoneticPr fontId="7" type="noConversion"/>
  </si>
  <si>
    <t>VARCHAR(50)</t>
    <phoneticPr fontId="7" type="noConversion"/>
  </si>
  <si>
    <t>DIC_XB</t>
    <phoneticPr fontId="7" type="noConversion"/>
  </si>
  <si>
    <t>性别</t>
    <phoneticPr fontId="7" type="noConversion"/>
  </si>
  <si>
    <t>男</t>
    <phoneticPr fontId="7" type="noConversion"/>
  </si>
  <si>
    <t>女</t>
    <phoneticPr fontId="7" type="noConversion"/>
  </si>
  <si>
    <t>未知</t>
    <phoneticPr fontId="7" type="noConversion"/>
  </si>
  <si>
    <t>数据来源</t>
    <phoneticPr fontId="7" type="noConversion"/>
  </si>
  <si>
    <t>数据来源</t>
    <phoneticPr fontId="7" type="noConversion"/>
  </si>
  <si>
    <t>his</t>
    <phoneticPr fontId="7" type="noConversion"/>
  </si>
  <si>
    <t>本系统</t>
    <phoneticPr fontId="7" type="noConversion"/>
  </si>
  <si>
    <t>ck,idx1</t>
    <phoneticPr fontId="7" type="noConversion"/>
  </si>
  <si>
    <t>医疗机构ID</t>
    <phoneticPr fontId="7" type="noConversion"/>
  </si>
  <si>
    <t>url</t>
    <phoneticPr fontId="7" type="noConversion"/>
  </si>
  <si>
    <t>生活护理</t>
    <phoneticPr fontId="7" type="noConversion"/>
  </si>
  <si>
    <t>医师病人关注表</t>
    <phoneticPr fontId="7" type="noConversion"/>
  </si>
  <si>
    <t>T_HL_YW_YSBRGZB</t>
    <phoneticPr fontId="7" type="noConversion"/>
  </si>
  <si>
    <t>医师病人关注表</t>
    <phoneticPr fontId="7" type="noConversion"/>
  </si>
  <si>
    <t>护理记录单文书字典(数据)</t>
    <phoneticPr fontId="7" type="noConversion"/>
  </si>
  <si>
    <t>护理记录单文书项目字典(数据)</t>
    <phoneticPr fontId="7" type="noConversion"/>
  </si>
  <si>
    <t>T_HL_YW_HLJLWSSYB</t>
    <phoneticPr fontId="7" type="noConversion"/>
  </si>
  <si>
    <t>护理档案分类记录文书对照表</t>
    <phoneticPr fontId="7" type="noConversion"/>
  </si>
  <si>
    <t>护理档案分类记录文书对照表</t>
    <phoneticPr fontId="7" type="noConversion"/>
  </si>
  <si>
    <t>疼痛评估</t>
    <phoneticPr fontId="37" type="noConversion"/>
  </si>
  <si>
    <t>varchar(20)</t>
    <phoneticPr fontId="7" type="noConversion"/>
  </si>
  <si>
    <t>T_HL_YW_HLXM_PGJY</t>
    <phoneticPr fontId="7" type="noConversion"/>
  </si>
  <si>
    <t>T_HL_YW_HLXM_YZ</t>
    <phoneticPr fontId="7" type="noConversion"/>
  </si>
  <si>
    <t>picc护理评估单</t>
    <phoneticPr fontId="37" type="noConversion"/>
  </si>
  <si>
    <t>慢阻肺</t>
    <phoneticPr fontId="7" type="noConversion"/>
  </si>
  <si>
    <t>慢阻肺</t>
    <phoneticPr fontId="7" type="noConversion"/>
  </si>
  <si>
    <t>慢阻肺护理记录单</t>
    <phoneticPr fontId="37" type="noConversion"/>
  </si>
  <si>
    <t>慢阻肺护理评估单</t>
    <phoneticPr fontId="37" type="noConversion"/>
  </si>
  <si>
    <t>安宁疗护患者评估一</t>
    <phoneticPr fontId="37" type="noConversion"/>
  </si>
  <si>
    <t>安宁疗护患者评估二</t>
    <phoneticPr fontId="37" type="noConversion"/>
  </si>
  <si>
    <t>初步疼痛评估表</t>
    <phoneticPr fontId="37" type="noConversion"/>
  </si>
  <si>
    <t>持续疼痛评估表</t>
    <phoneticPr fontId="37" type="noConversion"/>
  </si>
  <si>
    <t>生存周期评估表</t>
    <phoneticPr fontId="37" type="noConversion"/>
  </si>
  <si>
    <t>志愿者服务记录表</t>
    <phoneticPr fontId="37" type="noConversion"/>
  </si>
  <si>
    <t>家属意见反馈</t>
    <phoneticPr fontId="37" type="noConversion"/>
  </si>
  <si>
    <t>安宁疗护护理计划书</t>
    <phoneticPr fontId="37" type="noConversion"/>
  </si>
  <si>
    <t>康复计划模板</t>
    <phoneticPr fontId="37" type="noConversion"/>
  </si>
  <si>
    <t>康复护理</t>
    <phoneticPr fontId="7" type="noConversion"/>
  </si>
  <si>
    <t>康复护理</t>
    <phoneticPr fontId="37" type="noConversion"/>
  </si>
  <si>
    <t>肢体康复指导护理记录单</t>
    <phoneticPr fontId="37" type="noConversion"/>
  </si>
  <si>
    <t>患者肢体功能评估量表</t>
    <phoneticPr fontId="37" type="noConversion"/>
  </si>
  <si>
    <t>母婴护理</t>
    <phoneticPr fontId="7" type="noConversion"/>
  </si>
  <si>
    <t>母婴护理</t>
    <phoneticPr fontId="7" type="noConversion"/>
  </si>
  <si>
    <t>生活护理</t>
    <phoneticPr fontId="7" type="noConversion"/>
  </si>
  <si>
    <t>居家营养方案支持模板</t>
    <phoneticPr fontId="37" type="noConversion"/>
  </si>
  <si>
    <t>barthel指数(生活能力)</t>
    <phoneticPr fontId="37" type="noConversion"/>
  </si>
  <si>
    <t>其他护理</t>
    <phoneticPr fontId="7" type="noConversion"/>
  </si>
  <si>
    <t>其他护理</t>
    <phoneticPr fontId="7" type="noConversion"/>
  </si>
  <si>
    <t>汉密尔顿抑郁量表</t>
    <phoneticPr fontId="37" type="noConversion"/>
  </si>
  <si>
    <t>贝克焦虑量表(BAI)</t>
    <phoneticPr fontId="37" type="noConversion"/>
  </si>
  <si>
    <t>冷疗护理记录单</t>
    <phoneticPr fontId="37" type="noConversion"/>
  </si>
  <si>
    <t>热疗护理记录单</t>
    <phoneticPr fontId="37" type="noConversion"/>
  </si>
  <si>
    <t>留置导尿护理记录单</t>
    <phoneticPr fontId="37" type="noConversion"/>
  </si>
  <si>
    <t>吸氧护理记录单</t>
    <phoneticPr fontId="37" type="noConversion"/>
  </si>
  <si>
    <t>吸痰护理记录单</t>
    <phoneticPr fontId="37" type="noConversion"/>
  </si>
  <si>
    <t>生命体征监测护理记录单</t>
    <phoneticPr fontId="37" type="noConversion"/>
  </si>
  <si>
    <t>糖尿病饮食指导</t>
    <phoneticPr fontId="37" type="noConversion"/>
  </si>
  <si>
    <t>糖尿病运动指导</t>
    <phoneticPr fontId="37" type="noConversion"/>
  </si>
  <si>
    <t>zdid</t>
    <phoneticPr fontId="7" type="noConversion"/>
  </si>
  <si>
    <t>模板标题</t>
    <phoneticPr fontId="7" type="noConversion"/>
  </si>
  <si>
    <t>varchar(60)</t>
    <phoneticPr fontId="7" type="noConversion"/>
  </si>
  <si>
    <t>varchar(50)</t>
    <phoneticPr fontId="7" type="noConversion"/>
  </si>
  <si>
    <t>模板类别</t>
    <phoneticPr fontId="7" type="noConversion"/>
  </si>
  <si>
    <t>mblb</t>
    <phoneticPr fontId="7" type="noConversion"/>
  </si>
  <si>
    <t>模板内容</t>
    <phoneticPr fontId="7" type="noConversion"/>
  </si>
  <si>
    <t>mbnr</t>
    <phoneticPr fontId="7" type="noConversion"/>
  </si>
  <si>
    <t>varchar(2)</t>
    <phoneticPr fontId="7" type="noConversion"/>
  </si>
  <si>
    <t>varchar</t>
    <phoneticPr fontId="7" type="noConversion"/>
  </si>
  <si>
    <t>护理记录模板表</t>
    <phoneticPr fontId="7" type="noConversion"/>
  </si>
  <si>
    <t>idx1</t>
    <phoneticPr fontId="7" type="noConversion"/>
  </si>
  <si>
    <t>idx1</t>
    <phoneticPr fontId="7" type="noConversion"/>
  </si>
  <si>
    <t>模板名称</t>
    <phoneticPr fontId="7" type="noConversion"/>
  </si>
  <si>
    <t>mbmc</t>
    <phoneticPr fontId="7" type="noConversion"/>
  </si>
  <si>
    <t>护理记录模板表</t>
    <phoneticPr fontId="7" type="noConversion"/>
  </si>
  <si>
    <t>T_HL_DIC_HLJLMBB</t>
    <phoneticPr fontId="7" type="noConversion"/>
  </si>
  <si>
    <t>模板类别</t>
    <phoneticPr fontId="7" type="noConversion"/>
  </si>
  <si>
    <t>DIC_SJLY</t>
    <phoneticPr fontId="7" type="noConversion"/>
  </si>
  <si>
    <t>DIC_MBLB</t>
    <phoneticPr fontId="7" type="noConversion"/>
  </si>
  <si>
    <t>个人</t>
    <phoneticPr fontId="7" type="noConversion"/>
  </si>
  <si>
    <t>科室</t>
    <phoneticPr fontId="7" type="noConversion"/>
  </si>
  <si>
    <t>护理类型</t>
    <phoneticPr fontId="7" type="noConversion"/>
  </si>
  <si>
    <t>护理业务
(U_HLYTH)</t>
    <phoneticPr fontId="7" type="noConversion"/>
  </si>
  <si>
    <t>DIC_HLZT</t>
    <phoneticPr fontId="7" type="noConversion"/>
  </si>
  <si>
    <t>DIC_XB</t>
    <phoneticPr fontId="7" type="noConversion"/>
  </si>
  <si>
    <t>DIC_KLX</t>
    <phoneticPr fontId="7" type="noConversion"/>
  </si>
  <si>
    <t>卡类型</t>
    <phoneticPr fontId="7" type="noConversion"/>
  </si>
  <si>
    <t>上海市社保卡</t>
    <phoneticPr fontId="7" type="noConversion"/>
  </si>
  <si>
    <t>上海市统一自费就诊卡</t>
    <phoneticPr fontId="7" type="noConversion"/>
  </si>
  <si>
    <t>异地社保卡</t>
    <phoneticPr fontId="7" type="noConversion"/>
  </si>
  <si>
    <t>其他卡</t>
    <phoneticPr fontId="7" type="noConversion"/>
  </si>
  <si>
    <t>上海市医保卡</t>
    <phoneticPr fontId="7" type="noConversion"/>
  </si>
  <si>
    <t>DIC_KLX</t>
    <phoneticPr fontId="7" type="noConversion"/>
  </si>
  <si>
    <t>护理通用字典表:
字典类型:DIC_XB</t>
    <phoneticPr fontId="7" type="noConversion"/>
  </si>
  <si>
    <t>护理通用字典表:
字典类型:DIC_KLX</t>
    <phoneticPr fontId="7" type="noConversion"/>
  </si>
  <si>
    <t>护理通用字典表:
字典类型:DIC_SJLY</t>
    <phoneticPr fontId="7" type="noConversion"/>
  </si>
  <si>
    <t>Y</t>
    <phoneticPr fontId="7" type="noConversion"/>
  </si>
  <si>
    <t>DIC_LBLX</t>
    <phoneticPr fontId="7" type="noConversion"/>
  </si>
  <si>
    <t>量表类型</t>
  </si>
  <si>
    <t>admin</t>
    <phoneticPr fontId="7" type="noConversion"/>
  </si>
  <si>
    <t>admin</t>
    <phoneticPr fontId="7" type="noConversion"/>
  </si>
  <si>
    <t>Y</t>
    <phoneticPr fontId="7" type="noConversion"/>
  </si>
  <si>
    <t>DIC_LBLX</t>
    <phoneticPr fontId="7" type="noConversion"/>
  </si>
  <si>
    <t>DIC_WSLX</t>
    <phoneticPr fontId="7" type="noConversion"/>
  </si>
  <si>
    <t>文书类型</t>
    <phoneticPr fontId="7" type="noConversion"/>
  </si>
  <si>
    <t>删除标志</t>
    <phoneticPr fontId="7" type="noConversion"/>
  </si>
  <si>
    <t xml:space="preserve">0：正常 
1：删除 </t>
    <phoneticPr fontId="7" type="noConversion"/>
  </si>
  <si>
    <t xml:space="preserve">正常 </t>
    <phoneticPr fontId="7" type="noConversion"/>
  </si>
  <si>
    <t xml:space="preserve">删除 </t>
    <phoneticPr fontId="7" type="noConversion"/>
  </si>
  <si>
    <t>DIC_SCBZ</t>
    <phoneticPr fontId="7" type="noConversion"/>
  </si>
  <si>
    <t>启停标记</t>
    <phoneticPr fontId="7" type="noConversion"/>
  </si>
  <si>
    <t>启停标记</t>
    <phoneticPr fontId="7" type="noConversion"/>
  </si>
  <si>
    <t xml:space="preserve">0：启用
1：停用 </t>
    <phoneticPr fontId="7" type="noConversion"/>
  </si>
  <si>
    <t>启用</t>
    <phoneticPr fontId="7" type="noConversion"/>
  </si>
  <si>
    <t xml:space="preserve">停用 </t>
    <phoneticPr fontId="7" type="noConversion"/>
  </si>
  <si>
    <t>DIC_QTBZ</t>
    <phoneticPr fontId="7" type="noConversion"/>
  </si>
  <si>
    <t>DIC_QTBZ</t>
    <phoneticPr fontId="7" type="noConversion"/>
  </si>
  <si>
    <t>医生id</t>
    <phoneticPr fontId="7" type="noConversion"/>
  </si>
  <si>
    <t>评估量表</t>
    <phoneticPr fontId="7" type="noConversion"/>
  </si>
  <si>
    <t>护理记录单</t>
    <phoneticPr fontId="7" type="noConversion"/>
  </si>
  <si>
    <t>宣教</t>
    <phoneticPr fontId="7" type="noConversion"/>
  </si>
  <si>
    <t>营养补充剂名称</t>
    <phoneticPr fontId="38" type="noConversion"/>
  </si>
  <si>
    <t>mc</t>
    <phoneticPr fontId="7" type="noConversion"/>
  </si>
  <si>
    <t>剂量</t>
    <phoneticPr fontId="38" type="noConversion"/>
  </si>
  <si>
    <t>varchar(20)</t>
    <phoneticPr fontId="38" type="noConversion"/>
  </si>
  <si>
    <t>jl</t>
    <phoneticPr fontId="7" type="noConversion"/>
  </si>
  <si>
    <t>使用时间</t>
    <phoneticPr fontId="37" type="noConversion"/>
  </si>
  <si>
    <t>sysj</t>
    <phoneticPr fontId="38" type="noConversion"/>
  </si>
  <si>
    <t>居家营养方案_营养补充剂</t>
    <phoneticPr fontId="7" type="noConversion"/>
  </si>
  <si>
    <t>居家营养方案_营养补充剂</t>
    <phoneticPr fontId="7" type="noConversion"/>
  </si>
  <si>
    <t>T_HL_YW_YYBC</t>
    <phoneticPr fontId="38" type="noConversion"/>
  </si>
  <si>
    <t>主键ID</t>
    <phoneticPr fontId="7" type="noConversion"/>
  </si>
  <si>
    <t>id</t>
    <phoneticPr fontId="7" type="noConversion"/>
  </si>
  <si>
    <t>9ED0AC340CFAB21103BD9E7A16119653</t>
  </si>
  <si>
    <t>7874B2340CFAB21153BBE70252E9371F</t>
  </si>
  <si>
    <t>B750B8340CFAB2112E84DCC7EA528475</t>
  </si>
  <si>
    <t>3547BF340CFAB21102B2C30A1C60773E</t>
  </si>
  <si>
    <t>F702C6340CFAB21173921026EBD31564</t>
  </si>
  <si>
    <t>DA38CD340CFAB21121BF2F53F989011A</t>
  </si>
  <si>
    <t>088AD4340CFAB2119AA070B95A67D44B</t>
  </si>
  <si>
    <t>20AFDB340CFAB211B39272ABF357F31C</t>
  </si>
  <si>
    <t>54D5E2340CFAB2117BB8131127184C13</t>
  </si>
  <si>
    <t>D20BEA340CFAB211D3BF915592730B4C</t>
  </si>
  <si>
    <t>DE97F0340CFAB2119F8E1434D77FFE1E</t>
  </si>
  <si>
    <t>CECCF7340CFAB211B59F8A108DB59D22</t>
  </si>
  <si>
    <t>D2B2FF340CFAB211AD9A5F178169A11E</t>
  </si>
  <si>
    <t>44A706350CFAB2119FBD2A4C9D15623C</t>
  </si>
  <si>
    <t>E3730E350CFAB21190811B66F2621D5F</t>
  </si>
  <si>
    <t>9F7516350CFAB2110ABE8B806C85493D</t>
  </si>
  <si>
    <t>54A91D350CFAB211E9BAB426F0FD2874</t>
  </si>
  <si>
    <t>7B1825350CFAB21135B72E43AD487853</t>
  </si>
  <si>
    <t>89F92B350CFAB2115BA083669CA3277E</t>
  </si>
  <si>
    <t>AE4433350CFAB21146BDB153457CAC40</t>
  </si>
  <si>
    <t>E61F38350CFAB211C5891DB6F0FB3E61</t>
  </si>
  <si>
    <t>FE2D3E350CFAB21140B92D7AA69ED000</t>
  </si>
  <si>
    <t>137B44350CFAB211B6A735E0680B8417</t>
  </si>
  <si>
    <t>9DFD4A350CFAB2112FBC2EB13D0B6546</t>
  </si>
  <si>
    <t>240F52350CFAB21157AA2FE5BE48D149</t>
  </si>
  <si>
    <t>6B4C59350CFAB211B4B450B5017BE817</t>
  </si>
  <si>
    <t>216660350CFAB211058D42E5CD0C6953</t>
  </si>
  <si>
    <t>4DCC68350CFAB2110B8C72B42CBC9602</t>
  </si>
  <si>
    <t>AE836F350CFAB211A8BE484397DE1B10</t>
  </si>
  <si>
    <t>F68276350CFAB2117CA29A7607F3D50F</t>
  </si>
  <si>
    <t>DD567D350CFAB21109A725EA623D6041</t>
  </si>
  <si>
    <t>F08A84350CFAB2116D8D65FADDD59D5E</t>
  </si>
  <si>
    <t>3B718C350CFAB211C196D23EFDAAC124</t>
  </si>
  <si>
    <t>768793350CFAB211BD98291F1176296E</t>
  </si>
  <si>
    <t>5FD4A8350CFAB211E48C7F3CF1F44A6B</t>
  </si>
  <si>
    <t>0AEAAF350CFAB21185A773F8CE3DC446</t>
  </si>
  <si>
    <t>D335B6350CFAB2116C90F1ACA3474419</t>
  </si>
  <si>
    <t>7C10BC350CFAB211FBB2DA70E6E0B948</t>
  </si>
  <si>
    <t>221FC2350CFAB21112BE8C56394B3237</t>
  </si>
  <si>
    <t>E45CCA350CFAB2115F988C257D86745F</t>
  </si>
  <si>
    <t>A760D1350CFAB211E08C244569B8CF65</t>
  </si>
  <si>
    <t>143BD9350CFAB2115785CF09CCC6AD4F</t>
  </si>
  <si>
    <t>4577E0350CFAB211B5A6FFC39BFAC821</t>
  </si>
  <si>
    <t>60A8E7350CFAB211CD855C7C2E8F482F</t>
  </si>
  <si>
    <t>64A4EE350CFAB211D0BA40A010B3FD05</t>
  </si>
  <si>
    <t>7DD6F5350CFAB211FEB4D8A80F3F0F36</t>
  </si>
  <si>
    <t>2EDFFD350CFAB211D8B7EBE7200C5C59</t>
  </si>
  <si>
    <t>T_HL_YW_YYBC</t>
    <phoneticPr fontId="7" type="noConversion"/>
  </si>
  <si>
    <t>T_HL_YW_TPYXCCB</t>
    <phoneticPr fontId="7" type="noConversion"/>
  </si>
  <si>
    <t>DIC_YW</t>
    <phoneticPr fontId="7" type="noConversion"/>
  </si>
  <si>
    <t>有无</t>
    <phoneticPr fontId="7" type="noConversion"/>
  </si>
  <si>
    <t>有</t>
    <phoneticPr fontId="7" type="noConversion"/>
  </si>
  <si>
    <t>无</t>
    <phoneticPr fontId="7" type="noConversion"/>
  </si>
  <si>
    <t>varchar(500)</t>
    <phoneticPr fontId="7" type="noConversion"/>
  </si>
  <si>
    <t>病史描述</t>
    <phoneticPr fontId="7" type="noConversion"/>
  </si>
  <si>
    <t>hlxq</t>
    <phoneticPr fontId="7" type="noConversion"/>
  </si>
  <si>
    <t>bs</t>
    <phoneticPr fontId="7" type="noConversion"/>
  </si>
  <si>
    <t>护理档案分类机构对照表</t>
    <phoneticPr fontId="7" type="noConversion"/>
  </si>
  <si>
    <t>T_HL_DIC_HLDAFLJGDZ</t>
    <phoneticPr fontId="7" type="noConversion"/>
  </si>
  <si>
    <t>ck</t>
    <phoneticPr fontId="38" type="noConversion"/>
  </si>
  <si>
    <t>字典类型描述</t>
    <phoneticPr fontId="7" type="noConversion"/>
  </si>
  <si>
    <t>根据字典类型采番（从1开始）</t>
    <phoneticPr fontId="37" type="noConversion"/>
  </si>
  <si>
    <t>护理档案分类</t>
    <phoneticPr fontId="7" type="noConversion"/>
  </si>
  <si>
    <t>根据护理档案分类采番（从1开始）</t>
    <phoneticPr fontId="37" type="noConversion"/>
  </si>
  <si>
    <t>医疗机构ID</t>
    <phoneticPr fontId="7" type="noConversion"/>
  </si>
  <si>
    <t>根据医疗机构ID采番（从1开始）</t>
    <phoneticPr fontId="38" type="noConversion"/>
  </si>
  <si>
    <t>护理通用字典表:
字典类型:DIC_HLZT</t>
    <phoneticPr fontId="7" type="noConversion"/>
  </si>
  <si>
    <t>护理状态</t>
    <phoneticPr fontId="7" type="noConversion"/>
  </si>
  <si>
    <t>hlzt</t>
    <phoneticPr fontId="7" type="noConversion"/>
  </si>
  <si>
    <t>治疗室表</t>
    <phoneticPr fontId="7" type="noConversion"/>
  </si>
  <si>
    <t>pk,ck</t>
    <phoneticPr fontId="7" type="noConversion"/>
  </si>
  <si>
    <t>organ_id</t>
    <phoneticPr fontId="7" type="noConversion"/>
  </si>
  <si>
    <t>机构ID</t>
    <phoneticPr fontId="7" type="noConversion"/>
  </si>
  <si>
    <t>医疗机构字典id</t>
    <phoneticPr fontId="7" type="noConversion"/>
  </si>
  <si>
    <t>dept_id</t>
    <phoneticPr fontId="7" type="noConversion"/>
  </si>
  <si>
    <t>科室表id</t>
    <phoneticPr fontId="7" type="noConversion"/>
  </si>
  <si>
    <t>name</t>
    <phoneticPr fontId="7" type="noConversion"/>
  </si>
  <si>
    <t>治疗室名称</t>
    <phoneticPr fontId="7" type="noConversion"/>
  </si>
  <si>
    <t>T_HL_DIC_ZLS</t>
  </si>
  <si>
    <t>TS_HLYTH_KEEP</t>
    <phoneticPr fontId="7" type="noConversion"/>
  </si>
  <si>
    <t>TS_HLYTH_KEEP</t>
    <phoneticPr fontId="7" type="noConversion"/>
  </si>
  <si>
    <t>治疗室表</t>
    <phoneticPr fontId="7" type="noConversion"/>
  </si>
  <si>
    <t>Y</t>
    <phoneticPr fontId="7" type="noConversion"/>
  </si>
  <si>
    <t>糖尿病随访记录单</t>
  </si>
  <si>
    <t>饮食习惯评估表</t>
  </si>
  <si>
    <t>饮食习惯评估表</t>
    <phoneticPr fontId="37" type="noConversion"/>
  </si>
  <si>
    <t>T_HL_YW_YSBRGZB</t>
    <phoneticPr fontId="7" type="noConversion"/>
  </si>
  <si>
    <t>T_HL_YW_HLJSB</t>
    <phoneticPr fontId="7" type="noConversion"/>
  </si>
  <si>
    <t>pgksid</t>
    <phoneticPr fontId="7" type="noConversion"/>
  </si>
  <si>
    <t>pgysid</t>
    <phoneticPr fontId="7" type="noConversion"/>
  </si>
  <si>
    <t>pgrq</t>
    <phoneticPr fontId="7" type="noConversion"/>
  </si>
  <si>
    <t>djksid</t>
    <phoneticPr fontId="7" type="noConversion"/>
  </si>
  <si>
    <t>登记科室id</t>
    <phoneticPr fontId="7" type="noConversion"/>
  </si>
  <si>
    <t>djysid</t>
    <phoneticPr fontId="7" type="noConversion"/>
  </si>
  <si>
    <t>登记医生id</t>
    <phoneticPr fontId="7" type="noConversion"/>
  </si>
  <si>
    <t>T_HL_YW_ZCZXJSB</t>
    <phoneticPr fontId="7" type="noConversion"/>
  </si>
  <si>
    <t>支持中心每日结算表</t>
    <phoneticPr fontId="7" type="noConversion"/>
  </si>
  <si>
    <t>支持中心每日结算表</t>
    <phoneticPr fontId="7" type="noConversion"/>
  </si>
  <si>
    <t>业务日期</t>
    <phoneticPr fontId="7" type="noConversion"/>
  </si>
  <si>
    <t>今日登记人数</t>
    <phoneticPr fontId="7" type="noConversion"/>
  </si>
  <si>
    <t>今日登记人次</t>
    <phoneticPr fontId="7" type="noConversion"/>
  </si>
  <si>
    <t>今日评估人数</t>
    <phoneticPr fontId="7" type="noConversion"/>
  </si>
  <si>
    <t>今日评估人次</t>
    <phoneticPr fontId="7" type="noConversion"/>
  </si>
  <si>
    <t>今日护理人数</t>
    <phoneticPr fontId="7" type="noConversion"/>
  </si>
  <si>
    <t>今日护理人次</t>
    <phoneticPr fontId="7" type="noConversion"/>
  </si>
  <si>
    <t>本周登记人数</t>
    <phoneticPr fontId="7" type="noConversion"/>
  </si>
  <si>
    <t>本周登记人次</t>
    <phoneticPr fontId="7" type="noConversion"/>
  </si>
  <si>
    <t>本周评估人数</t>
    <phoneticPr fontId="7" type="noConversion"/>
  </si>
  <si>
    <t>本周评估人次</t>
    <phoneticPr fontId="7" type="noConversion"/>
  </si>
  <si>
    <t>本周护理人数</t>
    <phoneticPr fontId="7" type="noConversion"/>
  </si>
  <si>
    <t>本周护理人次</t>
    <phoneticPr fontId="7" type="noConversion"/>
  </si>
  <si>
    <t>累计登记人数</t>
    <phoneticPr fontId="7" type="noConversion"/>
  </si>
  <si>
    <t>累计登记人次</t>
    <phoneticPr fontId="7" type="noConversion"/>
  </si>
  <si>
    <t>累计评估人数</t>
    <phoneticPr fontId="7" type="noConversion"/>
  </si>
  <si>
    <t>累计评估人次</t>
    <phoneticPr fontId="7" type="noConversion"/>
  </si>
  <si>
    <t>djrs_dr</t>
    <phoneticPr fontId="7" type="noConversion"/>
  </si>
  <si>
    <t>djrc_dr</t>
    <phoneticPr fontId="7" type="noConversion"/>
  </si>
  <si>
    <t>pgrs_dr</t>
    <phoneticPr fontId="7" type="noConversion"/>
  </si>
  <si>
    <t>hlrs_dr</t>
    <phoneticPr fontId="7" type="noConversion"/>
  </si>
  <si>
    <t>hlrc_dr</t>
    <phoneticPr fontId="7" type="noConversion"/>
  </si>
  <si>
    <t>pgrc_dr</t>
    <phoneticPr fontId="7" type="noConversion"/>
  </si>
  <si>
    <t>djrs_bz</t>
    <phoneticPr fontId="7" type="noConversion"/>
  </si>
  <si>
    <t>djrc_bz</t>
    <phoneticPr fontId="7" type="noConversion"/>
  </si>
  <si>
    <t>pgrs_bz</t>
    <phoneticPr fontId="7" type="noConversion"/>
  </si>
  <si>
    <t>pgrc_bz</t>
    <phoneticPr fontId="7" type="noConversion"/>
  </si>
  <si>
    <t>hlrs_bz</t>
    <phoneticPr fontId="7" type="noConversion"/>
  </si>
  <si>
    <t>hlrc_bz</t>
    <phoneticPr fontId="7" type="noConversion"/>
  </si>
  <si>
    <t>累计护理人数</t>
    <phoneticPr fontId="7" type="noConversion"/>
  </si>
  <si>
    <t>累计护理人次</t>
    <phoneticPr fontId="7" type="noConversion"/>
  </si>
  <si>
    <t>number(8)</t>
    <phoneticPr fontId="7" type="noConversion"/>
  </si>
  <si>
    <t>ck</t>
  </si>
  <si>
    <t>ck</t>
    <phoneticPr fontId="7" type="noConversion"/>
  </si>
  <si>
    <t>统计维度</t>
    <phoneticPr fontId="7" type="noConversion"/>
  </si>
  <si>
    <t>varchar(2)</t>
    <phoneticPr fontId="7" type="noConversion"/>
  </si>
  <si>
    <t>tjwd</t>
    <phoneticPr fontId="7" type="noConversion"/>
  </si>
  <si>
    <t>ywrq</t>
    <phoneticPr fontId="35" type="noConversion"/>
  </si>
  <si>
    <t>ywrq</t>
    <phoneticPr fontId="35" type="noConversion"/>
  </si>
  <si>
    <t>本月护理人数</t>
    <phoneticPr fontId="7" type="noConversion"/>
  </si>
  <si>
    <t>hlrs_dr</t>
    <phoneticPr fontId="7" type="noConversion"/>
  </si>
  <si>
    <t>hlrs_bz</t>
    <phoneticPr fontId="7" type="noConversion"/>
  </si>
  <si>
    <t>hlrs_by</t>
    <phoneticPr fontId="7" type="noConversion"/>
  </si>
  <si>
    <t>hlrc_by</t>
    <phoneticPr fontId="7" type="noConversion"/>
  </si>
  <si>
    <t>djrs_lj</t>
    <phoneticPr fontId="7" type="noConversion"/>
  </si>
  <si>
    <t>djrc_lj</t>
    <phoneticPr fontId="7" type="noConversion"/>
  </si>
  <si>
    <t>pgrs_lj</t>
    <phoneticPr fontId="7" type="noConversion"/>
  </si>
  <si>
    <t>pgrc_lj</t>
    <phoneticPr fontId="7" type="noConversion"/>
  </si>
  <si>
    <t>hlrs_lj</t>
    <phoneticPr fontId="7" type="noConversion"/>
  </si>
  <si>
    <t>hlrc_lj</t>
    <phoneticPr fontId="7" type="noConversion"/>
  </si>
  <si>
    <t>护理每日结算表</t>
    <phoneticPr fontId="7" type="noConversion"/>
  </si>
  <si>
    <t>护理每日结算表</t>
    <phoneticPr fontId="7" type="noConversion"/>
  </si>
  <si>
    <t>1：医生
2：科室
3：机构</t>
    <phoneticPr fontId="7" type="noConversion"/>
  </si>
  <si>
    <t>通用伤口护理记录单</t>
    <phoneticPr fontId="37" type="noConversion"/>
  </si>
  <si>
    <t>伤口皮肤状态评估表</t>
    <phoneticPr fontId="37" type="noConversion"/>
  </si>
  <si>
    <t>慢性伤口护理评估表</t>
    <phoneticPr fontId="37" type="noConversion"/>
  </si>
  <si>
    <t>创建时间</t>
    <phoneticPr fontId="37" type="noConversion"/>
  </si>
  <si>
    <t>评估科室id</t>
    <phoneticPr fontId="7" type="noConversion"/>
  </si>
  <si>
    <t>评估护士id</t>
    <phoneticPr fontId="7" type="noConversion"/>
  </si>
  <si>
    <t>评估日期</t>
    <phoneticPr fontId="7" type="noConversion"/>
  </si>
  <si>
    <t>ck</t>
    <phoneticPr fontId="7" type="noConversion"/>
  </si>
  <si>
    <t>疑难造口护理记录单</t>
  </si>
  <si>
    <t>疑难造口护理记录单</t>
    <phoneticPr fontId="37" type="noConversion"/>
  </si>
  <si>
    <t>DIC_SF</t>
    <phoneticPr fontId="7" type="noConversion"/>
  </si>
  <si>
    <t>是否上门</t>
    <phoneticPr fontId="7" type="noConversion"/>
  </si>
  <si>
    <t>普通造口护理记录单</t>
    <phoneticPr fontId="37" type="noConversion"/>
  </si>
  <si>
    <t>his</t>
    <phoneticPr fontId="7" type="noConversion"/>
  </si>
  <si>
    <t>idx1</t>
    <phoneticPr fontId="7" type="noConversion"/>
  </si>
  <si>
    <t>T_HL_DIC_HLXM</t>
    <phoneticPr fontId="7" type="noConversion"/>
  </si>
  <si>
    <t>Y</t>
    <phoneticPr fontId="7" type="noConversion"/>
  </si>
  <si>
    <t>护理档案分类指导建议表</t>
    <phoneticPr fontId="7" type="noConversion"/>
  </si>
  <si>
    <t>护理档案分类指导建议表</t>
    <phoneticPr fontId="7" type="noConversion"/>
  </si>
  <si>
    <t>指导建议</t>
    <phoneticPr fontId="7" type="noConversion"/>
  </si>
  <si>
    <t>zdjy</t>
    <phoneticPr fontId="7" type="noConversion"/>
  </si>
  <si>
    <t>T_HL_DIC_HLDAFLWSDZ</t>
    <phoneticPr fontId="7" type="noConversion"/>
  </si>
  <si>
    <t>护理通用字典表:
字典类型:DIC_MBLB</t>
    <phoneticPr fontId="7" type="noConversion"/>
  </si>
  <si>
    <t>sfsm</t>
    <phoneticPr fontId="7" type="noConversion"/>
  </si>
  <si>
    <t>LX_XB</t>
  </si>
  <si>
    <t>男</t>
  </si>
  <si>
    <t>女</t>
  </si>
  <si>
    <t>未知</t>
  </si>
  <si>
    <t>LX_HYQK</t>
  </si>
  <si>
    <t>婚姻</t>
  </si>
  <si>
    <t>已婚</t>
  </si>
  <si>
    <t>未婚</t>
  </si>
  <si>
    <t>离异</t>
  </si>
  <si>
    <t>LX_WHCD</t>
  </si>
  <si>
    <t>文化程度</t>
  </si>
  <si>
    <t>博士</t>
  </si>
  <si>
    <t>硕士</t>
  </si>
  <si>
    <t>本科</t>
  </si>
  <si>
    <t>专科</t>
  </si>
  <si>
    <t>高中</t>
  </si>
  <si>
    <t>初中</t>
  </si>
  <si>
    <t>小学</t>
  </si>
  <si>
    <t>文盲</t>
  </si>
  <si>
    <t>有</t>
  </si>
  <si>
    <t>无</t>
  </si>
  <si>
    <t>LX_SFFS</t>
  </si>
  <si>
    <t>随访方式</t>
  </si>
  <si>
    <t>门诊</t>
  </si>
  <si>
    <t>上门</t>
  </si>
  <si>
    <t>电话</t>
  </si>
  <si>
    <t>LX_ZZ</t>
  </si>
  <si>
    <t>症状</t>
  </si>
  <si>
    <t>无症状</t>
  </si>
  <si>
    <t>多饮</t>
  </si>
  <si>
    <t>多食</t>
  </si>
  <si>
    <t>视物模糊</t>
  </si>
  <si>
    <t>多尿</t>
  </si>
  <si>
    <t>感染</t>
  </si>
  <si>
    <t>手脚麻木</t>
  </si>
  <si>
    <t>下肢水肿</t>
  </si>
  <si>
    <t>体重明显下降</t>
  </si>
  <si>
    <t>LX_XLTZ</t>
  </si>
  <si>
    <t>心理调整</t>
  </si>
  <si>
    <t>良好</t>
  </si>
  <si>
    <t>一般</t>
  </si>
  <si>
    <t>差</t>
  </si>
  <si>
    <t>LX_ZYXW</t>
  </si>
  <si>
    <t>遵医行为</t>
  </si>
  <si>
    <t>LX_FYYCX</t>
  </si>
  <si>
    <t>服药依从性</t>
  </si>
  <si>
    <t>规律</t>
  </si>
  <si>
    <t>间断</t>
  </si>
  <si>
    <t>不服药</t>
  </si>
  <si>
    <t>LX_YWBLFY</t>
  </si>
  <si>
    <t>药物不良反应</t>
  </si>
  <si>
    <t>LX_DXTFY</t>
  </si>
  <si>
    <t>低血糖反应</t>
  </si>
  <si>
    <t>偶尔</t>
  </si>
  <si>
    <t>频繁</t>
  </si>
  <si>
    <t>LX_SFFL</t>
  </si>
  <si>
    <t>随访分类</t>
  </si>
  <si>
    <t>控制满意</t>
  </si>
  <si>
    <t>控制不满意</t>
  </si>
  <si>
    <t>不良反应</t>
  </si>
  <si>
    <t>并发症</t>
  </si>
  <si>
    <t>教育内容</t>
  </si>
  <si>
    <t>饮食</t>
  </si>
  <si>
    <t>糖尿病随访教育记录表</t>
  </si>
  <si>
    <t>运动</t>
  </si>
  <si>
    <t>注射</t>
  </si>
  <si>
    <t>服药</t>
  </si>
  <si>
    <t>低血糖</t>
  </si>
  <si>
    <t>评估</t>
  </si>
  <si>
    <t>LX_MRCC</t>
  </si>
  <si>
    <t>每日餐次</t>
  </si>
  <si>
    <t>1 - 2 餐</t>
  </si>
  <si>
    <t>3 餐</t>
  </si>
  <si>
    <t>4 餐及以上</t>
  </si>
  <si>
    <t>LX_YCPL</t>
  </si>
  <si>
    <t>早中晚餐频率</t>
  </si>
  <si>
    <t>每天都吃</t>
  </si>
  <si>
    <t>偶尔吃</t>
  </si>
  <si>
    <t>几乎不吃</t>
  </si>
  <si>
    <t>LX_LSPL</t>
  </si>
  <si>
    <t>零食频率</t>
  </si>
  <si>
    <t>每天多次</t>
  </si>
  <si>
    <t>每天 1 - 2 次</t>
  </si>
  <si>
    <t>LX_KW</t>
  </si>
  <si>
    <t>口味</t>
  </si>
  <si>
    <t>偏好咸</t>
  </si>
  <si>
    <t>偏好甜</t>
  </si>
  <si>
    <t>偏好辣</t>
  </si>
  <si>
    <t>清淡</t>
  </si>
  <si>
    <t>烹饪方式</t>
  </si>
  <si>
    <t>油炸、烧烤居多</t>
  </si>
  <si>
    <t>煎炒居多</t>
  </si>
  <si>
    <t>蒸煮居多</t>
  </si>
  <si>
    <t>LX_WCJCPL</t>
  </si>
  <si>
    <t>外出就餐频率</t>
  </si>
  <si>
    <t>每周多次</t>
  </si>
  <si>
    <t>每周 1 - 2 次</t>
  </si>
  <si>
    <t>每月 1 - 2 次</t>
  </si>
  <si>
    <t>很少</t>
  </si>
  <si>
    <t>LX_ZS</t>
  </si>
  <si>
    <t>主食</t>
  </si>
  <si>
    <t>以精制米面为主</t>
  </si>
  <si>
    <t>粗细粮搭配</t>
  </si>
  <si>
    <t>以粗粮为主</t>
  </si>
  <si>
    <t>LX_SC</t>
  </si>
  <si>
    <t>蔬菜</t>
  </si>
  <si>
    <t>很少吃</t>
  </si>
  <si>
    <t>每天 1 - 2 种</t>
  </si>
  <si>
    <t>每天 3 种及以上</t>
  </si>
  <si>
    <t>LX_SG</t>
  </si>
  <si>
    <t>水果</t>
  </si>
  <si>
    <t>LX_RL</t>
  </si>
  <si>
    <t>肉类</t>
  </si>
  <si>
    <t>红白肉均衡</t>
  </si>
  <si>
    <t>以红肉（猪、牛、羊）为主</t>
  </si>
  <si>
    <t>以白肉（鸡、鸭、鱼）为主</t>
  </si>
  <si>
    <t>LX_DL</t>
  </si>
  <si>
    <t>蛋类</t>
  </si>
  <si>
    <t>每周 1 - 3 个</t>
  </si>
  <si>
    <t>每周 4 个及以上</t>
  </si>
  <si>
    <t>LX_NL</t>
  </si>
  <si>
    <t>奶类</t>
  </si>
  <si>
    <t>很少喝</t>
  </si>
  <si>
    <t>每天都喝</t>
  </si>
  <si>
    <t>LX_DZP</t>
  </si>
  <si>
    <t>豆类及豆制品</t>
  </si>
  <si>
    <t>每周 4 次及以上</t>
  </si>
  <si>
    <t>LX_JG</t>
  </si>
  <si>
    <t>坚果</t>
  </si>
  <si>
    <t>LX_YSGL</t>
  </si>
  <si>
    <t>饮食规律</t>
  </si>
  <si>
    <t>定时定量</t>
  </si>
  <si>
    <t>暴饮暴食</t>
  </si>
  <si>
    <t>LX_MRYSL</t>
  </si>
  <si>
    <t>每日饮水量（ml）</t>
  </si>
  <si>
    <t>＜500</t>
  </si>
  <si>
    <t>500 - 1500</t>
  </si>
  <si>
    <t>1500 - 2000</t>
  </si>
  <si>
    <t>＞2000</t>
  </si>
  <si>
    <t>LX_YSLX</t>
  </si>
  <si>
    <t>饮水类型</t>
  </si>
  <si>
    <t>以饮料为主</t>
  </si>
  <si>
    <t>饮料和白开水各半</t>
  </si>
  <si>
    <t>以白开水为主</t>
  </si>
  <si>
    <t>LX_SKLX</t>
  </si>
  <si>
    <t>伤口类型</t>
  </si>
  <si>
    <t>手术切口</t>
  </si>
  <si>
    <t>通用伤口护理记录单</t>
  </si>
  <si>
    <t>创伤伤口</t>
  </si>
  <si>
    <t>压疮</t>
  </si>
  <si>
    <t>溃疡</t>
  </si>
  <si>
    <t>其他</t>
  </si>
  <si>
    <t>LX_SKYS</t>
  </si>
  <si>
    <t>伤口外观_颜色</t>
  </si>
  <si>
    <t>正常</t>
  </si>
  <si>
    <t>发红</t>
  </si>
  <si>
    <t>发紫</t>
  </si>
  <si>
    <t>LX_SKQW</t>
  </si>
  <si>
    <t>伤口外观_气味</t>
  </si>
  <si>
    <t>轻微</t>
  </si>
  <si>
    <t>明显</t>
  </si>
  <si>
    <t>LX_SKSY</t>
  </si>
  <si>
    <t>伤口外观_渗液</t>
  </si>
  <si>
    <t>少量</t>
  </si>
  <si>
    <t>中量</t>
  </si>
  <si>
    <t>大量</t>
  </si>
  <si>
    <t>LX_FHCD</t>
  </si>
  <si>
    <t>皮肤发红程度</t>
  </si>
  <si>
    <t>轻</t>
  </si>
  <si>
    <t>伤口皮肤状态评估表</t>
  </si>
  <si>
    <t>中</t>
  </si>
  <si>
    <t>重</t>
  </si>
  <si>
    <t>LX_NXFBW</t>
  </si>
  <si>
    <t>脓性分泌物</t>
  </si>
  <si>
    <t>少</t>
  </si>
  <si>
    <t>多</t>
  </si>
  <si>
    <t>LX_ZKLX</t>
  </si>
  <si>
    <t>造口类型</t>
  </si>
  <si>
    <t>压力性损伤</t>
  </si>
  <si>
    <t>慢性伤口护理评估表</t>
  </si>
  <si>
    <t>糖尿病足溃疡</t>
  </si>
  <si>
    <t>静脉性溃疡</t>
  </si>
  <si>
    <t>动脉性溃疡</t>
  </si>
  <si>
    <t>伤伤口不愈合</t>
  </si>
  <si>
    <t xml:space="preserve">其他 </t>
  </si>
  <si>
    <t>红色</t>
  </si>
  <si>
    <t>黄色</t>
  </si>
  <si>
    <t>黑色</t>
  </si>
  <si>
    <t>LX_TTXZ</t>
  </si>
  <si>
    <t>疼痛性质</t>
  </si>
  <si>
    <t>刺痛</t>
  </si>
  <si>
    <t>胀痛</t>
  </si>
  <si>
    <t>烧灼痛</t>
  </si>
  <si>
    <t>LX_JCJB</t>
  </si>
  <si>
    <t>基础疾病</t>
  </si>
  <si>
    <t>糖尿病</t>
  </si>
  <si>
    <t>心血管疾病</t>
  </si>
  <si>
    <t>呼吸系统疾病</t>
  </si>
  <si>
    <t>LX_GJZJ</t>
  </si>
  <si>
    <t>感觉知觉</t>
  </si>
  <si>
    <t>完全受限</t>
  </si>
  <si>
    <t>Braden压疮评估量表</t>
  </si>
  <si>
    <t>非常受限</t>
  </si>
  <si>
    <t>轻度受限</t>
  </si>
  <si>
    <t>没有改变</t>
  </si>
  <si>
    <t>LX_CSCD</t>
  </si>
  <si>
    <t>潮湿程度</t>
  </si>
  <si>
    <t>持续潮湿</t>
  </si>
  <si>
    <t>非常潮湿</t>
  </si>
  <si>
    <t>偶尔潮湿</t>
  </si>
  <si>
    <t>很少潮湿</t>
  </si>
  <si>
    <t>LX_HDNL</t>
  </si>
  <si>
    <t>活动能力</t>
  </si>
  <si>
    <t>卧床不起</t>
  </si>
  <si>
    <t>局限于轮椅</t>
  </si>
  <si>
    <t>偶尔行走</t>
  </si>
  <si>
    <t>经常行走</t>
  </si>
  <si>
    <t>LX_YDNL</t>
  </si>
  <si>
    <t>移动能力</t>
  </si>
  <si>
    <t>完全无法移动</t>
  </si>
  <si>
    <t>严重受限</t>
  </si>
  <si>
    <t>不受限</t>
  </si>
  <si>
    <t>LX_YYSQNL</t>
  </si>
  <si>
    <t>营养摄取能力</t>
  </si>
  <si>
    <t>非常差</t>
  </si>
  <si>
    <t>可能不足</t>
  </si>
  <si>
    <t>充足</t>
  </si>
  <si>
    <t>LX_MCL</t>
  </si>
  <si>
    <t>摩擦力和剪切力</t>
  </si>
  <si>
    <t>有问题</t>
  </si>
  <si>
    <t>有潜在问题</t>
  </si>
  <si>
    <t>无明显问题</t>
  </si>
  <si>
    <t>切割伤</t>
  </si>
  <si>
    <t>急性伤口护理记录单</t>
  </si>
  <si>
    <t>撕裂伤</t>
  </si>
  <si>
    <t>擦伤</t>
  </si>
  <si>
    <t>烧伤</t>
  </si>
  <si>
    <t>刺伤</t>
  </si>
  <si>
    <t>咬伤</t>
  </si>
  <si>
    <t>挤压伤</t>
  </si>
  <si>
    <t>爆炸伤</t>
  </si>
  <si>
    <t>LX_SKBY</t>
  </si>
  <si>
    <t>伤口边缘</t>
  </si>
  <si>
    <t>不整齐</t>
  </si>
  <si>
    <t>LX_SKCX</t>
  </si>
  <si>
    <t>伤口出血</t>
  </si>
  <si>
    <t>LX_SKWR</t>
  </si>
  <si>
    <t>伤口污染</t>
  </si>
  <si>
    <t>轻度</t>
  </si>
  <si>
    <t>中度</t>
  </si>
  <si>
    <t>重度</t>
  </si>
  <si>
    <t>周围组织_肿胀</t>
  </si>
  <si>
    <t>LX_YS</t>
  </si>
  <si>
    <t>周围组织_颜色</t>
  </si>
  <si>
    <t>LX_WD</t>
  </si>
  <si>
    <t>周围组织_温度</t>
  </si>
  <si>
    <t>升温</t>
  </si>
  <si>
    <t>降低</t>
  </si>
  <si>
    <t>LX_GJ</t>
  </si>
  <si>
    <t>周围组织_感觉</t>
  </si>
  <si>
    <t>麻木</t>
  </si>
  <si>
    <t>减退</t>
  </si>
  <si>
    <t>LX_HDD</t>
  </si>
  <si>
    <t>周围组织_活动度</t>
  </si>
  <si>
    <t>受限</t>
  </si>
  <si>
    <t>周围皮肤_完整性</t>
  </si>
  <si>
    <t>有破损</t>
  </si>
  <si>
    <t>糜烂</t>
  </si>
  <si>
    <t>无破损</t>
  </si>
  <si>
    <t>周围皮肤_颜色</t>
  </si>
  <si>
    <t>LX_SD</t>
  </si>
  <si>
    <t>周围组织_湿度</t>
  </si>
  <si>
    <t>干燥</t>
  </si>
  <si>
    <t>潮湿</t>
  </si>
  <si>
    <t>LX_PXW_XZ</t>
  </si>
  <si>
    <t>排泄物_性状</t>
  </si>
  <si>
    <t>稀便</t>
  </si>
  <si>
    <t>干便</t>
  </si>
  <si>
    <t>水样便</t>
  </si>
  <si>
    <t>LX_PXW_QW</t>
  </si>
  <si>
    <t>排泄物_气味</t>
  </si>
  <si>
    <t>异常</t>
  </si>
  <si>
    <t>LX_PXW_PXGL</t>
  </si>
  <si>
    <t>排泄物_排泄规律</t>
  </si>
  <si>
    <t>不规律</t>
  </si>
  <si>
    <t>LX_ZKZKGS</t>
  </si>
  <si>
    <t>造口状况改善</t>
  </si>
  <si>
    <t>好转</t>
  </si>
  <si>
    <t>无变化</t>
  </si>
  <si>
    <t>恶化</t>
  </si>
  <si>
    <t>LX_PFWTHJ</t>
  </si>
  <si>
    <t>皮肤问题缓解</t>
  </si>
  <si>
    <t>减轻</t>
  </si>
  <si>
    <t>加重</t>
  </si>
  <si>
    <t>LX_PXWTGS</t>
  </si>
  <si>
    <t>排泄问题改善</t>
  </si>
  <si>
    <t>正常化</t>
  </si>
  <si>
    <t>部分改善</t>
  </si>
  <si>
    <t>无改善</t>
  </si>
  <si>
    <t>LX_ZWHLNL</t>
  </si>
  <si>
    <t>患者自我护理能力</t>
  </si>
  <si>
    <t>熟练掌握</t>
  </si>
  <si>
    <t>基本掌握</t>
  </si>
  <si>
    <t>仍需指导</t>
  </si>
  <si>
    <t>LX_ZKNM_XZ</t>
  </si>
  <si>
    <t>造口黏膜_形状</t>
  </si>
  <si>
    <t>圆形</t>
  </si>
  <si>
    <t>普通造口护理记录单</t>
  </si>
  <si>
    <t>椭圆形</t>
  </si>
  <si>
    <t>不规则形</t>
  </si>
  <si>
    <t>LX_ZKNM_YS</t>
  </si>
  <si>
    <t>造口黏膜_颜色</t>
  </si>
  <si>
    <t>红润</t>
  </si>
  <si>
    <t>暗红</t>
  </si>
  <si>
    <t>苍白</t>
  </si>
  <si>
    <t>LX_ZKNM_GD</t>
  </si>
  <si>
    <t>造口黏膜_高度</t>
  </si>
  <si>
    <t>与皮肤平齐</t>
  </si>
  <si>
    <t>低于皮肤</t>
  </si>
  <si>
    <t>高于皮肤</t>
  </si>
  <si>
    <t>LX_ZKZWPF_WZX</t>
  </si>
  <si>
    <t>造口周围皮肤_完整性</t>
  </si>
  <si>
    <t>完整</t>
  </si>
  <si>
    <t>破损</t>
  </si>
  <si>
    <t>LX_ZKZWPF_YS</t>
  </si>
  <si>
    <t>造口周围皮肤_颜色</t>
  </si>
  <si>
    <t>LX_PXW_PXL</t>
  </si>
  <si>
    <t>排泄物_排泄量</t>
  </si>
  <si>
    <t>LX_ZKNMQK</t>
  </si>
  <si>
    <t>造口黏膜情况</t>
  </si>
  <si>
    <t>LX_ZKZWPF</t>
  </si>
  <si>
    <t>造口周围皮肤</t>
  </si>
  <si>
    <t>LX_HZSSD</t>
  </si>
  <si>
    <t>患者舒适度</t>
  </si>
  <si>
    <t>提高</t>
  </si>
  <si>
    <t>慢性伤口护理记录单</t>
  </si>
  <si>
    <t>LX_SKWG_YS</t>
  </si>
  <si>
    <t>LX_SKWG_SYQK</t>
  </si>
  <si>
    <t>伤口外观_渗液情况</t>
  </si>
  <si>
    <t>LX_SKWG_QW</t>
  </si>
  <si>
    <t>LX_QJXG</t>
  </si>
  <si>
    <t>清洁效果</t>
  </si>
  <si>
    <t>较差</t>
  </si>
  <si>
    <t>LX_GHYY</t>
  </si>
  <si>
    <t>更换原因</t>
  </si>
  <si>
    <t>定期更换</t>
  </si>
  <si>
    <t>渗液过多</t>
  </si>
  <si>
    <t>LX_SKYFLTHQK</t>
  </si>
  <si>
    <t>伤口与敷料贴合情况</t>
  </si>
  <si>
    <t>LX_CGY</t>
  </si>
  <si>
    <t>冲管液</t>
  </si>
  <si>
    <t>生理盐水</t>
  </si>
  <si>
    <t>picc护理记录单</t>
  </si>
  <si>
    <t>肝素盐水</t>
  </si>
  <si>
    <t>LX_CGFS</t>
  </si>
  <si>
    <t>冲管方式</t>
  </si>
  <si>
    <t>脉冲式</t>
  </si>
  <si>
    <t>正压式</t>
  </si>
  <si>
    <t>LX_FGY</t>
  </si>
  <si>
    <t>封管液</t>
  </si>
  <si>
    <t>LX_FGFS</t>
  </si>
  <si>
    <t>封管方式</t>
  </si>
  <si>
    <t>LX_HY_FL</t>
  </si>
  <si>
    <t>换药_敷料</t>
  </si>
  <si>
    <t>透明敷料</t>
  </si>
  <si>
    <t>纱布敷料</t>
  </si>
  <si>
    <t>LX_GHJT_JTLX</t>
  </si>
  <si>
    <t>更换接头_接头类型</t>
  </si>
  <si>
    <t>正压接头</t>
  </si>
  <si>
    <t>肝素帽</t>
  </si>
  <si>
    <t>LX_GHJT_GHYY</t>
  </si>
  <si>
    <t>更换接头_更换原因</t>
  </si>
  <si>
    <t>污染</t>
  </si>
  <si>
    <t>损坏</t>
  </si>
  <si>
    <t>LX_TTCD</t>
  </si>
  <si>
    <t>疼痛程度</t>
  </si>
  <si>
    <t>LX_JBQK_CCD</t>
  </si>
  <si>
    <t>局部情况_穿刺点</t>
  </si>
  <si>
    <t>红肿</t>
  </si>
  <si>
    <t>渗血</t>
  </si>
  <si>
    <t>渗液</t>
  </si>
  <si>
    <t>LX_ZWPF</t>
  </si>
  <si>
    <t>局部情况_周围皮肤</t>
  </si>
  <si>
    <t>皮疹</t>
  </si>
  <si>
    <t>瘙痒</t>
  </si>
  <si>
    <t>LX_SBZZQK</t>
  </si>
  <si>
    <t>手臂肿胀情况</t>
  </si>
  <si>
    <t>picc护理评估单</t>
  </si>
  <si>
    <t>LX_QXZT</t>
  </si>
  <si>
    <t>情绪状态</t>
  </si>
  <si>
    <t>焦虑</t>
  </si>
  <si>
    <t>抑郁</t>
  </si>
  <si>
    <t>平静</t>
  </si>
  <si>
    <t>LX_DPICCZGDRZHJSCD</t>
  </si>
  <si>
    <t>对 PICC 置管的认知和接受程度</t>
  </si>
  <si>
    <t>完全了解</t>
  </si>
  <si>
    <t>部分了解</t>
  </si>
  <si>
    <t>不了解</t>
  </si>
  <si>
    <t>LX_JTZCQK</t>
  </si>
  <si>
    <t>家庭支持情况</t>
  </si>
  <si>
    <t>LX_GDCTX</t>
  </si>
  <si>
    <t>导管畅通性</t>
  </si>
  <si>
    <t>通常</t>
  </si>
  <si>
    <t>部分堵塞</t>
  </si>
  <si>
    <t>完全堵塞</t>
  </si>
  <si>
    <t>LX_CGSZLQK</t>
  </si>
  <si>
    <t>冲管时阻力情况</t>
  </si>
  <si>
    <t>无阻力</t>
  </si>
  <si>
    <t>有阻力但可冲通</t>
  </si>
  <si>
    <t>阻力大无法冲通</t>
  </si>
  <si>
    <t>LX_SYSD</t>
  </si>
  <si>
    <t>输液速度</t>
  </si>
  <si>
    <t>减慢</t>
  </si>
  <si>
    <t>明显减慢</t>
  </si>
  <si>
    <t>LX_HXQK</t>
  </si>
  <si>
    <t>回血情况</t>
  </si>
  <si>
    <t>有回血但较缓慢</t>
  </si>
  <si>
    <t>无回血</t>
  </si>
  <si>
    <t>LX_GRFX</t>
  </si>
  <si>
    <t>感染风险</t>
  </si>
  <si>
    <t>高风险</t>
  </si>
  <si>
    <t>中风险</t>
  </si>
  <si>
    <t>低风险</t>
  </si>
  <si>
    <t>LX_XSXCFX</t>
  </si>
  <si>
    <t>血栓形成风险</t>
  </si>
  <si>
    <t>LX_DGTCFX</t>
  </si>
  <si>
    <t>导管脱出风险</t>
  </si>
  <si>
    <t>LX_KS</t>
  </si>
  <si>
    <t>咳嗽</t>
  </si>
  <si>
    <t>慢阻肺护理记录单</t>
  </si>
  <si>
    <t>LX_KS_XZ</t>
  </si>
  <si>
    <t>咳嗽_性质</t>
  </si>
  <si>
    <t>干咳</t>
  </si>
  <si>
    <t>有痰</t>
  </si>
  <si>
    <t>LX_KT</t>
  </si>
  <si>
    <t>咳痰</t>
  </si>
  <si>
    <t>LX_KT_TYYS</t>
  </si>
  <si>
    <t>咳痰_痰液颜色</t>
  </si>
  <si>
    <t>白色</t>
  </si>
  <si>
    <t>绿色</t>
  </si>
  <si>
    <t>LX_KT_XZ</t>
  </si>
  <si>
    <t>咳痰_性状</t>
  </si>
  <si>
    <t>稀薄</t>
  </si>
  <si>
    <t>粘稠</t>
  </si>
  <si>
    <t>LX_HXKN</t>
  </si>
  <si>
    <t>呼吸困难</t>
  </si>
  <si>
    <t>LX_XT</t>
  </si>
  <si>
    <t>胸痛</t>
  </si>
  <si>
    <t>LX_XT_XZ</t>
  </si>
  <si>
    <t>胸痛_性质</t>
  </si>
  <si>
    <t>闷痛</t>
  </si>
  <si>
    <t>LX_HXY</t>
  </si>
  <si>
    <t>呼吸音</t>
  </si>
  <si>
    <t>清晰</t>
  </si>
  <si>
    <t>减弱</t>
  </si>
  <si>
    <t>消失</t>
  </si>
  <si>
    <t>LX_XKXT</t>
  </si>
  <si>
    <t>胸廓形态</t>
  </si>
  <si>
    <t>桶状胸</t>
  </si>
  <si>
    <t>LX_GYFS</t>
  </si>
  <si>
    <t>给氧方式</t>
  </si>
  <si>
    <t>鼻导管</t>
  </si>
  <si>
    <t>面罩</t>
  </si>
  <si>
    <t>LX_HZNSQK</t>
  </si>
  <si>
    <t>患者耐受情况</t>
  </si>
  <si>
    <t>LX_YXKSZD</t>
  </si>
  <si>
    <t>有效咳嗽指导</t>
  </si>
  <si>
    <t>进行</t>
  </si>
  <si>
    <t>未进行</t>
  </si>
  <si>
    <t>LX_HZZWCD</t>
  </si>
  <si>
    <t>患者掌握程度</t>
  </si>
  <si>
    <t>LX_HDSP</t>
  </si>
  <si>
    <t>活动水平</t>
  </si>
  <si>
    <t>卧床</t>
  </si>
  <si>
    <t>可床边活动</t>
  </si>
  <si>
    <t>可室内活动</t>
  </si>
  <si>
    <t>饮食类型</t>
  </si>
  <si>
    <t>高热量</t>
  </si>
  <si>
    <t>高蛋白</t>
  </si>
  <si>
    <t>高维生素</t>
  </si>
  <si>
    <t>LX_JSQK</t>
  </si>
  <si>
    <t>进食情况</t>
  </si>
  <si>
    <t>稳定</t>
  </si>
  <si>
    <t>LX_XLSDCS</t>
  </si>
  <si>
    <t>心里疏导措施</t>
  </si>
  <si>
    <t>倾听</t>
  </si>
  <si>
    <t>安慰</t>
  </si>
  <si>
    <t>鼓励</t>
  </si>
  <si>
    <t>慢阻肺护理评估单</t>
  </si>
  <si>
    <t>痰液颜色</t>
  </si>
  <si>
    <t>LX_JQTZBH</t>
  </si>
  <si>
    <t>近期体重变化</t>
  </si>
  <si>
    <t>增加</t>
  </si>
  <si>
    <t>减少</t>
  </si>
  <si>
    <t>LX_YSSRQK</t>
  </si>
  <si>
    <t>饮食摄入情况</t>
  </si>
  <si>
    <t>LX_DDFX</t>
  </si>
  <si>
    <t>跌倒风险</t>
  </si>
  <si>
    <t>LX_YCFX</t>
  </si>
  <si>
    <t>压疮风险</t>
  </si>
  <si>
    <t>LX_WXFX</t>
  </si>
  <si>
    <t>误吸风险</t>
  </si>
  <si>
    <t>LX_ZLNL</t>
  </si>
  <si>
    <t>自理能力</t>
  </si>
  <si>
    <t>完全自理</t>
  </si>
  <si>
    <t>安宁疗护患者评估二</t>
  </si>
  <si>
    <t>不分依赖</t>
  </si>
  <si>
    <t>完全依赖</t>
  </si>
  <si>
    <t>LX_ZTHD</t>
  </si>
  <si>
    <t>肢体活动</t>
  </si>
  <si>
    <t>主动</t>
  </si>
  <si>
    <t>被动</t>
  </si>
  <si>
    <t>LX_PFQK</t>
  </si>
  <si>
    <t>皮肤情况</t>
  </si>
  <si>
    <t>LX_PB</t>
  </si>
  <si>
    <t>排便</t>
  </si>
  <si>
    <t>LX_SMSJ</t>
  </si>
  <si>
    <t>睡眠时间</t>
  </si>
  <si>
    <t>LX_YSZT</t>
  </si>
  <si>
    <t>意识状态</t>
  </si>
  <si>
    <t>清醒</t>
  </si>
  <si>
    <t>持续疼痛评估表</t>
  </si>
  <si>
    <t>嗜睡</t>
  </si>
  <si>
    <t>意识模糊</t>
  </si>
  <si>
    <t>昏睡</t>
  </si>
  <si>
    <t>昏迷</t>
  </si>
  <si>
    <t>LX_HXKNCD</t>
  </si>
  <si>
    <t>呼吸困难程度</t>
  </si>
  <si>
    <t>生存周期评估表</t>
  </si>
  <si>
    <t>LX_FLCD</t>
  </si>
  <si>
    <t>乏力程度</t>
  </si>
  <si>
    <t>LX_EXOTQK</t>
  </si>
  <si>
    <t>恶心呕吐情况</t>
  </si>
  <si>
    <t>LX_SZQK</t>
  </si>
  <si>
    <t>水肿情况</t>
  </si>
  <si>
    <t>LX_TZBH</t>
  </si>
  <si>
    <t>体重变化</t>
  </si>
  <si>
    <t>较前增加</t>
  </si>
  <si>
    <t>可坐起但不能行走</t>
  </si>
  <si>
    <t>可借助辅助器具行走</t>
  </si>
  <si>
    <t>独立行走</t>
  </si>
  <si>
    <t>LX_YFJBJD</t>
  </si>
  <si>
    <t>原发疾病阶段</t>
  </si>
  <si>
    <t>早期</t>
  </si>
  <si>
    <t>中期</t>
  </si>
  <si>
    <t>晚期</t>
  </si>
  <si>
    <t>LX_ZLZYQK</t>
  </si>
  <si>
    <t>肿瘤转移情况（若有肿瘤）</t>
  </si>
  <si>
    <t>无转移</t>
  </si>
  <si>
    <t>局部转移</t>
  </si>
  <si>
    <t>远处转移</t>
  </si>
  <si>
    <t>LX_BFZ_YZCD</t>
  </si>
  <si>
    <t>并发症_严重程度</t>
  </si>
  <si>
    <t>LX_JLCD</t>
  </si>
  <si>
    <t>焦虑程度</t>
  </si>
  <si>
    <t>LX_YYCD</t>
  </si>
  <si>
    <t>抑郁程度</t>
  </si>
  <si>
    <t>LX_RZZT</t>
  </si>
  <si>
    <t>认知状态</t>
  </si>
  <si>
    <t>LX_XLXQMZCD</t>
  </si>
  <si>
    <t>心理需求满足程度</t>
  </si>
  <si>
    <t>完全满足</t>
  </si>
  <si>
    <t>部分满足</t>
  </si>
  <si>
    <t>不满足</t>
  </si>
  <si>
    <t>LX_JRPBCD</t>
  </si>
  <si>
    <t>家人陪伴情况</t>
  </si>
  <si>
    <t>经常陪伴</t>
  </si>
  <si>
    <t>偶尔陪伴</t>
  </si>
  <si>
    <t>无人陪伴</t>
  </si>
  <si>
    <t>LX_JRDANLHDLJHJSCD</t>
  </si>
  <si>
    <t>家人对安宁疗护的理解和接受程度</t>
  </si>
  <si>
    <t>完全理解并接受</t>
  </si>
  <si>
    <t>部分理解并接受</t>
  </si>
  <si>
    <t>不理解不接受</t>
  </si>
  <si>
    <t>LX_HSDHLZL</t>
  </si>
  <si>
    <t>护士的护理质量</t>
  </si>
  <si>
    <t>满意</t>
  </si>
  <si>
    <t>不满意</t>
  </si>
  <si>
    <t>LX_YSYHZJJSDGTQK</t>
  </si>
  <si>
    <t>医生与患者及家属的沟通情况</t>
  </si>
  <si>
    <t>LX_QTZYRYDCYQK</t>
  </si>
  <si>
    <t>其他专业人员的参与情况</t>
  </si>
  <si>
    <t>安宁疗护护理计划书</t>
  </si>
  <si>
    <t>中学</t>
  </si>
  <si>
    <t>大专以上</t>
  </si>
  <si>
    <t>LX_ZY</t>
  </si>
  <si>
    <t>职业</t>
  </si>
  <si>
    <t>无业</t>
  </si>
  <si>
    <t>退休</t>
  </si>
  <si>
    <t>在职</t>
  </si>
  <si>
    <t>LX_HY</t>
  </si>
  <si>
    <t>再婚</t>
  </si>
  <si>
    <t>丧偶</t>
  </si>
  <si>
    <t>LX_YSR</t>
  </si>
  <si>
    <t>月收入</t>
  </si>
  <si>
    <t>小于500元</t>
  </si>
  <si>
    <t>1000元</t>
  </si>
  <si>
    <t>2000元</t>
  </si>
  <si>
    <t>3000元</t>
  </si>
  <si>
    <t>4000元</t>
  </si>
  <si>
    <t>大于5000元</t>
  </si>
  <si>
    <t>LX_YLFYLY</t>
  </si>
  <si>
    <t>医疗费用来源</t>
  </si>
  <si>
    <t>医保</t>
  </si>
  <si>
    <t>居保</t>
  </si>
  <si>
    <t>自费</t>
  </si>
  <si>
    <t>外地保险</t>
  </si>
  <si>
    <t>LX_ZNQK</t>
  </si>
  <si>
    <t>子女情况</t>
  </si>
  <si>
    <t>无子女</t>
  </si>
  <si>
    <t>1个</t>
  </si>
  <si>
    <t>2个或2个以上</t>
  </si>
  <si>
    <t>LX_ZJXYQK</t>
  </si>
  <si>
    <t>宗教信仰情况</t>
  </si>
  <si>
    <t>佛教</t>
  </si>
  <si>
    <t>基督教</t>
  </si>
  <si>
    <t>天主教</t>
  </si>
  <si>
    <t>道教</t>
  </si>
  <si>
    <t>LX_HZHKSZDQK</t>
  </si>
  <si>
    <t>患者户口所在地情况</t>
  </si>
  <si>
    <t>本街道</t>
  </si>
  <si>
    <t>本区外街道</t>
  </si>
  <si>
    <t>本市外区</t>
  </si>
  <si>
    <t>外省市</t>
  </si>
  <si>
    <t>LX_HZLY</t>
  </si>
  <si>
    <t>患者来源</t>
  </si>
  <si>
    <t>他人介绍</t>
  </si>
  <si>
    <t>媒体</t>
  </si>
  <si>
    <t>医院转介</t>
  </si>
  <si>
    <t>自己本来就知道</t>
  </si>
  <si>
    <t>LX_HZXX</t>
  </si>
  <si>
    <t>患者血型</t>
  </si>
  <si>
    <t>A型</t>
  </si>
  <si>
    <t>B型</t>
  </si>
  <si>
    <t>O型</t>
  </si>
  <si>
    <t>AB型</t>
  </si>
  <si>
    <t>LX_HZDJBQKZXD</t>
  </si>
  <si>
    <t>患者对疾病情况知晓度</t>
  </si>
  <si>
    <t>基本知晓</t>
  </si>
  <si>
    <t>知晓，但发展情况不知</t>
  </si>
  <si>
    <t>不知道</t>
  </si>
  <si>
    <t>LX_RZNL_SL</t>
  </si>
  <si>
    <t>认知能力_视力</t>
  </si>
  <si>
    <t>近视</t>
  </si>
  <si>
    <t>远视</t>
  </si>
  <si>
    <t>失明</t>
  </si>
  <si>
    <t>LX_RZNL_TL</t>
  </si>
  <si>
    <t>认知能力_听力</t>
  </si>
  <si>
    <t>耳鸣</t>
  </si>
  <si>
    <t>耳聋</t>
  </si>
  <si>
    <t>LX_YJSH_XY</t>
  </si>
  <si>
    <t>烟酒嗜好_吸烟</t>
  </si>
  <si>
    <t>偶尔吸</t>
  </si>
  <si>
    <t>经常吸</t>
  </si>
  <si>
    <t>已戒</t>
  </si>
  <si>
    <t>LX_YJSH_YJ</t>
  </si>
  <si>
    <t>烟酒嗜好_饮酒</t>
  </si>
  <si>
    <t>偶尔饮</t>
  </si>
  <si>
    <t>经常饮</t>
  </si>
  <si>
    <t>LX_DYSDFWSFMY</t>
  </si>
  <si>
    <t>对医生的服务是否满意</t>
  </si>
  <si>
    <t>家属意见反馈</t>
  </si>
  <si>
    <t>较满意</t>
  </si>
  <si>
    <t>LX_DHSDFWSFMY</t>
  </si>
  <si>
    <t>对护士的服务是否满意</t>
  </si>
  <si>
    <t>LX_DHGDFWSFMY</t>
  </si>
  <si>
    <t>对护工的服务是否满意</t>
  </si>
  <si>
    <t>LX_DZGYSDGZSFMY</t>
  </si>
  <si>
    <t>对主管医生的工作是否满意</t>
  </si>
  <si>
    <t>LX_DSHHSDGZSFMY</t>
  </si>
  <si>
    <t>对舒缓护士的工作是否满意</t>
  </si>
  <si>
    <t>LX_HZDTKSFDDKZ</t>
  </si>
  <si>
    <t>患者的痛苦是否得到控制</t>
  </si>
  <si>
    <t>LX_DJBZLDTD</t>
  </si>
  <si>
    <t>对疾病治疗的态度</t>
  </si>
  <si>
    <t>姑息治疗</t>
  </si>
  <si>
    <t>积极治疗</t>
  </si>
  <si>
    <t>放弃治疗</t>
  </si>
  <si>
    <t>LX_DYYGYDZLSFMY</t>
  </si>
  <si>
    <t>对医院给予的照料是否满意</t>
  </si>
  <si>
    <t>LX_NYWJRDHZSQGHSFMY</t>
  </si>
  <si>
    <t>您以为家人对患者生前关怀是否满意</t>
  </si>
  <si>
    <t>LX_NYWSHDHZSQGHSFMY</t>
  </si>
  <si>
    <t>您以为社会对患者生前关怀是否满意</t>
  </si>
  <si>
    <t>LX_NYWDWDHZSQGHSFMY</t>
  </si>
  <si>
    <t>您认为单位对患者生前关怀是否满意</t>
  </si>
  <si>
    <t>LX_HZDSWDKJ</t>
  </si>
  <si>
    <t>患者对死亡的恐惧</t>
  </si>
  <si>
    <t>消除</t>
  </si>
  <si>
    <t>不改变</t>
  </si>
  <si>
    <t>LX_HZDXYSFRY</t>
  </si>
  <si>
    <t>患者的心愿是否如愿</t>
  </si>
  <si>
    <t>LX_ZJZZ_HR</t>
  </si>
  <si>
    <t>自觉症状_寒热</t>
  </si>
  <si>
    <t>恶寒</t>
  </si>
  <si>
    <t>中医护理前的患者症状评估</t>
  </si>
  <si>
    <t>发热</t>
  </si>
  <si>
    <t>畏寒</t>
  </si>
  <si>
    <t>LX_ZJZZ_CH</t>
  </si>
  <si>
    <t>自觉症状_出汗</t>
  </si>
  <si>
    <t>无汗</t>
  </si>
  <si>
    <t>有汗</t>
  </si>
  <si>
    <t>自汗</t>
  </si>
  <si>
    <t>盗汗</t>
  </si>
  <si>
    <t>LX_ZJZZ_TT</t>
  </si>
  <si>
    <t>自觉症状_疼痛</t>
  </si>
  <si>
    <t>隐痛</t>
  </si>
  <si>
    <t>LX_ZJZZ_YS</t>
  </si>
  <si>
    <t>自觉症状_饮食</t>
  </si>
  <si>
    <t>食欲亢进</t>
  </si>
  <si>
    <t>厌食</t>
  </si>
  <si>
    <t>口味异常</t>
  </si>
  <si>
    <t>LX_ZJZZ_QZ</t>
  </si>
  <si>
    <t>自觉症状_情志</t>
  </si>
  <si>
    <t>烦躁</t>
  </si>
  <si>
    <t>易怒</t>
  </si>
  <si>
    <t>LX_TJZZ_MS</t>
  </si>
  <si>
    <t>他觉症状_面色</t>
  </si>
  <si>
    <t>潮红</t>
  </si>
  <si>
    <t>萎黄</t>
  </si>
  <si>
    <t>晦暗</t>
  </si>
  <si>
    <t>LX_TJZZ_SX</t>
  </si>
  <si>
    <t>他觉症状_舌象</t>
  </si>
  <si>
    <t>淡红舌</t>
  </si>
  <si>
    <t>淡白舌</t>
  </si>
  <si>
    <t>红舌</t>
  </si>
  <si>
    <t>绛舌</t>
  </si>
  <si>
    <t>青紫舌</t>
  </si>
  <si>
    <t>胖大舌</t>
  </si>
  <si>
    <t>瘦薄舌</t>
  </si>
  <si>
    <t>齿痕舌</t>
  </si>
  <si>
    <t>裂纹舌</t>
  </si>
  <si>
    <t>芒刺舌</t>
  </si>
  <si>
    <t>LX_TJZZ_MX</t>
  </si>
  <si>
    <t>他觉症状_脉象</t>
  </si>
  <si>
    <t>浮脉</t>
  </si>
  <si>
    <t>沉脉</t>
  </si>
  <si>
    <t>迟脉</t>
  </si>
  <si>
    <t>数脉</t>
  </si>
  <si>
    <t>LX_XLYCX</t>
  </si>
  <si>
    <t>训练依从性</t>
  </si>
  <si>
    <t>肢体康复指导护理记录单</t>
  </si>
  <si>
    <t>LX_WK_JK</t>
  </si>
  <si>
    <t>肩_外展</t>
  </si>
  <si>
    <t>完全不能外展</t>
  </si>
  <si>
    <t>患者肢体功能评估量表</t>
  </si>
  <si>
    <t>重度受限</t>
  </si>
  <si>
    <t>中度受限</t>
  </si>
  <si>
    <t>完全正常</t>
  </si>
  <si>
    <t>LX_J_QQ</t>
  </si>
  <si>
    <t>肩_前屈</t>
  </si>
  <si>
    <t>完全不能前屈</t>
  </si>
  <si>
    <t>LX_J_HS</t>
  </si>
  <si>
    <t>肩_后伸</t>
  </si>
  <si>
    <t>完全不能后伸</t>
  </si>
  <si>
    <t>LX_Z_QQ</t>
  </si>
  <si>
    <t>肘_屈曲</t>
  </si>
  <si>
    <t>完全不能屈曲</t>
  </si>
  <si>
    <t>LX_Z_SZ</t>
  </si>
  <si>
    <t>肘_伸展</t>
  </si>
  <si>
    <t>完全不能伸展</t>
  </si>
  <si>
    <t>LX_W_BS</t>
  </si>
  <si>
    <t>腕_背伸</t>
  </si>
  <si>
    <t>完全不能背伸</t>
  </si>
  <si>
    <t>LX_W_ZQ</t>
  </si>
  <si>
    <t>腕_掌屈</t>
  </si>
  <si>
    <t>完全不能掌屈</t>
  </si>
  <si>
    <t>LX_W_CP</t>
  </si>
  <si>
    <t>腕_尺偏</t>
  </si>
  <si>
    <t>完全不能尺偏</t>
  </si>
  <si>
    <t>LX_W_RP</t>
  </si>
  <si>
    <t>腕_桡偏</t>
  </si>
  <si>
    <t>完全不能桡偏</t>
  </si>
  <si>
    <t>LX_SZ_QS</t>
  </si>
  <si>
    <t>手指_屈伸</t>
  </si>
  <si>
    <t>完全不能屈伸</t>
  </si>
  <si>
    <t>LX_SZ_DZ</t>
  </si>
  <si>
    <t>手指_对掌</t>
  </si>
  <si>
    <t>完全不能对掌</t>
  </si>
  <si>
    <t>LX_K_QQ</t>
  </si>
  <si>
    <t>髋_屈曲</t>
  </si>
  <si>
    <t>LX_K_SZ</t>
  </si>
  <si>
    <t>髋_伸展</t>
  </si>
  <si>
    <t>LX_K_WZ</t>
  </si>
  <si>
    <t>髋_外展</t>
  </si>
  <si>
    <t>LX_K_NS</t>
  </si>
  <si>
    <t>髋_内收</t>
  </si>
  <si>
    <t>完全不能内收</t>
  </si>
  <si>
    <t>LX_X_QS</t>
  </si>
  <si>
    <t>膝_屈曲</t>
  </si>
  <si>
    <t>LX_X_SZ</t>
  </si>
  <si>
    <t>膝_伸展</t>
  </si>
  <si>
    <t>LX_H_BQ</t>
  </si>
  <si>
    <t>踝_背屈</t>
  </si>
  <si>
    <t>完全不能背屈</t>
  </si>
  <si>
    <t>LX_H_KQ</t>
  </si>
  <si>
    <t>踝_跖屈</t>
  </si>
  <si>
    <t>完全不能跖屈</t>
  </si>
  <si>
    <t>LX_JZ_QS</t>
  </si>
  <si>
    <t>脚趾_屈伸</t>
  </si>
  <si>
    <t>LX_SHNL_DB</t>
  </si>
  <si>
    <t>生活能力_大便</t>
  </si>
  <si>
    <t>失禁或昏迷</t>
  </si>
  <si>
    <t>barthel指数(生活能力)</t>
  </si>
  <si>
    <t>偶尔失禁(每星期&lt;1次)</t>
  </si>
  <si>
    <t>能控制</t>
  </si>
  <si>
    <t>LX_SHNL_XB</t>
  </si>
  <si>
    <t>生活能力_小便</t>
  </si>
  <si>
    <t>失禁或昏迷或需由他人导尿</t>
  </si>
  <si>
    <t>偶尔失禁(每24h&lt;1次,每星期&gt;1次)</t>
  </si>
  <si>
    <t>控制</t>
  </si>
  <si>
    <t>barthel指数(生活能力)</t>
    <phoneticPr fontId="7" type="noConversion"/>
  </si>
  <si>
    <t>LX_SHNL_XS</t>
  </si>
  <si>
    <t>生活能力_修饰</t>
  </si>
  <si>
    <t>需帮助</t>
  </si>
  <si>
    <t>独立洗脸、梳头、刷牙、剃须</t>
  </si>
  <si>
    <t>LX_SHNL_YC</t>
  </si>
  <si>
    <t>生活能力_用厕</t>
  </si>
  <si>
    <t>依赖别人</t>
  </si>
  <si>
    <t>需部分帮助</t>
  </si>
  <si>
    <t>自理</t>
  </si>
  <si>
    <t>LX_SHNL_CF</t>
  </si>
  <si>
    <t>生活能力_吃饭</t>
  </si>
  <si>
    <t>依赖</t>
  </si>
  <si>
    <t>需部分帮助(切面包、抹黄油、夹菜、盛饭)</t>
  </si>
  <si>
    <t>全面自理</t>
  </si>
  <si>
    <t>LX_SHNL_ZY</t>
  </si>
  <si>
    <t>生活能力_转移(床=椅)</t>
  </si>
  <si>
    <t>完全依赖别人，不能坐</t>
  </si>
  <si>
    <t>需大量帮助(2人)，能坐</t>
  </si>
  <si>
    <t>需少量帮助(1人)或指导</t>
  </si>
  <si>
    <t>LX_SHNL_HD</t>
  </si>
  <si>
    <t>生活能力_活动 (步行)(在病房及其周围,不包括走远路)</t>
  </si>
  <si>
    <t>不能动</t>
  </si>
  <si>
    <t>在轮椅上独立行动</t>
  </si>
  <si>
    <t>需1人帮助步行(体力或语言指导)</t>
  </si>
  <si>
    <t>独立步行(可用辅助器)</t>
  </si>
  <si>
    <t>LX_SHNL_CY</t>
  </si>
  <si>
    <t>生活能力_穿衣</t>
  </si>
  <si>
    <t>需一半帮助</t>
  </si>
  <si>
    <t>自理(系开纽扣、关开拉锁和穿鞋等)</t>
  </si>
  <si>
    <t>LX_SHNL_SLT</t>
  </si>
  <si>
    <t>生活能力_上楼梯(上下一段楼梯，用手杖也算独立)</t>
  </si>
  <si>
    <t>不能</t>
  </si>
  <si>
    <t>需帮助(体力或语言指导)</t>
  </si>
  <si>
    <t>LX_SHNL_XZ</t>
  </si>
  <si>
    <t>生活能力_洗澡</t>
  </si>
  <si>
    <t>LX_LJFS</t>
  </si>
  <si>
    <t>冷疗方式</t>
  </si>
  <si>
    <t>冰袋</t>
  </si>
  <si>
    <t>冷疗护理记录单</t>
  </si>
  <si>
    <t>冰帽</t>
  </si>
  <si>
    <t>冷敷</t>
  </si>
  <si>
    <t>LX_RLFS</t>
  </si>
  <si>
    <t>热疗方式</t>
  </si>
  <si>
    <t>热水袋</t>
  </si>
  <si>
    <t>热疗护理记录单</t>
  </si>
  <si>
    <t>热湿敷</t>
  </si>
  <si>
    <t>红外线照射</t>
  </si>
  <si>
    <t>LX_NYTMD</t>
  </si>
  <si>
    <t>尿液透明度</t>
  </si>
  <si>
    <t>澄清</t>
  </si>
  <si>
    <t>留置导尿护理记录单</t>
  </si>
  <si>
    <t>浑浊</t>
  </si>
  <si>
    <t>LX_NDKQK</t>
  </si>
  <si>
    <t>尿道口情况</t>
  </si>
  <si>
    <t>分泌物</t>
  </si>
  <si>
    <t>吸氧护理记录单</t>
  </si>
  <si>
    <t>LX_KNHXCD</t>
  </si>
  <si>
    <t>困难呼吸程度</t>
  </si>
  <si>
    <t>LX_MSJKCYS</t>
  </si>
  <si>
    <t>面色及口唇颜色</t>
  </si>
  <si>
    <t>发绀</t>
  </si>
  <si>
    <t>LX_XYFS</t>
  </si>
  <si>
    <t>吸氧方式</t>
  </si>
  <si>
    <t>鼻导管吸氧</t>
  </si>
  <si>
    <t>面罩吸氧</t>
  </si>
  <si>
    <t>无创呼吸机吸氧</t>
  </si>
  <si>
    <t>LX_HXKNGSQK</t>
  </si>
  <si>
    <t>呼吸困难改善情况</t>
  </si>
  <si>
    <t>明显改善</t>
  </si>
  <si>
    <t>有所改善</t>
  </si>
  <si>
    <t>LX_MSJKCYSBH</t>
  </si>
  <si>
    <t>面色及口唇颜色变化</t>
  </si>
  <si>
    <t>吸痰护理记录单</t>
  </si>
  <si>
    <t>LX_FBTZ_TMYGSQK</t>
  </si>
  <si>
    <r>
      <rPr>
        <sz val="11"/>
        <color indexed="8"/>
        <rFont val="宋体"/>
        <family val="3"/>
        <charset val="134"/>
      </rPr>
      <t>肺部听诊</t>
    </r>
    <r>
      <rPr>
        <sz val="10"/>
        <color rgb="FF333333"/>
        <rFont val="Arial"/>
        <family val="2"/>
      </rPr>
      <t>_</t>
    </r>
    <r>
      <rPr>
        <sz val="10"/>
        <color rgb="FF333333"/>
        <rFont val="宋体"/>
        <family val="3"/>
        <charset val="134"/>
      </rPr>
      <t>痰鸣音改善情况</t>
    </r>
  </si>
  <si>
    <t>LX_FBTZ_GSLYBH</t>
  </si>
  <si>
    <t>肺部听诊_干湿啰音变化</t>
  </si>
  <si>
    <t>LX_FBTZ_HXY</t>
  </si>
  <si>
    <t>肺部听诊_呼吸音</t>
  </si>
  <si>
    <t>增强</t>
  </si>
  <si>
    <t>LX_XTFS</t>
  </si>
  <si>
    <t>吸痰方式</t>
  </si>
  <si>
    <t>经口鼻吸痰</t>
  </si>
  <si>
    <t>经气管插管/切开吸痰</t>
  </si>
  <si>
    <t>LX_XCTYDXZ_YS</t>
  </si>
  <si>
    <t>吸出痰液的性状_颜色</t>
  </si>
  <si>
    <t>血性</t>
  </si>
  <si>
    <t>LX_XCTYDXZ_ZD</t>
  </si>
  <si>
    <t>吸出痰液的性状_质地</t>
  </si>
  <si>
    <t>LX_DYXZ_BX</t>
  </si>
  <si>
    <t>低氧血症_表现</t>
  </si>
  <si>
    <t>LX_TW_CLFS</t>
  </si>
  <si>
    <t>体温_测量方式</t>
  </si>
  <si>
    <t>腋温</t>
  </si>
  <si>
    <t>生命体征监测护理记录单</t>
  </si>
  <si>
    <t>口温</t>
  </si>
  <si>
    <t>肛温</t>
  </si>
  <si>
    <t>LX_MB_JL</t>
  </si>
  <si>
    <t>脉搏_节律</t>
  </si>
  <si>
    <t>规则</t>
  </si>
  <si>
    <t>不规则</t>
  </si>
  <si>
    <t>LX_HX_SD</t>
  </si>
  <si>
    <t>呼吸_深度</t>
  </si>
  <si>
    <t>浅</t>
  </si>
  <si>
    <t>深</t>
  </si>
  <si>
    <t>LX_HX_JL</t>
  </si>
  <si>
    <t>呼吸_节律</t>
  </si>
  <si>
    <t>LX_SZY_CLBW</t>
  </si>
  <si>
    <t>舒张压_测量部位</t>
  </si>
  <si>
    <t>左上臂</t>
  </si>
  <si>
    <t>右上臂</t>
  </si>
  <si>
    <t>LX_SZY_TW</t>
  </si>
  <si>
    <t>舒张压_体位</t>
  </si>
  <si>
    <t>卧位</t>
  </si>
  <si>
    <t>座位</t>
  </si>
  <si>
    <t>LX_PFZK_YS</t>
  </si>
  <si>
    <t>皮肤状况_颜色</t>
  </si>
  <si>
    <t>LX_PFZK_WD</t>
  </si>
  <si>
    <t>皮肤状况_温度</t>
  </si>
  <si>
    <t>凉</t>
  </si>
  <si>
    <t>热</t>
  </si>
  <si>
    <t>LX_PFZK_SD</t>
  </si>
  <si>
    <t>皮肤状况_湿度</t>
  </si>
  <si>
    <t>湿润</t>
  </si>
  <si>
    <t>LX_PFZK_WZX</t>
  </si>
  <si>
    <t>皮肤状况_完整性</t>
  </si>
  <si>
    <t>完好</t>
  </si>
  <si>
    <t>LX_SSS_SHHFQK</t>
  </si>
  <si>
    <t>手术史_术后恢复情况</t>
  </si>
  <si>
    <t>既往病史评估表</t>
  </si>
  <si>
    <t>LX_GMS_GMLX</t>
  </si>
  <si>
    <t>过敏史_过敏类型</t>
  </si>
  <si>
    <t>药物过敏</t>
  </si>
  <si>
    <t>环境过敏</t>
  </si>
  <si>
    <t>食物过敏</t>
  </si>
  <si>
    <t>LX_JTYCS_GX</t>
  </si>
  <si>
    <t>家庭遗传史_关系</t>
  </si>
  <si>
    <t>兄弟</t>
  </si>
  <si>
    <t>父母</t>
  </si>
  <si>
    <t>LX_JTYCS_HBBRFXPG</t>
  </si>
  <si>
    <t>家庭遗传史_患者本人风险评估</t>
  </si>
  <si>
    <t>高</t>
  </si>
  <si>
    <t>低</t>
  </si>
  <si>
    <t>LX_CKCPF</t>
  </si>
  <si>
    <t>出口处皮肤</t>
  </si>
  <si>
    <t>腹透管更换及维护护理评估单</t>
  </si>
  <si>
    <t>肿胀</t>
  </si>
  <si>
    <t>隧道</t>
  </si>
  <si>
    <t>压痛</t>
  </si>
  <si>
    <t>硬结</t>
  </si>
  <si>
    <t>LX_FTGZZW</t>
  </si>
  <si>
    <t>腹透管周围组织</t>
  </si>
  <si>
    <t>无异常</t>
  </si>
  <si>
    <t>炎症</t>
  </si>
  <si>
    <t>LX_YL</t>
  </si>
  <si>
    <t>引流</t>
  </si>
  <si>
    <t>通畅</t>
  </si>
  <si>
    <t>缓慢</t>
  </si>
  <si>
    <t>阻塞</t>
  </si>
  <si>
    <t>LX_GR</t>
  </si>
  <si>
    <t>灌入</t>
  </si>
  <si>
    <t>顺利</t>
  </si>
  <si>
    <t>困难</t>
  </si>
  <si>
    <t>疼痛</t>
  </si>
  <si>
    <t>LX_QJFSZWCD</t>
  </si>
  <si>
    <t>清洁方式掌握程度</t>
  </si>
  <si>
    <t>熟练</t>
  </si>
  <si>
    <t>LX_GDFSSFZQ</t>
  </si>
  <si>
    <t>固定方式是否正确</t>
  </si>
  <si>
    <t>不正确</t>
  </si>
  <si>
    <t>正确</t>
  </si>
  <si>
    <t>LX_RCDFTGDBHYS</t>
  </si>
  <si>
    <t>日常活动对腹透管的保护意识</t>
  </si>
  <si>
    <t>强</t>
  </si>
  <si>
    <t>弱</t>
  </si>
  <si>
    <t>LX_GHFTGDBYXPG</t>
  </si>
  <si>
    <t>更换腹透管的必要性评估</t>
  </si>
  <si>
    <t>LX_WHCS</t>
  </si>
  <si>
    <t>维护措施</t>
  </si>
  <si>
    <t>加强出口处护理</t>
  </si>
  <si>
    <t>调整固定方法</t>
  </si>
  <si>
    <t>指导正确的活动姿势</t>
  </si>
  <si>
    <t>LX_DFTGHLZSDXQCD</t>
  </si>
  <si>
    <t>对腹透管护理知识的需求程度</t>
  </si>
  <si>
    <t>LX_XWHQZSDFS</t>
  </si>
  <si>
    <t>希望获取知识的方式</t>
  </si>
  <si>
    <t>讲座</t>
  </si>
  <si>
    <t>宣传册</t>
  </si>
  <si>
    <t>一对一指导</t>
  </si>
  <si>
    <t>腹膜透析换液护理记录单</t>
  </si>
  <si>
    <t>LX_SK</t>
  </si>
  <si>
    <t>伤口</t>
  </si>
  <si>
    <t>愈合良好</t>
  </si>
  <si>
    <t>有渗出</t>
  </si>
  <si>
    <t>LX_HJQJD</t>
  </si>
  <si>
    <t>环境清洁度</t>
  </si>
  <si>
    <t>LX_HYBZ_XS</t>
  </si>
  <si>
    <t>换液步骤_洗手</t>
  </si>
  <si>
    <t>规范</t>
  </si>
  <si>
    <t>不规范</t>
  </si>
  <si>
    <t>LX_LJGL</t>
  </si>
  <si>
    <t>换液步骤_连接管路</t>
  </si>
  <si>
    <t>错误</t>
  </si>
  <si>
    <t>LX_HYBZ_YLFQNYT</t>
  </si>
  <si>
    <t>换液步骤_引流腹腔内液体</t>
  </si>
  <si>
    <t>速度适宜</t>
  </si>
  <si>
    <t>过快</t>
  </si>
  <si>
    <t>过慢</t>
  </si>
  <si>
    <t>LX_HYBZ_GBGL</t>
  </si>
  <si>
    <t>换液步骤_关闭管路</t>
  </si>
  <si>
    <t>操作正确</t>
  </si>
  <si>
    <t>有误</t>
  </si>
  <si>
    <t>LX_YLYXZ_YS</t>
  </si>
  <si>
    <t>引流液性状_颜色</t>
  </si>
  <si>
    <t>清亮</t>
  </si>
  <si>
    <t>LX_YLYXZ_TMD</t>
  </si>
  <si>
    <t>引流液形状_透明度</t>
  </si>
  <si>
    <t>透明</t>
  </si>
  <si>
    <t>半透明</t>
  </si>
  <si>
    <t>不透明</t>
  </si>
  <si>
    <t>LX_YLYXZ_YWXZW</t>
  </si>
  <si>
    <t>引流液形状_有无絮状物</t>
  </si>
  <si>
    <t>LX_JKZD_QJHGDFMTXDG</t>
  </si>
  <si>
    <t>健康指导_清洁和固定腹膜透析导管</t>
  </si>
  <si>
    <t>已指导</t>
  </si>
  <si>
    <t>未指导</t>
  </si>
  <si>
    <t>LX_JKZD_JJFMTXHJZB</t>
  </si>
  <si>
    <t>健康指导_居家腹膜透析环境准备</t>
  </si>
  <si>
    <t>LX_JKZD_XSHHYCZFF</t>
  </si>
  <si>
    <t>健康指导_洗手和换液操作方法</t>
  </si>
  <si>
    <t>糖尿病护理记录单</t>
    <phoneticPr fontId="7" type="noConversion"/>
  </si>
  <si>
    <t>糖尿病护理记录单</t>
    <phoneticPr fontId="37" type="noConversion"/>
  </si>
  <si>
    <t>T_HL_DIC_HLJLWSXM</t>
    <phoneticPr fontId="7" type="noConversion"/>
  </si>
  <si>
    <t>T_HL_DIC_HLJLWSBD</t>
    <phoneticPr fontId="7" type="noConversion"/>
  </si>
  <si>
    <t>护理记录单文书表单字典</t>
    <phoneticPr fontId="7" type="noConversion"/>
  </si>
  <si>
    <t>护理记录单文书表单字典</t>
    <phoneticPr fontId="7" type="noConversion"/>
  </si>
  <si>
    <t>T_HL_DIC_HLJLWSBD</t>
    <phoneticPr fontId="7" type="noConversion"/>
  </si>
  <si>
    <t>id</t>
    <phoneticPr fontId="41" type="noConversion"/>
  </si>
  <si>
    <t>XMDM</t>
    <phoneticPr fontId="41" type="noConversion"/>
  </si>
  <si>
    <t>XMMC</t>
    <phoneticPr fontId="7" type="noConversion"/>
  </si>
  <si>
    <t>XMLX</t>
    <phoneticPr fontId="7" type="noConversion"/>
  </si>
  <si>
    <t>SFDX</t>
    <phoneticPr fontId="7" type="noConversion"/>
  </si>
  <si>
    <t>SFBT</t>
    <phoneticPr fontId="7" type="noConversion"/>
  </si>
  <si>
    <t>XMZD</t>
    <phoneticPr fontId="7" type="noConversion"/>
  </si>
  <si>
    <t>XMCD</t>
    <phoneticPr fontId="7" type="noConversion"/>
  </si>
  <si>
    <t>SORT</t>
    <phoneticPr fontId="41" type="noConversion"/>
  </si>
  <si>
    <t>字典项代码</t>
    <phoneticPr fontId="41" type="noConversion"/>
  </si>
  <si>
    <t>项目名称</t>
    <phoneticPr fontId="41" type="noConversion"/>
  </si>
  <si>
    <t>项目代码</t>
    <phoneticPr fontId="41" type="noConversion"/>
  </si>
  <si>
    <t>项目长度</t>
    <phoneticPr fontId="41" type="noConversion"/>
  </si>
  <si>
    <t>排序</t>
    <phoneticPr fontId="41" type="noConversion"/>
  </si>
  <si>
    <t>是否必填</t>
    <phoneticPr fontId="41" type="noConversion"/>
  </si>
  <si>
    <t>是否多值</t>
    <phoneticPr fontId="41" type="noConversion"/>
  </si>
  <si>
    <t>varchar(100)</t>
    <phoneticPr fontId="7" type="noConversion"/>
  </si>
  <si>
    <t>VARCHAR(300)</t>
    <phoneticPr fontId="7" type="noConversion"/>
  </si>
  <si>
    <t>VARCHAR(16)</t>
    <phoneticPr fontId="7" type="noConversion"/>
  </si>
  <si>
    <t>VARCHAR(2)</t>
    <phoneticPr fontId="41" type="noConversion"/>
  </si>
  <si>
    <t>VARCHAR(2)</t>
    <phoneticPr fontId="41" type="noConversion"/>
  </si>
  <si>
    <t>VARCHAR(32)</t>
    <phoneticPr fontId="7" type="noConversion"/>
  </si>
  <si>
    <t>number(5)</t>
    <phoneticPr fontId="7" type="noConversion"/>
  </si>
  <si>
    <t>number(4)</t>
    <phoneticPr fontId="7" type="noConversion"/>
  </si>
  <si>
    <t>护理通用字典表:
字典类型:DIC_SF</t>
    <phoneticPr fontId="7" type="noConversion"/>
  </si>
  <si>
    <t>护理通用字典表:
字典类型:DIC_SF</t>
    <phoneticPr fontId="41" type="noConversion"/>
  </si>
  <si>
    <t>DIC_SCBZ</t>
    <phoneticPr fontId="7" type="noConversion"/>
  </si>
  <si>
    <t>sys_guid()</t>
    <phoneticPr fontId="41" type="noConversion"/>
  </si>
  <si>
    <t>病历文书id</t>
    <phoneticPr fontId="7" type="noConversion"/>
  </si>
  <si>
    <t>项目代码</t>
    <phoneticPr fontId="7" type="noConversion"/>
  </si>
  <si>
    <t>项目名称</t>
    <phoneticPr fontId="7" type="noConversion"/>
  </si>
  <si>
    <t>项目类型</t>
    <phoneticPr fontId="7" type="noConversion"/>
  </si>
  <si>
    <t>是否多值</t>
    <phoneticPr fontId="7" type="noConversion"/>
  </si>
  <si>
    <t>是否必填</t>
    <phoneticPr fontId="7" type="noConversion"/>
  </si>
  <si>
    <t>字典项代码</t>
    <phoneticPr fontId="7" type="noConversion"/>
  </si>
  <si>
    <t>项目长度</t>
    <phoneticPr fontId="7" type="noConversion"/>
  </si>
  <si>
    <t>排序</t>
    <phoneticPr fontId="7" type="noConversion"/>
  </si>
  <si>
    <t>删除标志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</si>
  <si>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</si>
  <si>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</si>
  <si>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</si>
  <si>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</si>
  <si>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备注</t>
    <phoneticPr fontId="7" type="noConversion"/>
  </si>
  <si>
    <t>wsid</t>
    <phoneticPr fontId="7" type="noConversion"/>
  </si>
  <si>
    <t>XMDM</t>
    <phoneticPr fontId="7" type="noConversion"/>
  </si>
  <si>
    <t>SORT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</si>
  <si>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</si>
  <si>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</si>
  <si>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</si>
  <si>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</si>
  <si>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</si>
  <si>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remarks</t>
    <phoneticPr fontId="7" type="noConversion"/>
  </si>
  <si>
    <t>T_HL_DIC_HLJLWSBD</t>
    <phoneticPr fontId="7" type="noConversion"/>
  </si>
  <si>
    <t>护理记录单文书表单字典(数据)</t>
    <phoneticPr fontId="7" type="noConversion"/>
  </si>
  <si>
    <t>项目类型</t>
    <phoneticPr fontId="41" type="noConversion"/>
  </si>
  <si>
    <t>XM_JLSJ</t>
  </si>
  <si>
    <t>记录时间</t>
  </si>
  <si>
    <t>TEXT</t>
  </si>
  <si>
    <t>XM_XM</t>
  </si>
  <si>
    <t>XM_XB</t>
  </si>
  <si>
    <t>TEXT:文本，DICT:字典，FILE:文件，TABLE:子表</t>
    <phoneticPr fontId="41" type="noConversion"/>
  </si>
  <si>
    <t>DICT</t>
  </si>
  <si>
    <t>LX_XB</t>
    <phoneticPr fontId="37" type="noConversion"/>
  </si>
  <si>
    <t>年龄</t>
  </si>
  <si>
    <t>XM_NL</t>
  </si>
  <si>
    <t>籍贯</t>
  </si>
  <si>
    <t>XM_JG</t>
  </si>
  <si>
    <t>XM_HY</t>
  </si>
  <si>
    <t>LX_HYQK</t>
    <phoneticPr fontId="37" type="noConversion"/>
  </si>
  <si>
    <t>身份证</t>
  </si>
  <si>
    <t>XM_SFZ</t>
  </si>
  <si>
    <t>XM_LXDH</t>
  </si>
  <si>
    <t>XM_WHCD</t>
  </si>
  <si>
    <t>LX_WHCD</t>
    <phoneticPr fontId="37" type="noConversion"/>
  </si>
  <si>
    <t>是</t>
    <phoneticPr fontId="37" type="noConversion"/>
  </si>
  <si>
    <t>否</t>
    <phoneticPr fontId="37" type="noConversion"/>
  </si>
  <si>
    <t>LX_YJZL</t>
    <phoneticPr fontId="37" type="noConversion"/>
  </si>
  <si>
    <t>白酒</t>
    <phoneticPr fontId="37" type="noConversion"/>
  </si>
  <si>
    <t>黄酒</t>
    <phoneticPr fontId="37" type="noConversion"/>
  </si>
  <si>
    <t>红酒</t>
    <phoneticPr fontId="37" type="noConversion"/>
  </si>
  <si>
    <t>啤酒</t>
    <phoneticPr fontId="37" type="noConversion"/>
  </si>
  <si>
    <t>饮酒种类</t>
  </si>
  <si>
    <t>饮酒种类</t>
    <phoneticPr fontId="37" type="noConversion"/>
  </si>
  <si>
    <t>LX_YJZL</t>
    <phoneticPr fontId="37" type="noConversion"/>
  </si>
  <si>
    <t>运动情况</t>
  </si>
  <si>
    <t>LX_YDZL</t>
    <phoneticPr fontId="37" type="noConversion"/>
  </si>
  <si>
    <t>运动种类</t>
    <phoneticPr fontId="37" type="noConversion"/>
  </si>
  <si>
    <t>散步</t>
    <phoneticPr fontId="37" type="noConversion"/>
  </si>
  <si>
    <t>骑自行车</t>
    <phoneticPr fontId="37" type="noConversion"/>
  </si>
  <si>
    <t>快走</t>
    <phoneticPr fontId="37" type="noConversion"/>
  </si>
  <si>
    <t>做家务</t>
    <phoneticPr fontId="37" type="noConversion"/>
  </si>
  <si>
    <t>跑步</t>
    <phoneticPr fontId="37" type="noConversion"/>
  </si>
  <si>
    <t>跳舞</t>
    <phoneticPr fontId="37" type="noConversion"/>
  </si>
  <si>
    <t>游泳</t>
    <phoneticPr fontId="37" type="noConversion"/>
  </si>
  <si>
    <t>球类</t>
    <phoneticPr fontId="37" type="noConversion"/>
  </si>
  <si>
    <t>LX_YDZL</t>
    <phoneticPr fontId="37" type="noConversion"/>
  </si>
  <si>
    <t>yyyy-mm-dd</t>
    <phoneticPr fontId="7" type="noConversion"/>
  </si>
  <si>
    <t>varchar(10)</t>
    <phoneticPr fontId="35" type="noConversion"/>
  </si>
  <si>
    <t>T_HL_YW_ZCZXJSB</t>
    <phoneticPr fontId="7" type="noConversion"/>
  </si>
  <si>
    <t>T_HL_YW_HLJSB</t>
    <phoneticPr fontId="7" type="noConversion"/>
  </si>
  <si>
    <t>LX_YW</t>
    <phoneticPr fontId="37" type="noConversion"/>
  </si>
  <si>
    <t>有</t>
    <phoneticPr fontId="37" type="noConversion"/>
  </si>
  <si>
    <t>有无</t>
    <phoneticPr fontId="37" type="noConversion"/>
  </si>
  <si>
    <t>LX_SF</t>
  </si>
  <si>
    <t>LX_SF</t>
    <phoneticPr fontId="37" type="noConversion"/>
  </si>
  <si>
    <t>是否</t>
    <phoneticPr fontId="37" type="noConversion"/>
  </si>
  <si>
    <t>是否</t>
    <phoneticPr fontId="37" type="noConversion"/>
  </si>
  <si>
    <t>LX_SF</t>
    <phoneticPr fontId="37" type="noConversion"/>
  </si>
  <si>
    <t>LX_YW</t>
    <phoneticPr fontId="37" type="noConversion"/>
  </si>
  <si>
    <t>XM_SG</t>
  </si>
  <si>
    <t>空腹血糖（mmol/L）</t>
  </si>
  <si>
    <t>XM_KFXT</t>
  </si>
  <si>
    <t>图片</t>
  </si>
  <si>
    <t>FILE</t>
  </si>
  <si>
    <t>XM_TP</t>
  </si>
  <si>
    <t>糖尿病随访记录单</t>
    <phoneticPr fontId="37" type="noConversion"/>
  </si>
  <si>
    <t>LX_SFFS</t>
    <phoneticPr fontId="37" type="noConversion"/>
  </si>
  <si>
    <t>LX_SFFS</t>
    <phoneticPr fontId="37" type="noConversion"/>
  </si>
  <si>
    <t>微信</t>
    <phoneticPr fontId="37" type="noConversion"/>
  </si>
  <si>
    <t>LX_ZZ</t>
    <phoneticPr fontId="37" type="noConversion"/>
  </si>
  <si>
    <t>XM_TZ</t>
  </si>
  <si>
    <t>XM_TW</t>
  </si>
  <si>
    <t>LX_XLTZ</t>
    <phoneticPr fontId="37" type="noConversion"/>
  </si>
  <si>
    <t>LX_ZYXW</t>
    <phoneticPr fontId="37" type="noConversion"/>
  </si>
  <si>
    <t>LX_FYYCX</t>
    <phoneticPr fontId="37" type="noConversion"/>
  </si>
  <si>
    <t>LX_YWBLFY</t>
    <phoneticPr fontId="37" type="noConversion"/>
  </si>
  <si>
    <t>LX_DXTFY</t>
    <phoneticPr fontId="37" type="noConversion"/>
  </si>
  <si>
    <t>LX_SFFL</t>
    <phoneticPr fontId="37" type="noConversion"/>
  </si>
  <si>
    <t>TABLE</t>
  </si>
  <si>
    <t>T_HL_YW_TNBFYQK</t>
    <phoneticPr fontId="37" type="noConversion"/>
  </si>
  <si>
    <t>XM_YYQK</t>
  </si>
  <si>
    <t>XM_QT</t>
  </si>
  <si>
    <t>护理风险告知书</t>
  </si>
  <si>
    <t>护理风险告知书</t>
    <phoneticPr fontId="37" type="noConversion"/>
  </si>
  <si>
    <t>患者姓名</t>
  </si>
  <si>
    <t>XM_HZXM</t>
  </si>
  <si>
    <t>家属签名</t>
  </si>
  <si>
    <t>与患者关系</t>
  </si>
  <si>
    <t>XM_RQ</t>
  </si>
  <si>
    <t>LX_SF</t>
    <phoneticPr fontId="37" type="noConversion"/>
  </si>
  <si>
    <t>日期_2</t>
  </si>
  <si>
    <t>XM_YS_2</t>
  </si>
  <si>
    <t>饮食_2</t>
  </si>
  <si>
    <t>XM_YD_2</t>
  </si>
  <si>
    <t>运动_2</t>
  </si>
  <si>
    <t>XM_ZS_2</t>
  </si>
  <si>
    <t>注射_2</t>
  </si>
  <si>
    <t>XM_JC_2</t>
  </si>
  <si>
    <t>监测_2</t>
  </si>
  <si>
    <t>XM_FY_2</t>
  </si>
  <si>
    <t>服药_2</t>
  </si>
  <si>
    <t>XM_DXT_2</t>
  </si>
  <si>
    <t>低血糖_2</t>
  </si>
  <si>
    <t>XM_BFZ_2</t>
  </si>
  <si>
    <t>并发症_2</t>
  </si>
  <si>
    <t>XM_MZ_2</t>
  </si>
  <si>
    <t>门诊_2</t>
  </si>
  <si>
    <t>XM_WX_2</t>
  </si>
  <si>
    <t>微信_2</t>
  </si>
  <si>
    <t>XM_DH_2</t>
  </si>
  <si>
    <t>电话_2</t>
  </si>
  <si>
    <t>XM_QT_2</t>
  </si>
  <si>
    <t>其他_2</t>
  </si>
  <si>
    <t>XM_PJ_2</t>
  </si>
  <si>
    <t>效果评价_2</t>
  </si>
  <si>
    <t>XM_HFSJ_2</t>
  </si>
  <si>
    <t>花费时间（分钟）_2</t>
  </si>
  <si>
    <t>XM_TP_2</t>
  </si>
  <si>
    <t>XM_HSQM_2</t>
  </si>
  <si>
    <t>XM_RQ_3</t>
  </si>
  <si>
    <t>日期_3</t>
  </si>
  <si>
    <t>XM_YS_3</t>
  </si>
  <si>
    <t>饮食_3</t>
  </si>
  <si>
    <t>XM_YD_3</t>
  </si>
  <si>
    <t>运动_3</t>
  </si>
  <si>
    <t>XM_ZS_3</t>
  </si>
  <si>
    <t>注射_3</t>
  </si>
  <si>
    <t>XM_JC_3</t>
  </si>
  <si>
    <t>监测_3</t>
  </si>
  <si>
    <t>XM_FY_3</t>
  </si>
  <si>
    <t>服药_3</t>
  </si>
  <si>
    <t>XM_DXT_3</t>
  </si>
  <si>
    <t>低血糖_3</t>
  </si>
  <si>
    <t>XM_BFZ_3</t>
  </si>
  <si>
    <t>并发症_3</t>
  </si>
  <si>
    <t>XM_MZ_3</t>
  </si>
  <si>
    <t>门诊_3</t>
  </si>
  <si>
    <t>XM_WX_3</t>
  </si>
  <si>
    <t>微信_3</t>
  </si>
  <si>
    <t>XM_DH_3</t>
  </si>
  <si>
    <t>电话_3</t>
  </si>
  <si>
    <t>XM_QT_3</t>
  </si>
  <si>
    <t>其他_3</t>
  </si>
  <si>
    <t>XM_PJ_3</t>
  </si>
  <si>
    <t>效果评价_3</t>
  </si>
  <si>
    <t>XM_HFSJ_3</t>
  </si>
  <si>
    <t>XM_TP_3</t>
  </si>
  <si>
    <t>图片_3</t>
  </si>
  <si>
    <t>XM_HSQM_3</t>
  </si>
  <si>
    <t>XM_RQ_4</t>
  </si>
  <si>
    <t>日期_4</t>
  </si>
  <si>
    <t>XM_YS_4</t>
  </si>
  <si>
    <t>饮食_4</t>
  </si>
  <si>
    <t>XM_YD_4</t>
  </si>
  <si>
    <t>运动_4</t>
  </si>
  <si>
    <t>XM_ZS_4</t>
  </si>
  <si>
    <t>注射_4</t>
  </si>
  <si>
    <t>XM_JC_4</t>
  </si>
  <si>
    <t>监测_4</t>
  </si>
  <si>
    <t>XM_FY_4</t>
  </si>
  <si>
    <t>服药_4</t>
  </si>
  <si>
    <t>XM_DXT_4</t>
  </si>
  <si>
    <t>低血糖_4</t>
  </si>
  <si>
    <t>XM_BFZ_4</t>
  </si>
  <si>
    <t>并发症_4</t>
  </si>
  <si>
    <t>XM_MZ_4</t>
  </si>
  <si>
    <t>门诊_4</t>
  </si>
  <si>
    <t>XM_WX_4</t>
  </si>
  <si>
    <t>微信_4</t>
  </si>
  <si>
    <t>XM_DH_4</t>
  </si>
  <si>
    <t>电话_4</t>
  </si>
  <si>
    <t>XM_QT_4</t>
  </si>
  <si>
    <t>其他_4</t>
  </si>
  <si>
    <t>XM_PJ_4</t>
  </si>
  <si>
    <t>效果评价_4</t>
  </si>
  <si>
    <t>XM_HFSJ_4</t>
  </si>
  <si>
    <t>花费时间（分钟）_4</t>
  </si>
  <si>
    <t>XM_TP_4</t>
  </si>
  <si>
    <t>图片_4</t>
  </si>
  <si>
    <t>XM_HSQM_4</t>
  </si>
  <si>
    <t>管理护士签名_4</t>
  </si>
  <si>
    <t>XM_RQ_5</t>
  </si>
  <si>
    <t>日期_5</t>
  </si>
  <si>
    <t>XM_YS_5</t>
  </si>
  <si>
    <t>饮食_5</t>
  </si>
  <si>
    <t>XM_YD_5</t>
  </si>
  <si>
    <t>运动_5</t>
  </si>
  <si>
    <t>XM_ZS_5</t>
  </si>
  <si>
    <t>注射_5</t>
  </si>
  <si>
    <t>XM_JC_5</t>
  </si>
  <si>
    <t>监测_5</t>
  </si>
  <si>
    <t>XM_FY_5</t>
  </si>
  <si>
    <t>服药_5</t>
  </si>
  <si>
    <t>XM_DXT_5</t>
  </si>
  <si>
    <t>低血糖_5</t>
  </si>
  <si>
    <t>XM_BFZ_5</t>
  </si>
  <si>
    <t>并发症_5</t>
  </si>
  <si>
    <t>XM_MZ_5</t>
  </si>
  <si>
    <t>门诊_5</t>
  </si>
  <si>
    <t>XM_WX_5</t>
  </si>
  <si>
    <t>微信_5</t>
  </si>
  <si>
    <t>XM_DH_5</t>
  </si>
  <si>
    <t>电话_5</t>
  </si>
  <si>
    <t>XM_QT_5</t>
  </si>
  <si>
    <t>其他_5</t>
  </si>
  <si>
    <t>XM_PJ_5</t>
  </si>
  <si>
    <t>效果评价_5</t>
  </si>
  <si>
    <t>XM_HFSJ_5</t>
  </si>
  <si>
    <t>花费时间（分钟）_5</t>
  </si>
  <si>
    <t>XM_TP_5</t>
  </si>
  <si>
    <t>图片_5</t>
  </si>
  <si>
    <t>XM_HSQM_5</t>
  </si>
  <si>
    <t>管理护士签名_5</t>
  </si>
  <si>
    <t>XM_RQ_6</t>
  </si>
  <si>
    <t>日期_6</t>
  </si>
  <si>
    <t>XM_YS_6</t>
  </si>
  <si>
    <t>饮食_6</t>
  </si>
  <si>
    <t>XM_YD_6</t>
  </si>
  <si>
    <t>运动_6</t>
  </si>
  <si>
    <t>XM_ZS_6</t>
  </si>
  <si>
    <t>注射_6</t>
  </si>
  <si>
    <t>XM_JC_6</t>
  </si>
  <si>
    <t>监测_6</t>
  </si>
  <si>
    <t>XM_FY_6</t>
  </si>
  <si>
    <t>服药_6</t>
  </si>
  <si>
    <t>XM_DXT_6</t>
  </si>
  <si>
    <t>低血糖_6</t>
  </si>
  <si>
    <t>XM_BFZ_6</t>
  </si>
  <si>
    <t>并发症_6</t>
  </si>
  <si>
    <t>XM_MZ_6</t>
  </si>
  <si>
    <t>门诊_6</t>
  </si>
  <si>
    <t>XM_WX_6</t>
  </si>
  <si>
    <t>微信_6</t>
  </si>
  <si>
    <t>XM_DH_6</t>
  </si>
  <si>
    <t>电话_6</t>
  </si>
  <si>
    <t>XM_QT_6</t>
  </si>
  <si>
    <t>其他_6</t>
  </si>
  <si>
    <t>XM_PJ_6</t>
  </si>
  <si>
    <t>效果评价_6</t>
  </si>
  <si>
    <t>XM_HFSJ_6</t>
  </si>
  <si>
    <t>花费时间（分钟）_6</t>
  </si>
  <si>
    <t>XM_TP_6</t>
  </si>
  <si>
    <t>图片_6</t>
  </si>
  <si>
    <t>XM_HSQM_6</t>
  </si>
  <si>
    <t>管理护士签名_6</t>
  </si>
  <si>
    <t>XM_RQ_7</t>
  </si>
  <si>
    <t>日期_7</t>
  </si>
  <si>
    <t>XM_YS_7</t>
  </si>
  <si>
    <t>饮食_7</t>
  </si>
  <si>
    <t>XM_YD_7</t>
  </si>
  <si>
    <t>运动_7</t>
  </si>
  <si>
    <t>XM_ZS_7</t>
  </si>
  <si>
    <t>注射_7</t>
  </si>
  <si>
    <t>XM_JC_7</t>
  </si>
  <si>
    <t>监测_7</t>
  </si>
  <si>
    <t>XM_FY_7</t>
  </si>
  <si>
    <t>服药_7</t>
  </si>
  <si>
    <t>XM_DXT_7</t>
  </si>
  <si>
    <t>低血糖_7</t>
  </si>
  <si>
    <t>XM_BFZ_7</t>
  </si>
  <si>
    <t>并发症_7</t>
  </si>
  <si>
    <t>XM_MZ_7</t>
  </si>
  <si>
    <t>门诊_7</t>
  </si>
  <si>
    <t>XM_WX_7</t>
  </si>
  <si>
    <t>微信_7</t>
  </si>
  <si>
    <t>XM_DH_7</t>
  </si>
  <si>
    <t>电话_7</t>
  </si>
  <si>
    <t>XM_QT_7</t>
  </si>
  <si>
    <t>其他_7</t>
  </si>
  <si>
    <t>XM_PJ_7</t>
  </si>
  <si>
    <t>效果评价_7</t>
  </si>
  <si>
    <t>XM_HFSJ_7</t>
  </si>
  <si>
    <t>花费时间（分钟）_7</t>
  </si>
  <si>
    <t>XM_TP_7</t>
  </si>
  <si>
    <t>图片_7</t>
  </si>
  <si>
    <t>XM_HSQM_7</t>
  </si>
  <si>
    <t>XM_RQ_8</t>
  </si>
  <si>
    <t>日期_8</t>
  </si>
  <si>
    <t>XM_YS_8</t>
  </si>
  <si>
    <t>饮食_8</t>
  </si>
  <si>
    <t>XM_YD_8</t>
  </si>
  <si>
    <t>运动_8</t>
  </si>
  <si>
    <t>XM_ZS_8</t>
  </si>
  <si>
    <t>注射_8</t>
  </si>
  <si>
    <t>XM_JC_8</t>
  </si>
  <si>
    <t>监测_8</t>
  </si>
  <si>
    <t>XM_FY_8</t>
  </si>
  <si>
    <t>服药_8</t>
  </si>
  <si>
    <t>XM_DXT_8</t>
  </si>
  <si>
    <t>低血糖_8</t>
  </si>
  <si>
    <t>XM_BFZ_8</t>
  </si>
  <si>
    <t>并发症_8</t>
  </si>
  <si>
    <t>XM_MZ_8</t>
  </si>
  <si>
    <t>门诊_8</t>
  </si>
  <si>
    <t>XM_WX_8</t>
  </si>
  <si>
    <t>微信_8</t>
  </si>
  <si>
    <t>XM_DH_8</t>
  </si>
  <si>
    <t>电话_8</t>
  </si>
  <si>
    <t>XM_QT_8</t>
  </si>
  <si>
    <t>其他_8</t>
  </si>
  <si>
    <t>XM_PJ_8</t>
  </si>
  <si>
    <t>效果评价_8</t>
  </si>
  <si>
    <t>XM_HFSJ_8</t>
  </si>
  <si>
    <t>花费时间（分钟）_8</t>
  </si>
  <si>
    <t>XM_TP_8</t>
  </si>
  <si>
    <t>图片_8</t>
  </si>
  <si>
    <t>XM_HSQM_8</t>
  </si>
  <si>
    <t>XM_RQ_9</t>
  </si>
  <si>
    <t>日期_9</t>
  </si>
  <si>
    <t>XM_YS_9</t>
  </si>
  <si>
    <t>饮食_9</t>
  </si>
  <si>
    <t>XM_YD_9</t>
  </si>
  <si>
    <t>运动_9</t>
  </si>
  <si>
    <t>XM_ZS_9</t>
  </si>
  <si>
    <t>注射_9</t>
  </si>
  <si>
    <t>XM_JC_9</t>
  </si>
  <si>
    <t>监测_9</t>
  </si>
  <si>
    <t>XM_FY_9</t>
  </si>
  <si>
    <t>服药_9</t>
  </si>
  <si>
    <t>XM_DXT_9</t>
  </si>
  <si>
    <t>低血糖_9</t>
  </si>
  <si>
    <t>XM_BFZ_9</t>
  </si>
  <si>
    <t>并发症_9</t>
  </si>
  <si>
    <t>XM_MZ_9</t>
  </si>
  <si>
    <t>门诊_9</t>
  </si>
  <si>
    <t>XM_WX_9</t>
  </si>
  <si>
    <t>微信_9</t>
  </si>
  <si>
    <t>XM_DH_9</t>
  </si>
  <si>
    <t>电话_9</t>
  </si>
  <si>
    <t>XM_QT_9</t>
  </si>
  <si>
    <t>其他_9</t>
  </si>
  <si>
    <t>XM_PJ_9</t>
  </si>
  <si>
    <t>效果评价_9</t>
  </si>
  <si>
    <t>XM_HFSJ_9</t>
  </si>
  <si>
    <t>花费时间（分钟）_9</t>
  </si>
  <si>
    <t>XM_TP_9</t>
  </si>
  <si>
    <t>图片_9</t>
  </si>
  <si>
    <t>XM_HSQM_9</t>
  </si>
  <si>
    <t>XM_RQ_10</t>
  </si>
  <si>
    <t>日期_10</t>
  </si>
  <si>
    <t>XM_YS_10</t>
  </si>
  <si>
    <t>饮食_10</t>
  </si>
  <si>
    <t>XM_YD_10</t>
  </si>
  <si>
    <t>运动_10</t>
  </si>
  <si>
    <t>XM_ZS_10</t>
  </si>
  <si>
    <t>注射_10</t>
  </si>
  <si>
    <t>XM_JC_10</t>
  </si>
  <si>
    <t>监测_10</t>
  </si>
  <si>
    <t>XM_FY_10</t>
  </si>
  <si>
    <t>服药_10</t>
  </si>
  <si>
    <t>XM_DXT_10</t>
  </si>
  <si>
    <t>低血糖_10</t>
  </si>
  <si>
    <t>XM_BFZ_10</t>
  </si>
  <si>
    <t>并发症_10</t>
  </si>
  <si>
    <t>XM_MZ_10</t>
  </si>
  <si>
    <t>门诊_10</t>
  </si>
  <si>
    <t>XM_WX_10</t>
  </si>
  <si>
    <t>微信_10</t>
  </si>
  <si>
    <t>XM_DH_10</t>
  </si>
  <si>
    <t>电话_10</t>
  </si>
  <si>
    <t>XM_QT_10</t>
  </si>
  <si>
    <t>其他_10</t>
  </si>
  <si>
    <t>XM_PJ_10</t>
  </si>
  <si>
    <t>效果评价_10</t>
  </si>
  <si>
    <t>XM_HFSJ_10</t>
  </si>
  <si>
    <t>花费时间（分钟）_10</t>
  </si>
  <si>
    <t>XM_TP_10</t>
  </si>
  <si>
    <t>图片_10</t>
  </si>
  <si>
    <t>XM_HSQM_10</t>
  </si>
  <si>
    <t>糖尿病患者随访临床检测记录表</t>
  </si>
  <si>
    <t>糖尿病患者随访临床检测记录表</t>
    <phoneticPr fontId="37" type="noConversion"/>
  </si>
  <si>
    <t>XM_TZ_2</t>
  </si>
  <si>
    <t>体重_2</t>
  </si>
  <si>
    <t>XM_SG_2</t>
  </si>
  <si>
    <t>身高_2</t>
  </si>
  <si>
    <t>XM_YW_2</t>
  </si>
  <si>
    <t>腰围_2</t>
  </si>
  <si>
    <t>XM_XY_2</t>
  </si>
  <si>
    <t>血压_2</t>
  </si>
  <si>
    <t>XM_KFXT_2</t>
  </si>
  <si>
    <t>空腹/餐后血糖_2</t>
  </si>
  <si>
    <t>XM_THXHDB_2</t>
  </si>
  <si>
    <t>糖化血红蛋白_2</t>
  </si>
  <si>
    <t>XM_NCG_2</t>
  </si>
  <si>
    <t>尿常规_2</t>
  </si>
  <si>
    <t>XM_ZDGC_2</t>
  </si>
  <si>
    <t>总胆固醇_2</t>
  </si>
  <si>
    <t>XM_GYSZ_2</t>
  </si>
  <si>
    <t>甘油三酯_2</t>
  </si>
  <si>
    <t>XM_LDL_C_2</t>
  </si>
  <si>
    <t>LDL-C_2</t>
  </si>
  <si>
    <t>XM_HDL_C_2</t>
  </si>
  <si>
    <t>HDL-C_2</t>
  </si>
  <si>
    <t>XM_NBDB_2</t>
  </si>
  <si>
    <t>尿白蛋白_2</t>
  </si>
  <si>
    <t>XM_NTT_2</t>
  </si>
  <si>
    <t>尿酮体_2</t>
  </si>
  <si>
    <t>XM_JG_2</t>
  </si>
  <si>
    <t>肌酐_2</t>
  </si>
  <si>
    <t>XM_XNSD_2</t>
  </si>
  <si>
    <t>血尿素氮_2</t>
  </si>
  <si>
    <t>XM_GGN_2</t>
  </si>
  <si>
    <t>肝功能_2</t>
  </si>
  <si>
    <t>XM_JZX_2</t>
  </si>
  <si>
    <t>促甲状腺激素_2</t>
  </si>
  <si>
    <t>XM_XDT_2</t>
  </si>
  <si>
    <t>心电图_2</t>
  </si>
  <si>
    <t>XM_SL_2</t>
  </si>
  <si>
    <t>视力及眼底_2</t>
  </si>
  <si>
    <t>XM_DMBD_2</t>
  </si>
  <si>
    <t>足背动脉搏动_2</t>
  </si>
  <si>
    <t>XM_SJB_2</t>
  </si>
  <si>
    <t>神经病变的相关检查_2</t>
  </si>
  <si>
    <t>XM_SFHS_2</t>
  </si>
  <si>
    <t>随访护士_2</t>
  </si>
  <si>
    <t>XM_TZ_3</t>
  </si>
  <si>
    <t>体重_3</t>
  </si>
  <si>
    <t>XM_SG_3</t>
  </si>
  <si>
    <t>身高_3</t>
  </si>
  <si>
    <t>XM_YW_3</t>
  </si>
  <si>
    <t>腰围_3</t>
  </si>
  <si>
    <t>XM_XY_3</t>
  </si>
  <si>
    <t>血压_3</t>
  </si>
  <si>
    <t>XM_KFXT_3</t>
  </si>
  <si>
    <t>空腹/餐后血糖_3</t>
  </si>
  <si>
    <t>XM_THXHDB_3</t>
  </si>
  <si>
    <t>糖化血红蛋白_3</t>
  </si>
  <si>
    <t>XM_NCG_3</t>
  </si>
  <si>
    <t>尿常规_3</t>
  </si>
  <si>
    <t>XM_ZDGC_3</t>
  </si>
  <si>
    <t>总胆固醇_3</t>
  </si>
  <si>
    <t>XM_GYSZ_3</t>
  </si>
  <si>
    <t>甘油三酯_3</t>
  </si>
  <si>
    <t>XM_LDL_C_3</t>
  </si>
  <si>
    <t>LDL-C_3</t>
  </si>
  <si>
    <t>XM_HDL_C_3</t>
  </si>
  <si>
    <t>HDL-C_3</t>
  </si>
  <si>
    <t>XM_NBDB_3</t>
  </si>
  <si>
    <t>尿白蛋白_3</t>
  </si>
  <si>
    <t>XM_NTT_3</t>
  </si>
  <si>
    <t>尿酮体_3</t>
  </si>
  <si>
    <t>XM_JG_3</t>
  </si>
  <si>
    <t>肌酐_3</t>
  </si>
  <si>
    <t>XM_XNSD_3</t>
  </si>
  <si>
    <t>血尿素氮_3</t>
  </si>
  <si>
    <t>XM_GGN_3</t>
  </si>
  <si>
    <t>肝功能_3</t>
  </si>
  <si>
    <t>XM_JZX_3</t>
  </si>
  <si>
    <t>促甲状腺激素_3</t>
  </si>
  <si>
    <t>XM_XDT_3</t>
  </si>
  <si>
    <t>心电图_3</t>
  </si>
  <si>
    <t>XM_SL_3</t>
  </si>
  <si>
    <t>视力及眼底_3</t>
  </si>
  <si>
    <t>XM_DMBD_3</t>
  </si>
  <si>
    <t>足背动脉搏动_3</t>
  </si>
  <si>
    <t>XM_SJB_3</t>
  </si>
  <si>
    <t>神经病变的相关检查_3</t>
  </si>
  <si>
    <t>XM_SFHS_3</t>
  </si>
  <si>
    <t>随访护士_3</t>
  </si>
  <si>
    <t>XM_TZ_4</t>
  </si>
  <si>
    <t>体重_4</t>
  </si>
  <si>
    <t>XM_SG_4</t>
  </si>
  <si>
    <t>身高_4</t>
  </si>
  <si>
    <t>XM_YW_4</t>
  </si>
  <si>
    <t>腰围_4</t>
  </si>
  <si>
    <t>XM_XY_4</t>
  </si>
  <si>
    <t>血压_4</t>
  </si>
  <si>
    <t>XM_KFXT_4</t>
  </si>
  <si>
    <t>空腹/餐后血糖_4</t>
  </si>
  <si>
    <t>XM_THXHDB_4</t>
  </si>
  <si>
    <t>糖化血红蛋白_4</t>
  </si>
  <si>
    <t>XM_NCG_4</t>
  </si>
  <si>
    <t>尿常规_4</t>
  </si>
  <si>
    <t>XM_ZDGC_4</t>
  </si>
  <si>
    <t>总胆固醇_4</t>
  </si>
  <si>
    <t>XM_GYSZ_4</t>
  </si>
  <si>
    <t>甘油三酯_4</t>
  </si>
  <si>
    <t>XM_LDL_C_4</t>
  </si>
  <si>
    <t>LDL-C_4</t>
  </si>
  <si>
    <t>XM_HDL_C_4</t>
  </si>
  <si>
    <t>HDL-C_4</t>
  </si>
  <si>
    <t>XM_NBDB_4</t>
  </si>
  <si>
    <t>尿白蛋白_4</t>
  </si>
  <si>
    <t>XM_NTT_4</t>
  </si>
  <si>
    <t>尿酮体_4</t>
  </si>
  <si>
    <t>XM_JG_4</t>
  </si>
  <si>
    <t>肌酐_4</t>
  </si>
  <si>
    <t>XM_XNSD_4</t>
  </si>
  <si>
    <t>血尿素氮_4</t>
  </si>
  <si>
    <t>XM_GGN_4</t>
  </si>
  <si>
    <t>肝功能_4</t>
  </si>
  <si>
    <t>XM_JZX_4</t>
  </si>
  <si>
    <t>促甲状腺激素_4</t>
  </si>
  <si>
    <t>XM_XDT_4</t>
  </si>
  <si>
    <t>心电图_4</t>
  </si>
  <si>
    <t>XM_SL_4</t>
  </si>
  <si>
    <t>视力及眼底_4</t>
  </si>
  <si>
    <t>XM_DMBD_4</t>
  </si>
  <si>
    <t>足背动脉搏动_4</t>
  </si>
  <si>
    <t>XM_SJB_4</t>
  </si>
  <si>
    <t>神经病变的相关检查_4</t>
  </si>
  <si>
    <t>XM_SFHS_4</t>
  </si>
  <si>
    <t>随访护士_4</t>
  </si>
  <si>
    <t>急性伤口护理记录单</t>
    <phoneticPr fontId="37" type="noConversion"/>
  </si>
  <si>
    <t>E2D940706900B31198A9659D229FBD1F</t>
    <phoneticPr fontId="37" type="noConversion"/>
  </si>
  <si>
    <t>T_HL_DIC_HLJLWS</t>
    <phoneticPr fontId="7" type="noConversion"/>
  </si>
  <si>
    <t>得分计算Bean</t>
    <phoneticPr fontId="7" type="noConversion"/>
  </si>
  <si>
    <t>bean</t>
    <phoneticPr fontId="7" type="noConversion"/>
  </si>
  <si>
    <t>行政区划字典表ID</t>
    <phoneticPr fontId="7" type="noConversion"/>
  </si>
  <si>
    <t>居住地-市（地区）</t>
    <phoneticPr fontId="7" type="noConversion"/>
  </si>
  <si>
    <t>居住地-居委会、村</t>
    <phoneticPr fontId="7" type="noConversion"/>
  </si>
  <si>
    <t>jzd_XXDZ</t>
    <phoneticPr fontId="7" type="noConversion"/>
  </si>
  <si>
    <t>护理病人登记信息</t>
    <phoneticPr fontId="7" type="noConversion"/>
  </si>
  <si>
    <t>护理病人登记信息</t>
    <phoneticPr fontId="7" type="noConversion"/>
  </si>
  <si>
    <t>咨询护理中心医生</t>
    <phoneticPr fontId="7" type="noConversion"/>
  </si>
  <si>
    <t>综合服务区</t>
    <phoneticPr fontId="7" type="noConversion"/>
  </si>
  <si>
    <t>病房</t>
    <phoneticPr fontId="7" type="noConversion"/>
  </si>
  <si>
    <t>站点</t>
    <phoneticPr fontId="7" type="noConversion"/>
  </si>
  <si>
    <t>居家服务</t>
    <phoneticPr fontId="7" type="noConversion"/>
  </si>
  <si>
    <t>T_HL_YW_BRDJXX</t>
    <phoneticPr fontId="7" type="noConversion"/>
  </si>
  <si>
    <t>jzd_she</t>
    <phoneticPr fontId="7" type="noConversion"/>
  </si>
  <si>
    <t>居住地-省（自治区、直辖市）</t>
    <phoneticPr fontId="7" type="noConversion"/>
  </si>
  <si>
    <t>jzd_shi</t>
    <phoneticPr fontId="7" type="noConversion"/>
  </si>
  <si>
    <t>jzd_xia</t>
    <phoneticPr fontId="7" type="noConversion"/>
  </si>
  <si>
    <t>居住地-县（区）</t>
    <phoneticPr fontId="7" type="noConversion"/>
  </si>
  <si>
    <t>jzd_xng</t>
    <phoneticPr fontId="7" type="noConversion"/>
  </si>
  <si>
    <t>居住地-乡（镇、街道）</t>
    <phoneticPr fontId="7" type="noConversion"/>
  </si>
  <si>
    <t>jzd_vlg</t>
    <phoneticPr fontId="7" type="noConversion"/>
  </si>
  <si>
    <t>居住地-地址文本</t>
    <phoneticPr fontId="7" type="noConversion"/>
  </si>
  <si>
    <t>伤口评估表</t>
    <phoneticPr fontId="37" type="noConversion"/>
  </si>
  <si>
    <t>C0D246706900B31108B48E5B8EBB6830</t>
    <phoneticPr fontId="37" type="noConversion"/>
  </si>
  <si>
    <t>评估时间</t>
  </si>
  <si>
    <t>XM_PGSJ</t>
  </si>
  <si>
    <t>全身性疾病</t>
  </si>
  <si>
    <t>伤口评估表</t>
    <phoneticPr fontId="37" type="noConversion"/>
  </si>
  <si>
    <r>
      <t>LX_</t>
    </r>
    <r>
      <rPr>
        <sz val="11"/>
        <color indexed="8"/>
        <rFont val="宋体"/>
        <family val="3"/>
        <charset val="134"/>
      </rPr>
      <t>QSXJB</t>
    </r>
    <phoneticPr fontId="37" type="noConversion"/>
  </si>
  <si>
    <t>神经系统疾病</t>
  </si>
  <si>
    <t>心，肺疾病</t>
    <phoneticPr fontId="37" type="noConversion"/>
  </si>
  <si>
    <t>肾功能不全</t>
    <phoneticPr fontId="37" type="noConversion"/>
  </si>
  <si>
    <t>血液系统疾病</t>
    <phoneticPr fontId="37" type="noConversion"/>
  </si>
  <si>
    <t>营养不良</t>
    <phoneticPr fontId="37" type="noConversion"/>
  </si>
  <si>
    <t>激素作用</t>
    <phoneticPr fontId="37" type="noConversion"/>
  </si>
  <si>
    <t>免疫抑制剂的使用</t>
    <phoneticPr fontId="37" type="noConversion"/>
  </si>
  <si>
    <t>其他</t>
    <phoneticPr fontId="37" type="noConversion"/>
  </si>
  <si>
    <t>XM_XT</t>
  </si>
  <si>
    <r>
      <t>LX_</t>
    </r>
    <r>
      <rPr>
        <sz val="11"/>
        <color indexed="8"/>
        <rFont val="宋体"/>
        <family val="3"/>
        <charset val="134"/>
      </rPr>
      <t>QSXJB</t>
    </r>
    <phoneticPr fontId="37" type="noConversion"/>
  </si>
  <si>
    <t>XM_SKLX</t>
  </si>
  <si>
    <t>LX_SKLX</t>
    <phoneticPr fontId="37" type="noConversion"/>
  </si>
  <si>
    <t>压疮</t>
    <phoneticPr fontId="37" type="noConversion"/>
  </si>
  <si>
    <t>糖尿病足</t>
    <phoneticPr fontId="37" type="noConversion"/>
  </si>
  <si>
    <t>外伤/手术切口</t>
    <phoneticPr fontId="37" type="noConversion"/>
  </si>
  <si>
    <t>烧伤/烫伤</t>
    <phoneticPr fontId="37" type="noConversion"/>
  </si>
  <si>
    <t>肿瘤伤口</t>
    <phoneticPr fontId="37" type="noConversion"/>
  </si>
  <si>
    <t>静脉性溃疡</t>
    <phoneticPr fontId="37" type="noConversion"/>
  </si>
  <si>
    <t>动脉性溃疡</t>
    <phoneticPr fontId="37" type="noConversion"/>
  </si>
  <si>
    <t>LX_SKLX</t>
    <phoneticPr fontId="37" type="noConversion"/>
  </si>
  <si>
    <t>XM_SKLX_QT</t>
  </si>
  <si>
    <t>伤口类型_其他</t>
  </si>
  <si>
    <t>XM_QX</t>
  </si>
  <si>
    <t>渗液颜色</t>
  </si>
  <si>
    <t>渗液颜色</t>
    <phoneticPr fontId="37" type="noConversion"/>
  </si>
  <si>
    <t>黄色</t>
    <phoneticPr fontId="37" type="noConversion"/>
  </si>
  <si>
    <t>绿色</t>
    <phoneticPr fontId="37" type="noConversion"/>
  </si>
  <si>
    <t>黄褐色</t>
    <phoneticPr fontId="37" type="noConversion"/>
  </si>
  <si>
    <t>渗液性状</t>
    <phoneticPr fontId="37" type="noConversion"/>
  </si>
  <si>
    <t>LX_SYYS</t>
    <phoneticPr fontId="37" type="noConversion"/>
  </si>
  <si>
    <t>LX_SYXZ</t>
    <phoneticPr fontId="37" type="noConversion"/>
  </si>
  <si>
    <t>粘稠</t>
    <phoneticPr fontId="37" type="noConversion"/>
  </si>
  <si>
    <t>稀薄</t>
    <phoneticPr fontId="37" type="noConversion"/>
  </si>
  <si>
    <t>干燥</t>
    <phoneticPr fontId="37" type="noConversion"/>
  </si>
  <si>
    <t>渗液量</t>
    <phoneticPr fontId="37" type="noConversion"/>
  </si>
  <si>
    <t>LX_SYL</t>
    <phoneticPr fontId="37" type="noConversion"/>
  </si>
  <si>
    <t>低量（&lt;5ml/24h）</t>
    <phoneticPr fontId="37" type="noConversion"/>
  </si>
  <si>
    <t>中量（5-10ml/24h）</t>
    <phoneticPr fontId="37" type="noConversion"/>
  </si>
  <si>
    <t>大量（&gt;10ml/24h）</t>
    <phoneticPr fontId="37" type="noConversion"/>
  </si>
  <si>
    <t>有无</t>
    <phoneticPr fontId="37" type="noConversion"/>
  </si>
  <si>
    <t>有</t>
    <phoneticPr fontId="37" type="noConversion"/>
  </si>
  <si>
    <t>有无</t>
    <phoneticPr fontId="37" type="noConversion"/>
  </si>
  <si>
    <t>无</t>
    <phoneticPr fontId="37" type="noConversion"/>
  </si>
  <si>
    <t>渗液颜色</t>
    <phoneticPr fontId="37" type="noConversion"/>
  </si>
  <si>
    <t>LX_SYYS</t>
    <phoneticPr fontId="37" type="noConversion"/>
  </si>
  <si>
    <t>渗液性状</t>
    <phoneticPr fontId="37" type="noConversion"/>
  </si>
  <si>
    <t>LX_SYXZ</t>
    <phoneticPr fontId="37" type="noConversion"/>
  </si>
  <si>
    <t>LX_SYL</t>
    <phoneticPr fontId="37" type="noConversion"/>
  </si>
  <si>
    <t>渗液量</t>
    <phoneticPr fontId="37" type="noConversion"/>
  </si>
  <si>
    <t>疼痛</t>
    <phoneticPr fontId="37" type="noConversion"/>
  </si>
  <si>
    <t>只在换药时</t>
    <phoneticPr fontId="37" type="noConversion"/>
  </si>
  <si>
    <t>间断疼痛</t>
    <phoneticPr fontId="37" type="noConversion"/>
  </si>
  <si>
    <t>持续疼痛</t>
    <phoneticPr fontId="37" type="noConversion"/>
  </si>
  <si>
    <t>LX_TT</t>
    <phoneticPr fontId="37" type="noConversion"/>
  </si>
  <si>
    <t>LX_TT</t>
    <phoneticPr fontId="37" type="noConversion"/>
  </si>
  <si>
    <t>LX_ZWPFZZ</t>
    <phoneticPr fontId="41" type="noConversion"/>
  </si>
  <si>
    <t>周围皮肤组织</t>
    <phoneticPr fontId="37" type="noConversion"/>
  </si>
  <si>
    <t>正常</t>
    <phoneticPr fontId="37" type="noConversion"/>
  </si>
  <si>
    <t>苍白</t>
    <phoneticPr fontId="37" type="noConversion"/>
  </si>
  <si>
    <t>水泡</t>
    <phoneticPr fontId="37" type="noConversion"/>
  </si>
  <si>
    <t xml:space="preserve">皮炎 </t>
    <phoneticPr fontId="37" type="noConversion"/>
  </si>
  <si>
    <t>水肿</t>
    <phoneticPr fontId="37" type="noConversion"/>
  </si>
  <si>
    <t>浸渍</t>
    <phoneticPr fontId="37" type="noConversion"/>
  </si>
  <si>
    <t>瘀斑</t>
    <phoneticPr fontId="37" type="noConversion"/>
  </si>
  <si>
    <t>红/热</t>
    <phoneticPr fontId="37" type="noConversion"/>
  </si>
  <si>
    <t>文书名称</t>
    <phoneticPr fontId="7" type="noConversion"/>
  </si>
  <si>
    <t>varchar(8000)</t>
    <phoneticPr fontId="7" type="noConversion"/>
  </si>
  <si>
    <t>1护理记录单
2评估量表
3宣教
4指导建议</t>
    <phoneticPr fontId="7" type="noConversion"/>
  </si>
  <si>
    <t>指导建议</t>
    <phoneticPr fontId="7" type="noConversion"/>
  </si>
  <si>
    <t>护理记录文书分类字典.主键ID</t>
    <phoneticPr fontId="7" type="noConversion"/>
  </si>
  <si>
    <t>糖尿病护理指导意见</t>
    <phoneticPr fontId="37" type="noConversion"/>
  </si>
  <si>
    <t>造口伤口护理的指导建议</t>
    <phoneticPr fontId="37" type="noConversion"/>
  </si>
  <si>
    <t>PICC护理指导建议</t>
    <phoneticPr fontId="37" type="noConversion"/>
  </si>
  <si>
    <t>慢阻肺</t>
    <phoneticPr fontId="7" type="noConversion"/>
  </si>
  <si>
    <t>慢阻肺护理指导建议</t>
    <phoneticPr fontId="37" type="noConversion"/>
  </si>
  <si>
    <t>安宁疗护</t>
    <phoneticPr fontId="7" type="noConversion"/>
  </si>
  <si>
    <t>安宁疗护</t>
    <phoneticPr fontId="7" type="noConversion"/>
  </si>
  <si>
    <t>安宁疗护护理指导建议</t>
    <phoneticPr fontId="37" type="noConversion"/>
  </si>
  <si>
    <t>中医护理</t>
    <phoneticPr fontId="7" type="noConversion"/>
  </si>
  <si>
    <t>中医护理指导建议</t>
    <phoneticPr fontId="37" type="noConversion"/>
  </si>
  <si>
    <t>康复护理</t>
    <phoneticPr fontId="37" type="noConversion"/>
  </si>
  <si>
    <t>康复护理</t>
    <phoneticPr fontId="37" type="noConversion"/>
  </si>
  <si>
    <t>康复护理指导建议</t>
    <phoneticPr fontId="37" type="noConversion"/>
  </si>
  <si>
    <t>母婴护理</t>
    <phoneticPr fontId="7" type="noConversion"/>
  </si>
  <si>
    <t>母婴护理</t>
    <phoneticPr fontId="37" type="noConversion"/>
  </si>
  <si>
    <t>生活护理</t>
    <phoneticPr fontId="7" type="noConversion"/>
  </si>
  <si>
    <t>生活护理</t>
    <phoneticPr fontId="37" type="noConversion"/>
  </si>
  <si>
    <t>生活护理指导建议</t>
    <phoneticPr fontId="37" type="noConversion"/>
  </si>
  <si>
    <t>LX_YYQX</t>
  </si>
  <si>
    <t>抑郁情绪</t>
  </si>
  <si>
    <t>汉密尔顿抑郁量表</t>
  </si>
  <si>
    <t>LX_YZG</t>
  </si>
  <si>
    <t>有罪感</t>
  </si>
  <si>
    <t>LX_ZSGN</t>
  </si>
  <si>
    <t>自杀观念</t>
  </si>
  <si>
    <t>LX_RSKN</t>
  </si>
  <si>
    <t>入睡困难</t>
  </si>
  <si>
    <t>LX_SMBS</t>
  </si>
  <si>
    <t>睡眠不深</t>
  </si>
  <si>
    <t>LX_ZX</t>
  </si>
  <si>
    <t>早醒</t>
  </si>
  <si>
    <t>LX_GZYXQ</t>
  </si>
  <si>
    <t>工作与兴趣</t>
  </si>
  <si>
    <t>LX_CH</t>
  </si>
  <si>
    <t>迟缓</t>
  </si>
  <si>
    <t>LX_JY</t>
  </si>
  <si>
    <t>激越</t>
  </si>
  <si>
    <t>汉密尔顿抑郁量表</t>
    <phoneticPr fontId="35" type="noConversion"/>
  </si>
  <si>
    <t>LX_JSXJL</t>
  </si>
  <si>
    <t>精神性焦虑</t>
  </si>
  <si>
    <t>LX_QTXJL</t>
  </si>
  <si>
    <t>躯体性焦虑</t>
  </si>
  <si>
    <t>LX_WCDZZ</t>
  </si>
  <si>
    <t>胃肠道症状</t>
  </si>
  <si>
    <t>LX_QSZZ</t>
  </si>
  <si>
    <t>全身症状</t>
  </si>
  <si>
    <t>LX_XZZ</t>
  </si>
  <si>
    <t>性症状</t>
  </si>
  <si>
    <t>LX_YB</t>
  </si>
  <si>
    <t>疑病</t>
  </si>
  <si>
    <t>LX_TZJQ</t>
  </si>
  <si>
    <t>体重减轻</t>
  </si>
  <si>
    <t>LX_MMHCT</t>
  </si>
  <si>
    <t>麻木或刺痛</t>
  </si>
  <si>
    <t>贝克焦虑量表(BAI)</t>
  </si>
  <si>
    <t>LX_GDFR</t>
  </si>
  <si>
    <t>感到发热</t>
  </si>
  <si>
    <t>LX_TBCD</t>
  </si>
  <si>
    <t>腿部颤抖</t>
  </si>
  <si>
    <t>LX_BNFS</t>
  </si>
  <si>
    <t>不能放松</t>
  </si>
  <si>
    <t>LX_HPYFSBHDS</t>
  </si>
  <si>
    <t>害怕要发生不好的事情</t>
  </si>
  <si>
    <t>LX_TY</t>
  </si>
  <si>
    <t>头晕</t>
  </si>
  <si>
    <t>LX_XJHXTJK</t>
  </si>
  <si>
    <t>心悸或心跳加快</t>
  </si>
  <si>
    <t>LX_XSBD</t>
  </si>
  <si>
    <t>心神不定</t>
  </si>
  <si>
    <t>LX_JX</t>
  </si>
  <si>
    <t>惊吓</t>
  </si>
  <si>
    <t>手抖</t>
  </si>
  <si>
    <t>LX_JZ</t>
  </si>
  <si>
    <t>紧张</t>
  </si>
  <si>
    <t>LX_KC</t>
  </si>
  <si>
    <t>口吃</t>
  </si>
  <si>
    <t>LX_HPSK</t>
  </si>
  <si>
    <t>害怕失控</t>
  </si>
  <si>
    <t>LX_HPSW</t>
  </si>
  <si>
    <t>害怕死亡</t>
  </si>
  <si>
    <t>LX_XHBLHFBBS</t>
  </si>
  <si>
    <t>消化不良或腹部不适</t>
  </si>
  <si>
    <t>LX_DH</t>
  </si>
  <si>
    <t>多汗</t>
  </si>
  <si>
    <t>LX_MBCH</t>
  </si>
  <si>
    <t>面部潮红</t>
  </si>
  <si>
    <t>LX_EM</t>
  </si>
  <si>
    <t>噩梦</t>
  </si>
  <si>
    <t>LX_GDXR</t>
  </si>
  <si>
    <t>感到虚弱</t>
  </si>
  <si>
    <t>LX_SCZQPGB_YW</t>
  </si>
  <si>
    <t>生存周期评估表_有无</t>
  </si>
  <si>
    <t>生存周期评估表</t>
    <phoneticPr fontId="35" type="noConversion"/>
  </si>
  <si>
    <t>LX_SCZQYC</t>
  </si>
  <si>
    <t>生存周期预测</t>
  </si>
  <si>
    <t>短期（1-2周）</t>
  </si>
  <si>
    <t>中期（2-4周）</t>
  </si>
  <si>
    <t>长期（4周以上）</t>
  </si>
  <si>
    <t>LX_HYGCZHZFY</t>
  </si>
  <si>
    <t>换液过程中患者反应</t>
  </si>
  <si>
    <t>无不适</t>
  </si>
  <si>
    <t>腹膜透析换液护理记录单</t>
    <phoneticPr fontId="35" type="noConversion"/>
  </si>
  <si>
    <t>其他不适</t>
  </si>
  <si>
    <t>LX_JWBSPG_YW</t>
  </si>
  <si>
    <t>既往病史评估_有无</t>
  </si>
  <si>
    <t>心脏病_类型</t>
  </si>
  <si>
    <t>冠心病</t>
  </si>
  <si>
    <t>心律失常</t>
  </si>
  <si>
    <t>2024-08-19 17:24:30</t>
  </si>
  <si>
    <t>心肌病</t>
  </si>
  <si>
    <t>2024-08-19 17:24:31</t>
  </si>
  <si>
    <t>3</t>
  </si>
  <si>
    <t>2024-08-19 17:24:32</t>
  </si>
  <si>
    <t>LX_XXXTJB_FBPL</t>
  </si>
  <si>
    <t>呼吸系统疾病_发病频率</t>
  </si>
  <si>
    <t>经常</t>
  </si>
  <si>
    <t>4</t>
  </si>
  <si>
    <t>2024-08-19 17:24:33</t>
  </si>
  <si>
    <t>5</t>
  </si>
  <si>
    <t>2024-08-19 17:24:34</t>
  </si>
  <si>
    <t>LX_XHXTJB_JBZL</t>
  </si>
  <si>
    <t>消化系统疾病_疾病种类</t>
  </si>
  <si>
    <t>胃炎</t>
  </si>
  <si>
    <t>6</t>
  </si>
  <si>
    <t>2024-08-19 17:24:35</t>
  </si>
  <si>
    <t>胃溃疡</t>
  </si>
  <si>
    <t>7</t>
  </si>
  <si>
    <t>2024-08-19 17:24:36</t>
  </si>
  <si>
    <t>胆囊炎</t>
  </si>
  <si>
    <t>8</t>
  </si>
  <si>
    <t>2024-08-19 17:24:37</t>
  </si>
  <si>
    <t>9</t>
  </si>
  <si>
    <t>2024-08-19 17:24:38</t>
  </si>
  <si>
    <t>LX_SJXTJB_JBLX</t>
  </si>
  <si>
    <t>神经系统疾病_疾病类型</t>
  </si>
  <si>
    <t>脑卒中</t>
  </si>
  <si>
    <t>10</t>
  </si>
  <si>
    <t>2024-08-19 17:24:39</t>
  </si>
  <si>
    <t>帕金森</t>
  </si>
  <si>
    <t>11</t>
  </si>
  <si>
    <t>2024-08-19 17:24:40</t>
  </si>
  <si>
    <t>12</t>
  </si>
  <si>
    <t>2024-08-19 17:24:41</t>
  </si>
  <si>
    <t>LX_GX_JBLX</t>
  </si>
  <si>
    <t>肝炎_疾病类型</t>
  </si>
  <si>
    <t>甲肝</t>
  </si>
  <si>
    <t>13</t>
  </si>
  <si>
    <t>2024-08-19 17:24:42</t>
  </si>
  <si>
    <t>乙肝</t>
  </si>
  <si>
    <t>14</t>
  </si>
  <si>
    <t>2024-08-19 17:24:43</t>
  </si>
  <si>
    <t>丙肝</t>
  </si>
  <si>
    <t>15</t>
  </si>
  <si>
    <t>2024-08-19 17:24:44</t>
  </si>
  <si>
    <t>既往病史评估表</t>
    <phoneticPr fontId="35" type="noConversion"/>
  </si>
  <si>
    <t>LX_FY_BW</t>
  </si>
  <si>
    <t>肺炎_部位</t>
  </si>
  <si>
    <t>肺</t>
  </si>
  <si>
    <t>16</t>
  </si>
  <si>
    <t>2024-08-19 17:24:45</t>
  </si>
  <si>
    <t>骨</t>
  </si>
  <si>
    <t>17</t>
  </si>
  <si>
    <t>2024-08-19 17:24:46</t>
  </si>
  <si>
    <t>18</t>
  </si>
  <si>
    <t>2024-08-19 17:24:47</t>
  </si>
  <si>
    <t>LX_SKPFZTPG_SF</t>
  </si>
  <si>
    <t>伤口皮肤状态评估是否</t>
  </si>
  <si>
    <t>伤口皮肤状态评估表</t>
    <phoneticPr fontId="35" type="noConversion"/>
  </si>
  <si>
    <t>LX_MXSKHLJL_SF</t>
  </si>
  <si>
    <t>慢性伤口护理_是否</t>
  </si>
  <si>
    <t>慢性伤口护理记录单</t>
    <phoneticPr fontId="35" type="noConversion"/>
  </si>
  <si>
    <t>LX_MXSKPGJL_SF</t>
  </si>
  <si>
    <t>慢性伤口评估_是否</t>
  </si>
  <si>
    <t>手指血糖监测记录单</t>
  </si>
  <si>
    <t>XM_ZFHLXSXT</t>
  </si>
  <si>
    <t>早餐后 2 小时血糖（mmol/L）</t>
  </si>
  <si>
    <t>XM_WCQXT</t>
  </si>
  <si>
    <t>午餐前血糖（mmol/L）</t>
  </si>
  <si>
    <t>XM_WCHLXSXT</t>
  </si>
  <si>
    <t>午餐后 2 小时血糖（mmol/L）</t>
  </si>
  <si>
    <t>XM_WANCQXT</t>
  </si>
  <si>
    <t>晚餐前血糖（mmol/L）</t>
  </si>
  <si>
    <t>XM_WANCHLXSXT</t>
  </si>
  <si>
    <t>晚餐后 2 小时血糖（mmol/L）</t>
  </si>
  <si>
    <t>XM_SQXT</t>
  </si>
  <si>
    <t>睡前血糖（mmol/L）</t>
  </si>
  <si>
    <t>XM_ZC_SWZL</t>
  </si>
  <si>
    <t>早餐_食物种类</t>
  </si>
  <si>
    <t>XM_ZC_SZL</t>
  </si>
  <si>
    <t>早餐_摄入量</t>
  </si>
  <si>
    <t>XM_WC_SWZL</t>
  </si>
  <si>
    <t>午餐_食物种类</t>
  </si>
  <si>
    <t>XM_WC_SRL</t>
  </si>
  <si>
    <t>午餐_摄入量</t>
  </si>
  <si>
    <t>XM_WAC_SWZL</t>
  </si>
  <si>
    <t>晚餐_食物种类</t>
  </si>
  <si>
    <t>XM_WAC_SRL</t>
  </si>
  <si>
    <t>晚餐_摄入量</t>
  </si>
  <si>
    <t>XM_YYQK_YDS</t>
  </si>
  <si>
    <t>用药情况_胰岛素</t>
  </si>
  <si>
    <t>T_HL_YW_SZXTJCYYQK</t>
  </si>
  <si>
    <t>XM_YYQK_JTYW</t>
  </si>
  <si>
    <t>用药情况_降糖药物</t>
  </si>
  <si>
    <t>XM_YDQK</t>
  </si>
  <si>
    <t>T_HL_YW_SZXTJCYDQK</t>
  </si>
  <si>
    <t>XM_TSQKJL</t>
  </si>
  <si>
    <t>特殊情况记录</t>
  </si>
  <si>
    <t>体温（℃）</t>
  </si>
  <si>
    <t>XM_TW_CLFS</t>
  </si>
  <si>
    <t>XM_MB</t>
  </si>
  <si>
    <t>脉搏</t>
  </si>
  <si>
    <t>XM_MB_JL</t>
  </si>
  <si>
    <t>XM_HX</t>
  </si>
  <si>
    <t>呼吸</t>
  </si>
  <si>
    <t>XM_HX_SD</t>
  </si>
  <si>
    <t>XM_HS_JL</t>
  </si>
  <si>
    <t>XM_SZY</t>
  </si>
  <si>
    <t>XM_SSY</t>
  </si>
  <si>
    <t>XM_CLBW</t>
  </si>
  <si>
    <t>测量部位</t>
  </si>
  <si>
    <t>体位</t>
  </si>
  <si>
    <t>XM_YSXT</t>
  </si>
  <si>
    <t>XM_PFZK_YS</t>
  </si>
  <si>
    <t>XM_PFZK_WD</t>
  </si>
  <si>
    <t>XM_PFZK_SD</t>
  </si>
  <si>
    <t>XM_PFZK_WZX</t>
  </si>
  <si>
    <t>XM_HLRQ</t>
  </si>
  <si>
    <t>护理日期</t>
  </si>
  <si>
    <t>XM_LLBW</t>
  </si>
  <si>
    <t>冷疗部位</t>
  </si>
  <si>
    <t>XM_LLFS</t>
  </si>
  <si>
    <t>XM_LLKSSJ</t>
  </si>
  <si>
    <t>冷疗开始时间</t>
  </si>
  <si>
    <t>XM_LLJSSJ</t>
  </si>
  <si>
    <t>冷疗结束时间</t>
  </si>
  <si>
    <t>XM_WD</t>
  </si>
  <si>
    <t>温度（℃）</t>
  </si>
  <si>
    <t>XM_HZFY</t>
  </si>
  <si>
    <t>患者反应</t>
  </si>
  <si>
    <t>XM_HLCS</t>
  </si>
  <si>
    <t>护理措施</t>
  </si>
  <si>
    <t>XM_XGPG</t>
  </si>
  <si>
    <t>效果评估</t>
  </si>
  <si>
    <t>XM_RLBW</t>
  </si>
  <si>
    <t>热疗部位</t>
  </si>
  <si>
    <t>XM_RLFS</t>
  </si>
  <si>
    <t>XM_RLKSSJ</t>
  </si>
  <si>
    <t>热疗开始时间</t>
  </si>
  <si>
    <t>XM_RLJSSJ</t>
  </si>
  <si>
    <t>热疗结束时间</t>
  </si>
  <si>
    <t>XM_PFQK</t>
  </si>
  <si>
    <t>XM_GJZJ</t>
  </si>
  <si>
    <t>XM_CSCD</t>
  </si>
  <si>
    <t>XM_HDNL</t>
  </si>
  <si>
    <t>XM_YDNL</t>
  </si>
  <si>
    <t>XM_YYTQNL</t>
  </si>
  <si>
    <t>XM_MCLHJQL</t>
  </si>
  <si>
    <t>疼痛评估</t>
  </si>
  <si>
    <t>XM_TTCD</t>
  </si>
  <si>
    <t>结果</t>
  </si>
  <si>
    <t>XM_CJSJ</t>
  </si>
  <si>
    <t>居家营养方案支持模板</t>
  </si>
  <si>
    <t>XM_YSSRPG</t>
  </si>
  <si>
    <t>饮食摄入评估</t>
  </si>
  <si>
    <t>XM_SHZB</t>
  </si>
  <si>
    <t>生化指标</t>
  </si>
  <si>
    <t>XM_STCFFX_SG</t>
  </si>
  <si>
    <t>身体成分分析_身高</t>
  </si>
  <si>
    <t>XM_STCFFX_JRL</t>
  </si>
  <si>
    <t>身体成分分析_肌肉量</t>
  </si>
  <si>
    <t>XM_STCFFX_TZ</t>
  </si>
  <si>
    <t>身体成分分析_体重</t>
  </si>
  <si>
    <t>XM_STCFFX_ZFHL</t>
  </si>
  <si>
    <t>身体成分分析_脂肪含量</t>
  </si>
  <si>
    <t>XM_STCFFX_BMI</t>
  </si>
  <si>
    <t>身体成分分析_BMI</t>
  </si>
  <si>
    <t>XM_YYMB_NLXQ</t>
  </si>
  <si>
    <t>营养目标_能量需求</t>
  </si>
  <si>
    <t>XM_YYMB_DBZ</t>
  </si>
  <si>
    <t>营养目标_蛋白质</t>
  </si>
  <si>
    <t>XM_YYMB_TSHHW</t>
  </si>
  <si>
    <t>营养目标_碳水化合物</t>
  </si>
  <si>
    <t>XM_YYMB_ZF</t>
  </si>
  <si>
    <t>营养目标_脂肪</t>
  </si>
  <si>
    <t>XM_YYMB_WSSHKWZ</t>
  </si>
  <si>
    <t>营养目标_维生素和矿物质</t>
  </si>
  <si>
    <t>XM_YSJY</t>
  </si>
  <si>
    <t>饮食建议</t>
  </si>
  <si>
    <t>XM_YYBCJ</t>
  </si>
  <si>
    <t>营养补充剂</t>
  </si>
  <si>
    <t>T_HL_YW_YYBC</t>
  </si>
  <si>
    <t>XM_ZYSX</t>
  </si>
  <si>
    <t>注意事项</t>
  </si>
  <si>
    <t>民族</t>
  </si>
  <si>
    <t>XM_GZDW</t>
  </si>
  <si>
    <t>工作单位</t>
  </si>
  <si>
    <t>XM_HJDZ</t>
  </si>
  <si>
    <t>户籍地址</t>
  </si>
  <si>
    <t>XM_ZD</t>
  </si>
  <si>
    <t>诊断</t>
  </si>
  <si>
    <t>XM_YSR</t>
  </si>
  <si>
    <t>XM_YLFYLY</t>
  </si>
  <si>
    <t>XM_ZNQK</t>
  </si>
  <si>
    <t>XM_ZJXY</t>
  </si>
  <si>
    <t>XM_HZHKSZD</t>
  </si>
  <si>
    <t>XM_HZLY</t>
  </si>
  <si>
    <t>XM_HZXX</t>
  </si>
  <si>
    <t>XM_HZDJBQKZXD</t>
  </si>
  <si>
    <t>XM_JZS</t>
  </si>
  <si>
    <t>家族史</t>
  </si>
  <si>
    <t>XM_RZNL_SL</t>
  </si>
  <si>
    <t>XM_RZNL_TL</t>
  </si>
  <si>
    <t>XM_YJSH_YJ</t>
  </si>
  <si>
    <t>XM_YJSH_XY</t>
  </si>
  <si>
    <t>安宁疗护同意书</t>
  </si>
  <si>
    <t>XM_ZYH</t>
  </si>
  <si>
    <t>住院号</t>
  </si>
  <si>
    <t>XM_JSQM</t>
  </si>
  <si>
    <t>XM_YHZGX</t>
  </si>
  <si>
    <t>XM_ZZBX_TTCD</t>
  </si>
  <si>
    <t>症状表现_疼痛程度</t>
  </si>
  <si>
    <t>XM_ZZBX_HXKNCD</t>
  </si>
  <si>
    <t>症状表现_呼吸困难程度</t>
  </si>
  <si>
    <t>XM_ZZBX_FLCD</t>
  </si>
  <si>
    <t>症状表现_乏力程度</t>
  </si>
  <si>
    <t>XM_ZZBX_EXGTQK</t>
  </si>
  <si>
    <t>症状表现_恶心呕吐情况</t>
  </si>
  <si>
    <t>XM_ZZBX_SZQK</t>
  </si>
  <si>
    <t>症状表现_水肿情况</t>
  </si>
  <si>
    <t>XM_ZZBX_QTZZ</t>
  </si>
  <si>
    <t>症状表现_其他症状</t>
  </si>
  <si>
    <t>体温</t>
  </si>
  <si>
    <t>XM_TZBH</t>
  </si>
  <si>
    <t>XM_YSSRQK</t>
  </si>
  <si>
    <t>XM_XQBDBSP</t>
  </si>
  <si>
    <t>血清白蛋白水平</t>
  </si>
  <si>
    <t>XM_YFJBJD</t>
  </si>
  <si>
    <t>XM_ZLZYQK</t>
  </si>
  <si>
    <t>肿瘤转移情况</t>
  </si>
  <si>
    <t>XM_BFQK_BFZMC</t>
  </si>
  <si>
    <t>并发症情况_并发症名称</t>
  </si>
  <si>
    <t>XM_BFZQK_YZCD</t>
  </si>
  <si>
    <t>并发症情况_严重程度</t>
  </si>
  <si>
    <t>XM_JLCD</t>
  </si>
  <si>
    <t>XM_YYCD</t>
  </si>
  <si>
    <t>XM_QTQXWT</t>
  </si>
  <si>
    <t>其他情绪问题</t>
  </si>
  <si>
    <t>XM_RZZT</t>
  </si>
  <si>
    <t>XM_XLXQMZCD</t>
  </si>
  <si>
    <t>XM_JRPBQK</t>
  </si>
  <si>
    <t>XM_JRDANLHDLJHJSCD</t>
  </si>
  <si>
    <t>XM_HSDHLZL</t>
  </si>
  <si>
    <t>XM_YSYHZJJSDGTQK</t>
  </si>
  <si>
    <t>XM_QTYZRYDCYQK</t>
  </si>
  <si>
    <t>XM_YWSQZYZFW</t>
  </si>
  <si>
    <t>有无社区志愿者服务</t>
  </si>
  <si>
    <t>XM_YWCSJGHSHZZDBZ</t>
  </si>
  <si>
    <t>有无慈善机构或社会组织的帮助</t>
  </si>
  <si>
    <t>XM_SCZQYC</t>
  </si>
  <si>
    <t>评估依据</t>
  </si>
  <si>
    <t>XM_WK_JK</t>
  </si>
  <si>
    <t>XM_J_QQ</t>
  </si>
  <si>
    <t>XM_J_HS</t>
  </si>
  <si>
    <t>XM_Z_QQ</t>
  </si>
  <si>
    <t>XM_Z_SZ</t>
  </si>
  <si>
    <t>XM_W_BS</t>
  </si>
  <si>
    <t>XM_W_ZQ</t>
  </si>
  <si>
    <t>XM_W_CP</t>
  </si>
  <si>
    <t>XM_W_RP</t>
  </si>
  <si>
    <t>XM_SZ_QS</t>
  </si>
  <si>
    <t>XM_SZ_DZ</t>
  </si>
  <si>
    <t>XM_K_QQ</t>
  </si>
  <si>
    <t>XM_K_SZ</t>
  </si>
  <si>
    <t>XM_K_WZ</t>
  </si>
  <si>
    <t>XM_K_NS</t>
  </si>
  <si>
    <t>XM_X_QS</t>
  </si>
  <si>
    <t>XM_X_SZ</t>
  </si>
  <si>
    <t>XM_H_BQ</t>
  </si>
  <si>
    <t>XM_H_KQ</t>
  </si>
  <si>
    <t>XM_JZ_QS</t>
  </si>
  <si>
    <t>XM_DF</t>
  </si>
  <si>
    <t>得分</t>
  </si>
  <si>
    <t>XM_SHNL_DB</t>
  </si>
  <si>
    <t>XM_SHNL_XB</t>
  </si>
  <si>
    <t>XM_SHNL_XS</t>
  </si>
  <si>
    <t>XM_SHNL_YC</t>
  </si>
  <si>
    <t>XM_SHNL_CF</t>
  </si>
  <si>
    <t>XM_SHNL_ZY</t>
  </si>
  <si>
    <t>XM_SHNL_HD</t>
  </si>
  <si>
    <t>XM_SHNL_CY</t>
  </si>
  <si>
    <t>XM_SHNL_SLT</t>
  </si>
  <si>
    <t>XM_SHNL_XZ</t>
  </si>
  <si>
    <t>XM_PDSQ_CQ_XM_SHNL_DB</t>
  </si>
  <si>
    <t>评定时期(年/月/日)_初期_生活能力_大便</t>
  </si>
  <si>
    <t>XM_PDSQ_CQ_XM_SHNL_XB</t>
  </si>
  <si>
    <t>评定时期(年/月/日)_初期_生活能力_小便</t>
  </si>
  <si>
    <t>XM_PDSQ_CQ_XM_SHNL_XS</t>
  </si>
  <si>
    <t>评定时期(年/月/日)_初期_生活能力_修饰</t>
  </si>
  <si>
    <t>XM_PDSQ_CQ_XM_SHNL_YC</t>
  </si>
  <si>
    <t>评定时期(年/月/日)_初期_生活能力_用厕</t>
  </si>
  <si>
    <t>XM_PDSQ_CQ_XM_SHNL_CF</t>
  </si>
  <si>
    <t>评定时期(年/月/日)_初期_生活能力_吃饭</t>
  </si>
  <si>
    <t>XM_PDSQ_CQ_XM_SHNL_ZY</t>
  </si>
  <si>
    <t>评定时期(年/月/日)_初期_生活能力_转移(床=椅)</t>
  </si>
  <si>
    <t>XM_PDSQ_CQ_XM_SHNL_HD</t>
  </si>
  <si>
    <t>评定时期(年/月/日)_初期_生活能力_活动 (步行)(在病房及其周围,不包括走远路)</t>
  </si>
  <si>
    <t>XM_PDSQ_CQ_XM_SHNL_CY</t>
  </si>
  <si>
    <t>评定时期(年/月/日)_初期_生活能力_穿衣</t>
  </si>
  <si>
    <t>XM_PDSQ_CQ_XM_SHNL_SLT</t>
  </si>
  <si>
    <t>评定时期(年/月/日)_初期_生活能力_上楼梯(上下一段楼梯，用手杖也算独立)</t>
  </si>
  <si>
    <t>XM_PDSQ_CQ_XM_SHNL_XZ</t>
  </si>
  <si>
    <t>评定时期(年/月/日)_初期_生活能力_洗澡</t>
  </si>
  <si>
    <t>XM_PDSQ_ZQ_XM_SHNL_DB</t>
  </si>
  <si>
    <t>评定时期(年/月/日)_中期_生活能力_大便</t>
  </si>
  <si>
    <t>XM_PDSQ_ZQ_XM_SHNL_XB</t>
  </si>
  <si>
    <t>评定时期(年/月/日)_中期_生活能力_小便</t>
  </si>
  <si>
    <t>XM_PDSQ_ZQ_XM_SHNL_XS</t>
  </si>
  <si>
    <t>评定时期(年/月/日)_中期_生活能力_修饰</t>
  </si>
  <si>
    <t>XM_PDSQ_ZQ_XM_SHNL_YC</t>
  </si>
  <si>
    <t>评定时期(年/月/日)_中期_生活能力_用厕</t>
  </si>
  <si>
    <t>XM_PDSQ_ZQ_XM_SHNL_CF</t>
  </si>
  <si>
    <t>评定时期(年/月/日)_中期_生活能力_吃饭</t>
  </si>
  <si>
    <t>XM_PDSQ_ZQ_XM_SHNL_ZY</t>
  </si>
  <si>
    <t>评定时期(年/月/日)_中期_生活能力_转移(床=椅)</t>
  </si>
  <si>
    <t>XM_PDSQ_ZQ_XM_SHNL_HD</t>
  </si>
  <si>
    <t>评定时期(年/月/日)_中期_生活能力_活动 (步行)(在病房及其周围,不包括走远路)</t>
  </si>
  <si>
    <t>XM_PDSQ_ZQ_XM_SHNL_CY</t>
  </si>
  <si>
    <t>评定时期(年/月/日)_中期_生活能力_穿衣</t>
  </si>
  <si>
    <t>XM_PDSQ_ZQ_XM_SHNL_SLT</t>
  </si>
  <si>
    <t>评定时期(年/月/日)_中期_生活能力_上楼梯(上下一段楼梯，用手杖也算独立)</t>
  </si>
  <si>
    <t>XM_PDSQ_ZQ_XM_SHNL_XZ</t>
  </si>
  <si>
    <t>评定时期(年/月/日)_中期_生活能力_洗澡</t>
  </si>
  <si>
    <t>XM_PDSQ_HQ_XM_SHNL_DB</t>
  </si>
  <si>
    <t>评定时期(年/月/日)_后期_生活能力_大便</t>
  </si>
  <si>
    <t>XM_PDSQ_HQ_XM_SHNL_XB</t>
  </si>
  <si>
    <t>评定时期(年/月/日)_后期_生活能力_小便</t>
  </si>
  <si>
    <t>XM_PDSQ_HQ_XM_SHNL_XS</t>
  </si>
  <si>
    <t>评定时期(年/月/日)_后期_生活能力_修饰</t>
  </si>
  <si>
    <t>XM_PDSQ_HQ_XM_SHNL_YC</t>
  </si>
  <si>
    <t>评定时期(年/月/日)_后期_生活能力_用厕</t>
  </si>
  <si>
    <t>XM_PDSQ_HQ_XM_SHNL_CF</t>
  </si>
  <si>
    <t>评定时期(年/月/日)_后期_生活能力_吃饭</t>
  </si>
  <si>
    <t>XM_PDSQ_HQ_XM_SHNL_ZY</t>
  </si>
  <si>
    <t>评定时期(年/月/日)_后期_生活能力_转移(床=椅)</t>
  </si>
  <si>
    <t>XM_PDSQ_HQ_XM_SHNL_HD</t>
  </si>
  <si>
    <t>评定时期(年/月/日)_后期_生活能力_活动 (步行)(在病房及其周围,不包括走远路)</t>
  </si>
  <si>
    <t>XM_PDSQ_HQ_XM_SHNL_CY</t>
  </si>
  <si>
    <t>评定时期(年/月/日)_后期_生活能力_穿衣</t>
  </si>
  <si>
    <t>XM_PDSQ_HQ_XM_SHNL_SLT</t>
  </si>
  <si>
    <t>评定时期(年/月/日)_后期_生活能力_上楼梯(上下一段楼梯，用手杖也算独立)</t>
  </si>
  <si>
    <t>XM_PDSQ_HQ_XM_SHNL_XZ</t>
  </si>
  <si>
    <t>评定时期(年/月/日)_后期_生活能力_洗澡</t>
  </si>
  <si>
    <t>XM_HYSJ</t>
  </si>
  <si>
    <t>换液日期</t>
  </si>
  <si>
    <t>XM_KSSJ</t>
  </si>
  <si>
    <t>开始时间</t>
  </si>
  <si>
    <t>XM_JSSJ</t>
  </si>
  <si>
    <t>结束时间</t>
  </si>
  <si>
    <t>XM_HYQPG_TW</t>
  </si>
  <si>
    <t>换液前评估_体温</t>
  </si>
  <si>
    <t>XM_HYQPG_MB</t>
  </si>
  <si>
    <t>换液前评估_脉搏</t>
  </si>
  <si>
    <t>XM_HYQPG_HX</t>
  </si>
  <si>
    <t>换液前评估_呼吸</t>
  </si>
  <si>
    <t>XM_HYQPG_SZY</t>
  </si>
  <si>
    <t>换液前评估_舒张压</t>
  </si>
  <si>
    <t>XM_HYQPG_SSY</t>
  </si>
  <si>
    <t>换液前评估_收缩压</t>
  </si>
  <si>
    <t>XM_HYQPG_TZ</t>
  </si>
  <si>
    <t>换液前评估_体重</t>
  </si>
  <si>
    <t>XM_HYQPG_CLL</t>
  </si>
  <si>
    <t>换液前评估_超滤量</t>
  </si>
  <si>
    <t>XM_HYQPG_CKCPF</t>
  </si>
  <si>
    <t>换液前评估_出口处皮肤</t>
  </si>
  <si>
    <t>XM_HYQPG_SK</t>
  </si>
  <si>
    <t>换液前评估_伤口</t>
  </si>
  <si>
    <t>XM_HJQJD</t>
  </si>
  <si>
    <t>XM_HYBZ_XS</t>
  </si>
  <si>
    <t>XM_HYBZ_LJGL</t>
  </si>
  <si>
    <t>XM_HYBZ_YLFQNTY</t>
  </si>
  <si>
    <t>换液步骤_引流腹腔内体液</t>
  </si>
  <si>
    <t>XM_HYBZ_GBGL</t>
  </si>
  <si>
    <t>XM_HYGCZHZFY</t>
  </si>
  <si>
    <t>XM_HYGCZHZFY_TT</t>
  </si>
  <si>
    <t>换液过程中患者反应_疼痛</t>
  </si>
  <si>
    <t>XM_HYGCZHZFY_QTBS</t>
  </si>
  <si>
    <t>换液过程中患者反应_其他不适</t>
  </si>
  <si>
    <t>XM_HYHGC_YLYXZ_YS</t>
  </si>
  <si>
    <t>换液后观察_引流液性状_颜色</t>
  </si>
  <si>
    <t>XM_HYHGC_YLYXZ_TMD</t>
  </si>
  <si>
    <t>换液后观察_引流液性状_透明度</t>
  </si>
  <si>
    <t>XM_HYHGC_YLYXZ_YWXZW</t>
  </si>
  <si>
    <t>换液后观察_引流液性状_有无絮状物</t>
  </si>
  <si>
    <t>XM_HYHGC_CLL</t>
  </si>
  <si>
    <t>换液后观察_超滤量</t>
  </si>
  <si>
    <t>XM_HYHGC_TW</t>
  </si>
  <si>
    <t>换液后观察_体温</t>
  </si>
  <si>
    <t>XM_HYHGC_MB</t>
  </si>
  <si>
    <t>换液后观察_脉搏</t>
  </si>
  <si>
    <t>XM_HYHGC_HX</t>
  </si>
  <si>
    <t>换液后观察_呼吸</t>
  </si>
  <si>
    <t>XM_HYHGC_SZY</t>
  </si>
  <si>
    <t>换液后观察_舒张压</t>
  </si>
  <si>
    <t>XM_HYHGC_SSY</t>
  </si>
  <si>
    <t>换液后观察_收缩压</t>
  </si>
  <si>
    <t>XM_QJHGDFMTXDG</t>
  </si>
  <si>
    <t>清洁和固定腹膜透析导管</t>
  </si>
  <si>
    <t>XM_JJFMTXHJZB</t>
  </si>
  <si>
    <t>居家腹膜透析环境准备</t>
  </si>
  <si>
    <t>XM_XSHHYCZFF</t>
  </si>
  <si>
    <t>洗手和换液操作方法</t>
  </si>
  <si>
    <t>XM_GXY</t>
  </si>
  <si>
    <t>高血压</t>
  </si>
  <si>
    <t>XM_GXY_HBSJ</t>
  </si>
  <si>
    <t>高血压_患病时间</t>
  </si>
  <si>
    <t>XM_GXY_SZY</t>
  </si>
  <si>
    <t>高血压_舒张压</t>
  </si>
  <si>
    <t>XM_GXY_SSY</t>
  </si>
  <si>
    <t>高血压_收缩压</t>
  </si>
  <si>
    <t>XM_GXY_ZLQK</t>
  </si>
  <si>
    <t>高血压_治疗情况</t>
  </si>
  <si>
    <t>XM_GXY_BFZ</t>
  </si>
  <si>
    <t>高血压_并发症</t>
  </si>
  <si>
    <t>XM_TNB</t>
  </si>
  <si>
    <t>XM_TNB_HBSJ</t>
  </si>
  <si>
    <t>糖尿病_患病时间</t>
  </si>
  <si>
    <t>XM_TNB_XTKZQK</t>
  </si>
  <si>
    <t>糖尿病_血糖控制情况</t>
  </si>
  <si>
    <t>XM_TNB_ZLFS</t>
  </si>
  <si>
    <t>糖尿病_治疗方式</t>
  </si>
  <si>
    <t>XM_TNB_BFZ</t>
  </si>
  <si>
    <t>糖尿病_并发症</t>
  </si>
  <si>
    <t>XM_XZB</t>
  </si>
  <si>
    <t>心脏病</t>
  </si>
  <si>
    <t>XM_XZB_QZSJ</t>
  </si>
  <si>
    <t>心脏病_确诊时间</t>
  </si>
  <si>
    <t>XM_XZB_LX</t>
  </si>
  <si>
    <t>XM_XZB_ZZ</t>
  </si>
  <si>
    <t>心脏病_症状</t>
  </si>
  <si>
    <t>XM_XZB_ZLCS</t>
  </si>
  <si>
    <t>心脏病_治疗措施</t>
  </si>
  <si>
    <t>XM_HXXTJB</t>
  </si>
  <si>
    <t>XM_HXXTJB_JBMC</t>
  </si>
  <si>
    <t>呼吸系统疾病_疾病名称</t>
  </si>
  <si>
    <t>XM_HXXTJB_FBPJ</t>
  </si>
  <si>
    <t>XM_HXXTJB_ZLYW</t>
  </si>
  <si>
    <t>呼吸系统疾病_治疗药物</t>
  </si>
  <si>
    <t>XM_XHXTJB</t>
  </si>
  <si>
    <t>消化系统疾病</t>
  </si>
  <si>
    <t>XM_XHXTJB_ZDSJ</t>
  </si>
  <si>
    <t>消化系统疾病_诊断时间</t>
  </si>
  <si>
    <t>XM_XHXTJB_JBZL</t>
  </si>
  <si>
    <t>XM_XHXTJB_ZLXG</t>
  </si>
  <si>
    <t>消化系统疾病_治疗效果</t>
  </si>
  <si>
    <t>XM_MNXTJB</t>
  </si>
  <si>
    <t>泌尿系统疾病</t>
  </si>
  <si>
    <t>XM_MNXTJB_FXSJ</t>
  </si>
  <si>
    <t>泌尿系统疾病_发现时间</t>
  </si>
  <si>
    <t>XM_MNXTJB_BZ</t>
  </si>
  <si>
    <t>泌尿系统疾病_病症</t>
  </si>
  <si>
    <t>XM_MNXTJB_ZLJG</t>
  </si>
  <si>
    <t>泌尿系统疾病_治疗经过</t>
  </si>
  <si>
    <t>XM_SJXTJB</t>
  </si>
  <si>
    <t>XM_SJXTJB_FXSJ</t>
  </si>
  <si>
    <t>神经系统疾病_发现时间</t>
  </si>
  <si>
    <t>XM_SJXTJB_JBLX</t>
  </si>
  <si>
    <t>XM_SJXTJB_KFQK</t>
  </si>
  <si>
    <t>神经系统疾病_康复情况</t>
  </si>
  <si>
    <t>XM_QTMXB</t>
  </si>
  <si>
    <t>其他慢性疾病</t>
  </si>
  <si>
    <t>XM_QTMXB_JBMC</t>
  </si>
  <si>
    <t>其他慢性疾病_疾病名称</t>
  </si>
  <si>
    <t>XM_QTMXB_HBSJ</t>
  </si>
  <si>
    <t>其他慢性疾病_患病时间</t>
  </si>
  <si>
    <t>XM_QTMXB_ZLQK</t>
  </si>
  <si>
    <t>其他慢性疾病_治疗情况</t>
  </si>
  <si>
    <t>XM_GY</t>
  </si>
  <si>
    <t>肝炎</t>
  </si>
  <si>
    <t>XM_GY_GRSJ</t>
  </si>
  <si>
    <t>肝炎_感染时间</t>
  </si>
  <si>
    <t>XM_GY_JBLX</t>
  </si>
  <si>
    <t>XM_GY_ZLJKFQK</t>
  </si>
  <si>
    <t>肝炎_治疗及康复情况</t>
  </si>
  <si>
    <t>XM_FY</t>
  </si>
  <si>
    <t>肺炎</t>
  </si>
  <si>
    <t>XM_FY_QZSJ</t>
  </si>
  <si>
    <t>肺炎_确诊时间</t>
  </si>
  <si>
    <t>XM_FY_BW</t>
  </si>
  <si>
    <t>XM_FY_QT</t>
  </si>
  <si>
    <t>肺炎_其他</t>
  </si>
  <si>
    <t>XM_FY_ZLLC</t>
  </si>
  <si>
    <t>肺炎_治疗疗程</t>
  </si>
  <si>
    <t>XM_QTCRB</t>
  </si>
  <si>
    <t>其他传染病</t>
  </si>
  <si>
    <t>XM_QTCRB_JBMC</t>
  </si>
  <si>
    <t>其他传染病_疾病名称</t>
  </si>
  <si>
    <t>XM_QTCRB_HBSJ</t>
  </si>
  <si>
    <t>其他传染病_患病时间</t>
  </si>
  <si>
    <t>XM_QTCRB_GRJZLXQ</t>
  </si>
  <si>
    <t>其他传染病_感染及治疗详情</t>
  </si>
  <si>
    <t>XM_SSS</t>
  </si>
  <si>
    <t>手术史</t>
  </si>
  <si>
    <t>XM_SSS_SHHFQK</t>
  </si>
  <si>
    <t>XM_GMS</t>
  </si>
  <si>
    <t>过敏史</t>
  </si>
  <si>
    <t>XM_GMS_GMLX</t>
  </si>
  <si>
    <t>XM_JZYCBS</t>
  </si>
  <si>
    <t>家族遗传病史</t>
  </si>
  <si>
    <t>XM_JZYCBS_HZBRFXPG</t>
  </si>
  <si>
    <t>家族遗传病史_患者本人风险评估</t>
  </si>
  <si>
    <t>XM_SKWZ</t>
  </si>
  <si>
    <t>伤口位置</t>
  </si>
  <si>
    <t>XM_SKC</t>
  </si>
  <si>
    <t>伤口长（cm）</t>
  </si>
  <si>
    <t>XM_SKK</t>
  </si>
  <si>
    <t>伤口宽（cm）</t>
  </si>
  <si>
    <t>XM_SKS</t>
  </si>
  <si>
    <t>伤口深（cm）</t>
  </si>
  <si>
    <t>XM_SKWG_YS</t>
  </si>
  <si>
    <t>XM_SKWG_QW</t>
  </si>
  <si>
    <t>XM_SKWG_SY</t>
  </si>
  <si>
    <t>XM_TTXZ</t>
  </si>
  <si>
    <t>XM_YYZK</t>
  </si>
  <si>
    <t>营养状况</t>
  </si>
  <si>
    <t>评估日期</t>
  </si>
  <si>
    <t>XM_ZKLX</t>
  </si>
  <si>
    <t>XM_ZKWZ</t>
  </si>
  <si>
    <t>造口位置</t>
  </si>
  <si>
    <t>XM_ZKJLSJ</t>
  </si>
  <si>
    <t>造口建立时间</t>
  </si>
  <si>
    <t>XM_YS_ZC</t>
  </si>
  <si>
    <t>颜色_正常</t>
  </si>
  <si>
    <t>XM_YS_FH</t>
  </si>
  <si>
    <t>颜色_发红</t>
  </si>
  <si>
    <t>XM_YS_CB</t>
  </si>
  <si>
    <t>颜色_苍白</t>
  </si>
  <si>
    <t>XM_YS_CZ</t>
  </si>
  <si>
    <t>颜色_发紫</t>
  </si>
  <si>
    <t>XM_YS_SSCZ</t>
  </si>
  <si>
    <t>颜色_色素沉着</t>
  </si>
  <si>
    <t>XM_YSFHCD</t>
  </si>
  <si>
    <t>颜色发红程度</t>
  </si>
  <si>
    <t>XM_WZX_WZ</t>
  </si>
  <si>
    <t>完整性_完整</t>
  </si>
  <si>
    <t>XM_WZX_PS</t>
  </si>
  <si>
    <t>完整性_破损</t>
  </si>
  <si>
    <t>XM_WZX_KY</t>
  </si>
  <si>
    <t>完整性_溃疡</t>
  </si>
  <si>
    <t>XM_WZX_SP</t>
  </si>
  <si>
    <t>完整性_水疱</t>
  </si>
  <si>
    <t>XM_WZX_ML</t>
  </si>
  <si>
    <t>完整性_糜烂</t>
  </si>
  <si>
    <t>XM_WZX_PSMJ</t>
  </si>
  <si>
    <t>完整性_破损面积</t>
  </si>
  <si>
    <t>XM_WZX_KLMJ</t>
  </si>
  <si>
    <t>完整性_溃疡面积</t>
  </si>
  <si>
    <t>XM_WZX_SPSL</t>
  </si>
  <si>
    <t>完整性_水疱数量</t>
  </si>
  <si>
    <t>XM_SZW</t>
  </si>
  <si>
    <t>水肿无</t>
  </si>
  <si>
    <t>XM_SZQD</t>
  </si>
  <si>
    <t>水肿轻度</t>
  </si>
  <si>
    <t>XM_SZZD</t>
  </si>
  <si>
    <t>水肿中度</t>
  </si>
  <si>
    <t>水肿重度</t>
  </si>
  <si>
    <t>XM_PZW</t>
  </si>
  <si>
    <t>皮疹无</t>
  </si>
  <si>
    <t>XM_PZHZ</t>
  </si>
  <si>
    <t>皮疹红疹</t>
  </si>
  <si>
    <t>XM_PZQZ</t>
  </si>
  <si>
    <t>皮疹丘疹</t>
  </si>
  <si>
    <t>XM_PZBZ</t>
  </si>
  <si>
    <t>皮疹斑疹</t>
  </si>
  <si>
    <t>XM_PZHZSL</t>
  </si>
  <si>
    <t>皮疹红疹数量</t>
  </si>
  <si>
    <t>XM_PZHQSL</t>
  </si>
  <si>
    <t>皮疹丘疹数量</t>
  </si>
  <si>
    <t>XM_PZBQSL</t>
  </si>
  <si>
    <t>皮疹斑疹数量</t>
  </si>
  <si>
    <t>XM_GRJX</t>
  </si>
  <si>
    <t>感染迹象无</t>
  </si>
  <si>
    <t>XM_GRJXNXFMW</t>
  </si>
  <si>
    <t>感染迹象脓性分泌物</t>
  </si>
  <si>
    <t>XM_GrJXNXFMW_L</t>
  </si>
  <si>
    <t>感染迹象脓性分泌物_量</t>
  </si>
  <si>
    <t>XM_GRJXYW</t>
  </si>
  <si>
    <t>感染迹象异味</t>
  </si>
  <si>
    <t>XM_GRJXPFFR</t>
  </si>
  <si>
    <t>感染迹象皮肤发热</t>
  </si>
  <si>
    <t>XM_PFZZQJGZ</t>
  </si>
  <si>
    <t>皮肤褶皱清洁干燥</t>
  </si>
  <si>
    <t>XM_PFZZJZ</t>
  </si>
  <si>
    <t>皮肤褶皱浸渍</t>
  </si>
  <si>
    <t>XM_CJXJCXPYY</t>
  </si>
  <si>
    <t>刺激性接触性皮炎有</t>
  </si>
  <si>
    <t>XM_CJXJCXPZZMS</t>
  </si>
  <si>
    <t>刺激性接触性皮炎有症状描述</t>
  </si>
  <si>
    <t>XM_CJXJCXPYW</t>
  </si>
  <si>
    <t>刺激性接触性皮炎无</t>
  </si>
  <si>
    <t>XM_GMXJCXPYY</t>
  </si>
  <si>
    <t>过敏性接触性皮炎有</t>
  </si>
  <si>
    <t>XM_GMXJCXPYYZZMS</t>
  </si>
  <si>
    <t>过敏性接触性皮炎有症状描述</t>
  </si>
  <si>
    <t>XM_GMXJCXPYW</t>
  </si>
  <si>
    <t>过敏性接触性皮炎无</t>
  </si>
  <si>
    <t>XM_JXXSS_Y</t>
  </si>
  <si>
    <t>机械性损伤有</t>
  </si>
  <si>
    <t>XM_JXXSS_SSLX</t>
  </si>
  <si>
    <t>机械性损伤有损伤类型</t>
  </si>
  <si>
    <t>XM_JXXSS_W</t>
  </si>
  <si>
    <t>机械性损伤无</t>
  </si>
  <si>
    <t>XM_SKJLSJ</t>
  </si>
  <si>
    <t>伤口建立时间</t>
  </si>
  <si>
    <t>XM_ZKLX_QT</t>
  </si>
  <si>
    <t>造口类型_其他</t>
  </si>
  <si>
    <t>XM_SKDXC</t>
  </si>
  <si>
    <t>伤口大小长</t>
  </si>
  <si>
    <t>XM_SKDXK</t>
  </si>
  <si>
    <t>伤口大小宽</t>
  </si>
  <si>
    <t>XM_SKDXS</t>
  </si>
  <si>
    <t>伤口大小深</t>
  </si>
  <si>
    <t>XM_SKWG_SYQK</t>
  </si>
  <si>
    <t>XM_TTXZWB</t>
  </si>
  <si>
    <t>疼痛性质文本</t>
  </si>
  <si>
    <t>XM_SKQJFF</t>
  </si>
  <si>
    <t>伤口清洁方法</t>
  </si>
  <si>
    <t>XM_KSQJXG</t>
  </si>
  <si>
    <t>伤口清洁效果</t>
  </si>
  <si>
    <t>XM_FLLX</t>
  </si>
  <si>
    <t>敷料类型</t>
  </si>
  <si>
    <t>XM_FLGHYY</t>
  </si>
  <si>
    <t>敷料更换原因</t>
  </si>
  <si>
    <t>XM_SKYFLTHQK</t>
  </si>
  <si>
    <t>XM_SKYLFS</t>
  </si>
  <si>
    <t>伤口引流方式</t>
  </si>
  <si>
    <t>XM_SKYLL</t>
  </si>
  <si>
    <t>伤口引流量</t>
  </si>
  <si>
    <t>XM_SKYLYXZ</t>
  </si>
  <si>
    <t>伤口引流液性质</t>
  </si>
  <si>
    <t>XM_SKQTCL</t>
  </si>
  <si>
    <t>伤口其他处理</t>
  </si>
  <si>
    <t>XM_DHZJJSJXSKHLJY</t>
  </si>
  <si>
    <t>对患者及家属进行伤口护理教育</t>
  </si>
  <si>
    <t>XM_JYNR</t>
  </si>
  <si>
    <t>XM_JCJB</t>
  </si>
  <si>
    <t>XM_JCJB_QT</t>
  </si>
  <si>
    <t>基础疾病_其他</t>
  </si>
  <si>
    <t>XM_SKQJFS</t>
  </si>
  <si>
    <t>伤口清洁方式</t>
  </si>
  <si>
    <t>XM_FLXZ</t>
  </si>
  <si>
    <t>敷料选择</t>
  </si>
  <si>
    <t>XM_ZKLX_ZL</t>
  </si>
  <si>
    <t>造口类型_种类</t>
  </si>
  <si>
    <t>XM_ZKLX_GHPL</t>
  </si>
  <si>
    <t>造口类型_更换频率</t>
  </si>
  <si>
    <t>XM_SKYLQK</t>
  </si>
  <si>
    <t>伤口引流情况</t>
  </si>
  <si>
    <t>XM_SKYLQKWB</t>
  </si>
  <si>
    <t>伤口引流情况文本</t>
  </si>
  <si>
    <t>XM_SKBF</t>
  </si>
  <si>
    <t>伤口部分</t>
  </si>
  <si>
    <t>XM_SKBY</t>
  </si>
  <si>
    <t>XM_SKCX</t>
  </si>
  <si>
    <t>XM_SKWQ</t>
  </si>
  <si>
    <t>XM_TTCDPF</t>
  </si>
  <si>
    <t>疼痛程度评分</t>
  </si>
  <si>
    <t>XM_ZWZZZZ</t>
  </si>
  <si>
    <t>周围组织肿胀</t>
  </si>
  <si>
    <t>XM_ZWZZYS</t>
  </si>
  <si>
    <t>周围组织颜色</t>
  </si>
  <si>
    <t>XM_ZWZZWD</t>
  </si>
  <si>
    <t>周围组织温度</t>
  </si>
  <si>
    <t>XM_ZWZZGJ</t>
  </si>
  <si>
    <t>周围组织感觉</t>
  </si>
  <si>
    <t>XM_ZWZZHDD</t>
  </si>
  <si>
    <t>周围组织活动度</t>
  </si>
  <si>
    <t>XM_PJZJ</t>
  </si>
  <si>
    <t>评价总结</t>
  </si>
  <si>
    <t>picc护理宣教</t>
    <phoneticPr fontId="37" type="noConversion"/>
  </si>
  <si>
    <t>糖尿病护理操作规范的示例</t>
    <phoneticPr fontId="37" type="noConversion"/>
  </si>
  <si>
    <t>糖尿病护理的物料清单</t>
    <phoneticPr fontId="37" type="noConversion"/>
  </si>
  <si>
    <t>对患者及其家属的居家安宁疗护指导</t>
    <phoneticPr fontId="37" type="noConversion"/>
  </si>
  <si>
    <t>母婴护理指导建议</t>
    <phoneticPr fontId="37" type="noConversion"/>
  </si>
  <si>
    <t>BDCD9A350CFAB211208805E920D86617</t>
    <phoneticPr fontId="37" type="noConversion"/>
  </si>
  <si>
    <t>母婴护理记录单</t>
    <phoneticPr fontId="37" type="noConversion"/>
  </si>
  <si>
    <t>329BA1350CFAB2111599A9964C487B7A</t>
    <phoneticPr fontId="37" type="noConversion"/>
  </si>
  <si>
    <t>母婴护理评估单</t>
    <phoneticPr fontId="37" type="noConversion"/>
  </si>
  <si>
    <t>fldm</t>
    <phoneticPr fontId="7" type="noConversion"/>
  </si>
  <si>
    <t>812EEE5C1E01B31177A7AF52A44BA95A</t>
  </si>
  <si>
    <t>8A4FF45C1E01B311358BE89AE0908F28</t>
  </si>
  <si>
    <t>7235FC5C1E01B311B2A1AA188E1ED721</t>
  </si>
  <si>
    <t>57F6025D1E01B31166BD9FE476FA1874</t>
  </si>
  <si>
    <t>BE64095D1E01B311C99CAC0E87D1A966</t>
  </si>
  <si>
    <t>1BF8105D1E01B31189B05529FB2A9659</t>
  </si>
  <si>
    <t>8996185D1E01B31184A99549E7A8A073</t>
  </si>
  <si>
    <t>D37A205D1E01B31111914F6C9D5A4E22</t>
  </si>
  <si>
    <t>BF83285D1E01B3111CB92591442F9A73</t>
  </si>
  <si>
    <t>4A69315D1E01B31126AE06EA44FE265D</t>
  </si>
  <si>
    <t>965D375D1E01B311FCAD8B2735276726</t>
  </si>
  <si>
    <t>81DC3D5D1E01B31140BCBF5325841A3D</t>
  </si>
  <si>
    <t>9C0B455D1E01B31150B48C3F31979B21</t>
  </si>
  <si>
    <t>LX_JWBSPG_YW</t>
    <phoneticPr fontId="37" type="noConversion"/>
  </si>
  <si>
    <t>LX_XZBLX</t>
    <phoneticPr fontId="37" type="noConversion"/>
  </si>
  <si>
    <t>LX_XZBLX</t>
    <phoneticPr fontId="37" type="noConversion"/>
  </si>
  <si>
    <t>LX_KW</t>
    <phoneticPr fontId="37" type="noConversion"/>
  </si>
  <si>
    <t>uuid</t>
  </si>
  <si>
    <t>blwsid</t>
  </si>
  <si>
    <t>病人文书索引唯一键</t>
  </si>
  <si>
    <t>病人护理记录文书索引表.id</t>
  </si>
  <si>
    <t>ydlx</t>
  </si>
  <si>
    <t>运动类型</t>
  </si>
  <si>
    <t>ydsj</t>
  </si>
  <si>
    <t>运动时间</t>
  </si>
  <si>
    <t>number(2)</t>
  </si>
  <si>
    <t>ydqd</t>
  </si>
  <si>
    <t>运动强度</t>
  </si>
  <si>
    <t>ywmc</t>
  </si>
  <si>
    <t>fycs</t>
  </si>
  <si>
    <t>剂量</t>
  </si>
  <si>
    <t>fysj</t>
  </si>
  <si>
    <t>服药时间</t>
  </si>
  <si>
    <t>药物种类</t>
    <phoneticPr fontId="7" type="noConversion"/>
  </si>
  <si>
    <t>ywzl</t>
    <phoneticPr fontId="7" type="noConversion"/>
  </si>
  <si>
    <t>1:胰岛素
2:降糖药物</t>
    <phoneticPr fontId="7" type="noConversion"/>
  </si>
  <si>
    <t>varchar(20)</t>
  </si>
  <si>
    <t>varchar(20)</t>
    <phoneticPr fontId="7" type="noConversion"/>
  </si>
  <si>
    <t>varchar(100)</t>
    <phoneticPr fontId="7" type="noConversion"/>
  </si>
  <si>
    <t>T_HL_YW_SZXTJCYYQK</t>
    <phoneticPr fontId="38" type="noConversion"/>
  </si>
  <si>
    <t>手指血糖监测记录单_用药情况</t>
    <phoneticPr fontId="7" type="noConversion"/>
  </si>
  <si>
    <t>T_HL_YW_SZXTJCYDQK</t>
    <phoneticPr fontId="38" type="noConversion"/>
  </si>
  <si>
    <t>手指血糖监测记录单_运动情况</t>
    <phoneticPr fontId="7" type="noConversion"/>
  </si>
  <si>
    <t>T_HL_DIC_HLDAFLZDJY</t>
    <phoneticPr fontId="7" type="noConversion"/>
  </si>
  <si>
    <t>手指血糖监测记录单</t>
    <phoneticPr fontId="37" type="noConversion"/>
  </si>
  <si>
    <t>手指血糖监测记录单_运动情况</t>
    <phoneticPr fontId="7" type="noConversion"/>
  </si>
  <si>
    <t>手指血糖监测记录单_用药情况</t>
    <phoneticPr fontId="7" type="noConversion"/>
  </si>
  <si>
    <t>通用护理记录单</t>
    <phoneticPr fontId="37" type="noConversion"/>
  </si>
  <si>
    <t>C1C105360CFAB21180ADEB460462A91E</t>
    <phoneticPr fontId="37" type="noConversion"/>
  </si>
  <si>
    <t>护理通用字典表:
字典类型:DIC_SF</t>
    <phoneticPr fontId="41" type="noConversion"/>
  </si>
  <si>
    <t>LX_XYHLJLD_YW</t>
  </si>
  <si>
    <t>吸氧护理记录_有无</t>
  </si>
  <si>
    <t>吸氧护理记录单</t>
    <phoneticPr fontId="35" type="noConversion"/>
  </si>
  <si>
    <t>LX_XTHLJL_YW</t>
  </si>
  <si>
    <t>吸痰护理记录_有无</t>
  </si>
  <si>
    <t>LX_PICCHLPG_YW</t>
  </si>
  <si>
    <t>picc护理评估_有无</t>
  </si>
  <si>
    <t>picc护理评估单</t>
    <phoneticPr fontId="35" type="noConversion"/>
  </si>
  <si>
    <t>picc护理记录_是否</t>
  </si>
  <si>
    <t>LX_PTZKHLJL_YW</t>
  </si>
  <si>
    <t>普通造口护理记录_有无</t>
  </si>
  <si>
    <t>普通造口护理记录单</t>
    <phoneticPr fontId="35" type="noConversion"/>
  </si>
  <si>
    <t>LX_PTZKHLJL_SF</t>
  </si>
  <si>
    <t>普通造口护理记录_是否</t>
  </si>
  <si>
    <t>XM_YYQX</t>
  </si>
  <si>
    <t>XM_YZG</t>
  </si>
  <si>
    <t>XM_RSKN</t>
  </si>
  <si>
    <t>XM_SMBS</t>
  </si>
  <si>
    <t>XM_ZX</t>
  </si>
  <si>
    <t>XM_GZYXQ</t>
  </si>
  <si>
    <t>XM_CH</t>
  </si>
  <si>
    <t>XM_JY</t>
  </si>
  <si>
    <t>XM_JSXJL</t>
  </si>
  <si>
    <t>XM_QTXJL</t>
  </si>
  <si>
    <t>XM_WCDZZ</t>
  </si>
  <si>
    <t>XM_QSZZ</t>
  </si>
  <si>
    <t>XM_XZZ</t>
  </si>
  <si>
    <t>XM_YB</t>
  </si>
  <si>
    <t>XM_TZJQ</t>
  </si>
  <si>
    <t>XM_MMHCT</t>
  </si>
  <si>
    <t>XM_GDFR</t>
  </si>
  <si>
    <t>XM_TBCD</t>
  </si>
  <si>
    <t>XM_BNFS</t>
  </si>
  <si>
    <t>XM_HPYFSBHDSQ</t>
  </si>
  <si>
    <t>XM_TY</t>
  </si>
  <si>
    <t>XM_XJHXTJK</t>
  </si>
  <si>
    <t>XM_XSBD</t>
  </si>
  <si>
    <t>XM_JX</t>
  </si>
  <si>
    <t>XM_SD</t>
  </si>
  <si>
    <t>XM_JZ</t>
  </si>
  <si>
    <t>XM_KC</t>
  </si>
  <si>
    <t>XM_HXKN</t>
  </si>
  <si>
    <t>XM_HPSK</t>
  </si>
  <si>
    <t>XM_HPSW</t>
  </si>
  <si>
    <t>XM_XHBLHFBBS</t>
  </si>
  <si>
    <t>XM_DH</t>
  </si>
  <si>
    <t>XM_MBCH</t>
  </si>
  <si>
    <t>XM_EM</t>
  </si>
  <si>
    <t>XM_GDXR</t>
  </si>
  <si>
    <t>XM_DNRQ</t>
  </si>
  <si>
    <t>导尿日期</t>
  </si>
  <si>
    <t>XM_NGXH</t>
  </si>
  <si>
    <t>尿管型号</t>
  </si>
  <si>
    <t>XM_NYL</t>
  </si>
  <si>
    <t>尿液量（ml）</t>
  </si>
  <si>
    <t>XM_NYYS</t>
  </si>
  <si>
    <t>尿液颜色</t>
  </si>
  <si>
    <t>XM_NYTMD</t>
  </si>
  <si>
    <t>XM_NDKQK</t>
  </si>
  <si>
    <t>XM_NGGDQK</t>
  </si>
  <si>
    <t>尿管固定情况</t>
  </si>
  <si>
    <t>XM_PGCX</t>
  </si>
  <si>
    <t>膀胱冲洗</t>
  </si>
  <si>
    <t>XM_HZSSD</t>
  </si>
  <si>
    <t>XM_XYQPG_TW</t>
  </si>
  <si>
    <t>吸氧前评估_体温</t>
  </si>
  <si>
    <t>XM_XYQPG_SZY</t>
  </si>
  <si>
    <t>吸氧前评估_舒张压</t>
  </si>
  <si>
    <t>XM_XYQPG_MB</t>
  </si>
  <si>
    <t>吸氧前评估_脉搏</t>
  </si>
  <si>
    <t>XM_XYQPG_SSY</t>
  </si>
  <si>
    <t>吸氧前评估_收缩压</t>
  </si>
  <si>
    <t>XM_XYQPG_HX</t>
  </si>
  <si>
    <t>吸氧前评估_呼吸</t>
  </si>
  <si>
    <t>XM_XYQPG_YSZT</t>
  </si>
  <si>
    <t>吸氧前评估_意识状态</t>
  </si>
  <si>
    <t>XM_XYQPG_XYBHD</t>
  </si>
  <si>
    <t>吸氧前评估_血氧饱和度</t>
  </si>
  <si>
    <t>XM_XYQPG_HXKNCD</t>
  </si>
  <si>
    <t>吸氧前评估_呼吸困难程度</t>
  </si>
  <si>
    <t>XM_XYQPG_MSJKCYS</t>
  </si>
  <si>
    <t>吸氧前评估_面色及口唇颜色</t>
  </si>
  <si>
    <t>XM_XYHPG_TW</t>
  </si>
  <si>
    <t>吸氧后评估_体温</t>
  </si>
  <si>
    <t>XM_XYHPG_SZY</t>
  </si>
  <si>
    <t>吸氧后评估_舒张压</t>
  </si>
  <si>
    <t>XM_XYHPG_MB</t>
  </si>
  <si>
    <t>吸氧后评估_脉搏</t>
  </si>
  <si>
    <t>XM_XYHPG_SSY</t>
  </si>
  <si>
    <t>吸氧后评估_收缩压</t>
  </si>
  <si>
    <t>XM_XYHPG_HX</t>
  </si>
  <si>
    <t>吸氧后评估_呼吸</t>
  </si>
  <si>
    <t>XM_XYHPG_XYBHD</t>
  </si>
  <si>
    <t>吸氧后评估_血氧饱和度</t>
  </si>
  <si>
    <t>XM_XYHPG_HXKNGSQK</t>
  </si>
  <si>
    <t>吸氧后评估_呼吸困难改善情况</t>
  </si>
  <si>
    <t>XM_XYHPG_MSJKCYSBH</t>
  </si>
  <si>
    <t>吸氧后评估_面色及口唇颜色变化</t>
  </si>
  <si>
    <t>XM_XYFSJCS_XYFS</t>
  </si>
  <si>
    <t>吸氧方式及参数_吸氧方式</t>
  </si>
  <si>
    <t>XM_XYFSJCS_YLL</t>
  </si>
  <si>
    <t>吸氧方式及参数_氧流量L/min</t>
  </si>
  <si>
    <t>XM_XYFSJCS_XYND</t>
  </si>
  <si>
    <t>吸氧方式及参数_吸氧浓度</t>
  </si>
  <si>
    <t>XM_HLCS_XYZZDQJYXD</t>
  </si>
  <si>
    <t>护理措施_吸氧装置的清洁与消毒</t>
  </si>
  <si>
    <t>XM_HLCS_BQHL</t>
  </si>
  <si>
    <t>护理措施_鼻腔护理</t>
  </si>
  <si>
    <t>XM_HLCS_JKJY</t>
  </si>
  <si>
    <t>护理措施_健康教育</t>
  </si>
  <si>
    <t>XM_XTQPG_TW</t>
  </si>
  <si>
    <t>吸痰前评估_体温</t>
  </si>
  <si>
    <t>XM_XTQPG_SZY</t>
  </si>
  <si>
    <t>吸痰前评估_舒张压</t>
  </si>
  <si>
    <t>XM_XTQPG_MB</t>
  </si>
  <si>
    <t>吸痰前评估_脉搏</t>
  </si>
  <si>
    <t>XM_XTQPG_SSY</t>
  </si>
  <si>
    <t>吸痰前评估_收缩压</t>
  </si>
  <si>
    <t>XM_XTQPG_HX</t>
  </si>
  <si>
    <t>吸痰前评估_呼吸</t>
  </si>
  <si>
    <t>XM_XTQPG_YSXT</t>
  </si>
  <si>
    <t>吸痰前评估_意识状态</t>
  </si>
  <si>
    <t>XM_XTQPG_XYBHD</t>
  </si>
  <si>
    <t>吸痰前评估_血氧饱和度</t>
  </si>
  <si>
    <t>XM_XTQPG_FBTZ_TMY</t>
  </si>
  <si>
    <t>吸痰前评估_肺部听诊_痰鸣音</t>
  </si>
  <si>
    <t>XM_XTQPG_FBTZ_GSLY</t>
  </si>
  <si>
    <t>吸痰前评估_肺部听诊_干湿啰音</t>
  </si>
  <si>
    <t>XM_XTQPG_FBTZ_HXYJR</t>
  </si>
  <si>
    <t>吸痰前评估_肺部听诊_呼吸音减弱</t>
  </si>
  <si>
    <t>XM_XTHPG_TW</t>
  </si>
  <si>
    <t>吸痰后评估_体温</t>
  </si>
  <si>
    <t>XM_XTHPG_SZY</t>
  </si>
  <si>
    <t>吸痰后评估_舒张压</t>
  </si>
  <si>
    <t>XM_XTHPG_MB</t>
  </si>
  <si>
    <t>吸痰后评估_脉搏</t>
  </si>
  <si>
    <t>XM_XTHPG_SSY</t>
  </si>
  <si>
    <t>吸痰后评估_收缩压</t>
  </si>
  <si>
    <t>XM_XTHPG_HX</t>
  </si>
  <si>
    <t>吸痰后评估_呼吸</t>
  </si>
  <si>
    <t>XM_XTHPG_XYBHD</t>
  </si>
  <si>
    <t>吸痰后评估_血氧饱和度</t>
  </si>
  <si>
    <t>XM_XTHPG_FBTZ_TMYGSQK</t>
  </si>
  <si>
    <t>吸痰后评估_肺部听诊_痰鸣音改善情况</t>
  </si>
  <si>
    <t>XM_XTHPG_FBTZ_GSLYBH</t>
  </si>
  <si>
    <t>吸痰后评估_肺部听诊_干湿啰音变化</t>
  </si>
  <si>
    <t>XM_XTHPG_FBTZ_HXY</t>
  </si>
  <si>
    <t>吸痰后评估_肺部听诊_呼吸音</t>
  </si>
  <si>
    <t>XM_XTFS</t>
  </si>
  <si>
    <t>XM_XYQYL</t>
  </si>
  <si>
    <t>吸引器压力</t>
  </si>
  <si>
    <t>XM_XTGXH</t>
  </si>
  <si>
    <t>吸痰管型号</t>
  </si>
  <si>
    <t>XM_CRSD</t>
  </si>
  <si>
    <t>插入深度（cm）</t>
  </si>
  <si>
    <t>XM_XTSJ</t>
  </si>
  <si>
    <t>吸痰时间</t>
  </si>
  <si>
    <t>XM_XCTYDXZ_YS</t>
  </si>
  <si>
    <t>XM_XCTYDXZ_ZD</t>
  </si>
  <si>
    <t>XM_XCTYDXZ_L</t>
  </si>
  <si>
    <t>吸出痰液的性状_量</t>
  </si>
  <si>
    <t>XM_QDNMSS</t>
  </si>
  <si>
    <t>气道黏膜损伤</t>
  </si>
  <si>
    <t>低氧血症</t>
  </si>
  <si>
    <t>低氧血症_处理措施</t>
  </si>
  <si>
    <t>心律失常_类型</t>
  </si>
  <si>
    <t>心律失常_处理措施</t>
  </si>
  <si>
    <t>XM_ZGSJ</t>
  </si>
  <si>
    <t>置管时间</t>
  </si>
  <si>
    <t>XM_FTGLX</t>
  </si>
  <si>
    <t>腹透管类型</t>
  </si>
  <si>
    <t>XM_FTGWZ</t>
  </si>
  <si>
    <t>腹透管位置</t>
  </si>
  <si>
    <t>XM_CKCPF</t>
  </si>
  <si>
    <t>XM_FTGZWZZ</t>
  </si>
  <si>
    <t>XM_FTGZWZZ_QT</t>
  </si>
  <si>
    <t>腹透管周围组织_其他</t>
  </si>
  <si>
    <t>XM_YL</t>
  </si>
  <si>
    <t>XM_GR</t>
  </si>
  <si>
    <t>XM_QJFSZWCD</t>
  </si>
  <si>
    <t>XM_GDFFZQYF</t>
  </si>
  <si>
    <t>固定方法正确与否</t>
  </si>
  <si>
    <t>XM_RCHDDFTGDBHYS</t>
  </si>
  <si>
    <t>XM_XCG_BXB</t>
  </si>
  <si>
    <t>血常规_白细胞计数（×10⁹/L）</t>
  </si>
  <si>
    <t>XM_ZXLXBBL</t>
  </si>
  <si>
    <t>血常规_中性粒细胞比例（%）</t>
  </si>
  <si>
    <t>XM_SHZB_JG</t>
  </si>
  <si>
    <t>生化指标_肌酐（μmol/L）</t>
  </si>
  <si>
    <t>XM_SHZB_NSD</t>
  </si>
  <si>
    <t>生化指标_尿素氮（mmol/L）</t>
  </si>
  <si>
    <t>XM_SHZB_DJZ</t>
  </si>
  <si>
    <t>生化指标_电解质</t>
  </si>
  <si>
    <t>XM_GHFTGDBYXPG</t>
  </si>
  <si>
    <t>XM_WHCS</t>
  </si>
  <si>
    <t>XM_DFTGHLZSDXQCD</t>
  </si>
  <si>
    <t>XM_XWHQZSDFS</t>
  </si>
  <si>
    <t>XM_KFZDNR</t>
  </si>
  <si>
    <t>康复指导内容</t>
  </si>
  <si>
    <t>XM_XLYCX</t>
  </si>
  <si>
    <t>XM_TT</t>
  </si>
  <si>
    <t>XM_PL</t>
  </si>
  <si>
    <t>疲劳</t>
  </si>
  <si>
    <t>XM_DZBGF</t>
  </si>
  <si>
    <t>动作不规范</t>
  </si>
  <si>
    <t>XM_GJHDDGSQK</t>
  </si>
  <si>
    <t>关节活动度改善情况</t>
  </si>
  <si>
    <t>XM_JLZQQK</t>
  </si>
  <si>
    <t>肌力增强情况</t>
  </si>
  <si>
    <t>XM_PHYXTNLTSQK</t>
  </si>
  <si>
    <t>平衡与协调能力提升情况</t>
  </si>
  <si>
    <t>XM_RCSHHDNLJBQK</t>
  </si>
  <si>
    <t>日常生活活动能力进步情况</t>
  </si>
  <si>
    <t>XM_XCHLJH</t>
  </si>
  <si>
    <t>下次护理计划</t>
  </si>
  <si>
    <t>康复计划模板</t>
  </si>
  <si>
    <t>目标</t>
  </si>
  <si>
    <t>XM_PG</t>
  </si>
  <si>
    <t>XM_CFCS</t>
  </si>
  <si>
    <t>康复措施</t>
  </si>
  <si>
    <t>XM_JDAP</t>
  </si>
  <si>
    <t>进度安排</t>
  </si>
  <si>
    <t>XM_PGYTZ</t>
  </si>
  <si>
    <t>评估与调整</t>
  </si>
  <si>
    <t>XM_ZJZZ_HR</t>
  </si>
  <si>
    <t>XM_ZJZZ_CH</t>
  </si>
  <si>
    <t>XM_ZJZZ_TT</t>
  </si>
  <si>
    <t>XM_ZJZZ_YS</t>
  </si>
  <si>
    <t>XM_ZJZZ_QZ</t>
  </si>
  <si>
    <t>XM_TJZZ_MS</t>
  </si>
  <si>
    <t>XM_TJZZ_SX</t>
  </si>
  <si>
    <t>XM_TJZZ_MX</t>
  </si>
  <si>
    <t>XM_QBSJ</t>
  </si>
  <si>
    <t>起病时间</t>
  </si>
  <si>
    <t>XM_ZZCXJVSJ</t>
  </si>
  <si>
    <t>症状出现具体时间</t>
  </si>
  <si>
    <t>XM_ZZTD_WB</t>
  </si>
  <si>
    <t>症状特点_文本</t>
  </si>
  <si>
    <t>XM_SMSJ</t>
  </si>
  <si>
    <t>睡眠情况</t>
  </si>
  <si>
    <t>XM_YSXG</t>
  </si>
  <si>
    <t>饮食习惯</t>
  </si>
  <si>
    <t>XM_YJQK_CCNL</t>
  </si>
  <si>
    <t>月经情况_初潮年龄</t>
  </si>
  <si>
    <t>XM_YJQK_YJL</t>
  </si>
  <si>
    <t>月经情况_月经量</t>
  </si>
  <si>
    <t>XM_YJQK_YJZQ</t>
  </si>
  <si>
    <t>月经情况_月经周期</t>
  </si>
  <si>
    <t>XM_YJQK_YJYS</t>
  </si>
  <si>
    <t>月经情况_月经颜色</t>
  </si>
  <si>
    <t>XM_SYQK_YC</t>
  </si>
  <si>
    <t>生育情况_孕次</t>
  </si>
  <si>
    <t>XM_SYQK_FMFS</t>
  </si>
  <si>
    <t>生育情况_分娩方式</t>
  </si>
  <si>
    <t>XM_SYQK_CC</t>
  </si>
  <si>
    <t>生育情况_产次</t>
  </si>
  <si>
    <t>XM_SYQK_CHHFQK</t>
  </si>
  <si>
    <t>生育情况_产后恢复情况</t>
  </si>
  <si>
    <t>XM_DYSDFWSFMY</t>
  </si>
  <si>
    <t>XM_DHSDFWSFMY</t>
  </si>
  <si>
    <t>XM_DHGDFWSFMY</t>
  </si>
  <si>
    <t>XM_DZGYSDGZSFMY</t>
  </si>
  <si>
    <t>XM_DSHHSDGZSFMY</t>
  </si>
  <si>
    <t>XM_HZDTKSFDDKZ</t>
  </si>
  <si>
    <t>XM_DJBZLDTD</t>
  </si>
  <si>
    <t>XM_DYYGYDZLSFMY</t>
  </si>
  <si>
    <t>XM_NYWJRDHZSQGHSFMY</t>
  </si>
  <si>
    <t>XM_NYWSHDHZSQGHSFMY</t>
  </si>
  <si>
    <t>XM_NYWDWDHZSQGHSFMY</t>
  </si>
  <si>
    <t>XM_HZDSWDKJ</t>
  </si>
  <si>
    <t>XM_HZDXYSFRY</t>
  </si>
  <si>
    <t>XM_TCGZJY</t>
  </si>
  <si>
    <t>请您对我中心舒缓护理工作提出建议</t>
  </si>
  <si>
    <t>XM_ZYZRS</t>
  </si>
  <si>
    <t>志愿者人数</t>
  </si>
  <si>
    <t>志愿者服务记录表</t>
  </si>
  <si>
    <t>XM_MSFFNR</t>
  </si>
  <si>
    <t>描述服务内容</t>
  </si>
  <si>
    <t>XM_TBR</t>
  </si>
  <si>
    <t>填报人</t>
  </si>
  <si>
    <t>XM_TTQD</t>
  </si>
  <si>
    <t>疼痛强度</t>
  </si>
  <si>
    <t>XM_CFYSYQK</t>
  </si>
  <si>
    <t>处方药使用情况</t>
  </si>
  <si>
    <t>T_HL_YW_CXTTPGB_CFYSYQK</t>
  </si>
  <si>
    <t>XM_YSZT</t>
  </si>
  <si>
    <t>XM_FZY</t>
  </si>
  <si>
    <t>副作用</t>
  </si>
  <si>
    <t>初步疼痛评估表</t>
  </si>
  <si>
    <t>XM_TTBW</t>
  </si>
  <si>
    <t>疼痛部位</t>
  </si>
  <si>
    <t>XM_MQTT</t>
  </si>
  <si>
    <t>目前疼痛</t>
  </si>
  <si>
    <t>XM_ZTS</t>
  </si>
  <si>
    <t>最痛时</t>
  </si>
  <si>
    <t>XM_ZQS</t>
  </si>
  <si>
    <t>最轻时</t>
  </si>
  <si>
    <t>XM_KRSD</t>
  </si>
  <si>
    <t>可忍受度</t>
  </si>
  <si>
    <t>XM_TTFY</t>
  </si>
  <si>
    <t>疼痛反应</t>
  </si>
  <si>
    <t>XM_DJYQKST</t>
  </si>
  <si>
    <t>多久以前开始痛</t>
  </si>
  <si>
    <t>XM_MCTTCXDJSJ</t>
  </si>
  <si>
    <t>每次疼痛持续多久时间？</t>
  </si>
  <si>
    <t>XM_TTPL</t>
  </si>
  <si>
    <t>疼痛频率</t>
  </si>
  <si>
    <t>XM_YTZZTDSH</t>
  </si>
  <si>
    <t>一天中最疼的时候</t>
  </si>
  <si>
    <t>XM_HZFSKYHJTT</t>
  </si>
  <si>
    <t>何种方式可以缓解疼痛</t>
  </si>
  <si>
    <t>XM_HZQKHJJTT</t>
  </si>
  <si>
    <t>何种情况会加剧疼痛</t>
  </si>
  <si>
    <t>XM_BSZZ</t>
  </si>
  <si>
    <t>伴随症状</t>
  </si>
  <si>
    <t>XM_SM</t>
  </si>
  <si>
    <t>睡眠</t>
  </si>
  <si>
    <t>XM_SY</t>
  </si>
  <si>
    <t>食欲</t>
  </si>
  <si>
    <t>XM_HD</t>
  </si>
  <si>
    <t>活动</t>
  </si>
  <si>
    <t>情绪</t>
  </si>
  <si>
    <t>XM_ZYL</t>
  </si>
  <si>
    <t>注意力</t>
  </si>
  <si>
    <t>XM_YTRGX</t>
  </si>
  <si>
    <t>与他人关系</t>
  </si>
  <si>
    <t>XM_ZLJH</t>
  </si>
  <si>
    <t>治疗计划</t>
  </si>
  <si>
    <t>XM_QTFZ</t>
  </si>
  <si>
    <t>其他附注</t>
  </si>
  <si>
    <t>XM_YSZL</t>
  </si>
  <si>
    <t>饮食种类</t>
  </si>
  <si>
    <t>XM_YSL</t>
  </si>
  <si>
    <t>饮食量</t>
  </si>
  <si>
    <t>XM_ZLNL</t>
  </si>
  <si>
    <t>XM_ZTHD</t>
  </si>
  <si>
    <t>XM_PFQK_QT</t>
  </si>
  <si>
    <t>皮肤情况_其他</t>
  </si>
  <si>
    <t>XM_PFHLCS</t>
  </si>
  <si>
    <t>皮肤护理措施</t>
  </si>
  <si>
    <t>XM_NYQK</t>
  </si>
  <si>
    <t>尿液情况</t>
  </si>
  <si>
    <t>XM_PB</t>
  </si>
  <si>
    <t>XM_PBHLCS</t>
  </si>
  <si>
    <t>排便护理措施</t>
  </si>
  <si>
    <t>XM_QTZZ</t>
  </si>
  <si>
    <t>其他症状</t>
  </si>
  <si>
    <t>XM_PGRQ</t>
  </si>
  <si>
    <t>安宁疗护患者评估一</t>
  </si>
  <si>
    <t>XM_YSXWMS</t>
  </si>
  <si>
    <t>意识行为描述</t>
  </si>
  <si>
    <t>XM_HXQKMS</t>
  </si>
  <si>
    <t>呼吸情况描述</t>
  </si>
  <si>
    <t>痰液（性状、色）</t>
  </si>
  <si>
    <t>XM_SZ</t>
  </si>
  <si>
    <t>水肿（部位、程度）</t>
  </si>
  <si>
    <t>XM_EX</t>
  </si>
  <si>
    <t>恶心</t>
  </si>
  <si>
    <t>XM_OT</t>
  </si>
  <si>
    <t>呕吐（色、量）</t>
  </si>
  <si>
    <t>XM_FZ</t>
  </si>
  <si>
    <t>腹胀</t>
  </si>
  <si>
    <t>主要诊断</t>
  </si>
  <si>
    <t>XM_HBZ</t>
  </si>
  <si>
    <t>合并症</t>
  </si>
  <si>
    <t>XM_XYBHD</t>
  </si>
  <si>
    <t>血氧饱和度</t>
  </si>
  <si>
    <t>XM_KS</t>
  </si>
  <si>
    <t>XM_KS_XZ</t>
  </si>
  <si>
    <t>XM_KT</t>
  </si>
  <si>
    <t>XM_KT_TY</t>
  </si>
  <si>
    <t>XM_KT_XZ</t>
  </si>
  <si>
    <t>XM_XTXZ</t>
  </si>
  <si>
    <t>胸痛性质</t>
  </si>
  <si>
    <t>XM_JQTZBH</t>
  </si>
  <si>
    <t>XM_HDSP</t>
  </si>
  <si>
    <t>实验室检查指标</t>
  </si>
  <si>
    <t>XM_HXNL</t>
  </si>
  <si>
    <t>活动耐力</t>
  </si>
  <si>
    <t>XM_HXY</t>
  </si>
  <si>
    <t>呼吸音_异常文本</t>
  </si>
  <si>
    <t>XM_XKXT</t>
  </si>
  <si>
    <t>XM_FGNZB</t>
  </si>
  <si>
    <t>肺功能指标</t>
  </si>
  <si>
    <t>XM_HXKNCDPG</t>
  </si>
  <si>
    <t>呼吸困难程度评估</t>
  </si>
  <si>
    <t>XM_DDFXX</t>
  </si>
  <si>
    <t>XM_DDFX_PGYJ</t>
  </si>
  <si>
    <t>跌倒风险_评估依据</t>
  </si>
  <si>
    <t>XM_YCFX</t>
  </si>
  <si>
    <t>XM_YCFX_PGYJ</t>
  </si>
  <si>
    <t>压疮风险_评估依据</t>
  </si>
  <si>
    <t>XM_WXFX</t>
  </si>
  <si>
    <t>XM_WXFX_PGYJ</t>
  </si>
  <si>
    <t>误吸风险_评估依据</t>
  </si>
  <si>
    <t>XM_LKXT</t>
  </si>
  <si>
    <t>XM_GYFS</t>
  </si>
  <si>
    <t>XM_GYFS_QT</t>
  </si>
  <si>
    <t>给氧方式_其他</t>
  </si>
  <si>
    <t>XM_YLL</t>
  </si>
  <si>
    <t>氧流量</t>
  </si>
  <si>
    <t>XM_HZNSQK</t>
  </si>
  <si>
    <t>XM_YXKSZD</t>
  </si>
  <si>
    <t>XM_HZZWCD</t>
  </si>
  <si>
    <t>XM_KBPT</t>
  </si>
  <si>
    <t>叩背排痰</t>
  </si>
  <si>
    <t>XM_WHXR</t>
  </si>
  <si>
    <t>雾化吸入</t>
  </si>
  <si>
    <t>T_HL_YW_MZFHLJLD_WHXR</t>
  </si>
  <si>
    <t>XM_XXZD</t>
  </si>
  <si>
    <t>休息指导</t>
  </si>
  <si>
    <t>XM_YSLX</t>
  </si>
  <si>
    <t>XM_JSQK</t>
  </si>
  <si>
    <t>XM_QXZT</t>
  </si>
  <si>
    <t>XM_XLSDCS</t>
  </si>
  <si>
    <t>心理疏导措施</t>
  </si>
  <si>
    <t>XM_JBZSJY</t>
  </si>
  <si>
    <t>疾病知识教育</t>
  </si>
  <si>
    <t>XM_YYZD</t>
  </si>
  <si>
    <t>用药指导</t>
  </si>
  <si>
    <t>XM_HXGNDLZD</t>
  </si>
  <si>
    <t>呼吸功能锻炼指导</t>
  </si>
  <si>
    <t>XM_YFGRCS</t>
  </si>
  <si>
    <t>预防感染措施</t>
  </si>
  <si>
    <t>XM_ZYZD</t>
  </si>
  <si>
    <t>XM_QTZD</t>
  </si>
  <si>
    <t>其他诊断</t>
  </si>
  <si>
    <t>XM_ZGRQ</t>
  </si>
  <si>
    <t>置管日期</t>
  </si>
  <si>
    <t>XM_DGCD</t>
  </si>
  <si>
    <t>导管长度</t>
  </si>
  <si>
    <t>XM_ZGBW</t>
  </si>
  <si>
    <t>置管部位</t>
  </si>
  <si>
    <t>XM_DGXH</t>
  </si>
  <si>
    <t>导管型号</t>
  </si>
  <si>
    <t>XM_WLCD</t>
  </si>
  <si>
    <t>外露长度</t>
  </si>
  <si>
    <t>XM_CCD</t>
  </si>
  <si>
    <t>穿刺点</t>
  </si>
  <si>
    <t>XM_ZWPF</t>
  </si>
  <si>
    <t>周围皮肤</t>
  </si>
  <si>
    <t>XM_SBZZQK</t>
  </si>
  <si>
    <t>XM_YWFRHZDBS</t>
  </si>
  <si>
    <t>有无发热、寒战等不适</t>
  </si>
  <si>
    <t>XM_YWFRHZDBS_Y</t>
  </si>
  <si>
    <t>有无发热、寒战等不适_有</t>
  </si>
  <si>
    <t>XM_YWEXOTDWCDFY</t>
  </si>
  <si>
    <t>有无恶心、呕吐等胃肠道反应</t>
  </si>
  <si>
    <t>XM_YWEXOTDWCDFY_Y</t>
  </si>
  <si>
    <t>有无恶心、呕吐等胃肠道反应_有</t>
  </si>
  <si>
    <t>XM_DPICCZGDRZHJSCD</t>
  </si>
  <si>
    <t>对PICC置管得认知和接受程度</t>
  </si>
  <si>
    <t>XM_JTZCQK</t>
  </si>
  <si>
    <t>XM_DGTCX</t>
  </si>
  <si>
    <t>导管通畅性</t>
  </si>
  <si>
    <t>XM_CGSZLQK</t>
  </si>
  <si>
    <t>XM_SYSD</t>
  </si>
  <si>
    <t>XM_HXQK</t>
  </si>
  <si>
    <t>XM_GRFX</t>
  </si>
  <si>
    <t>XM_GRFX_PGYJ</t>
  </si>
  <si>
    <t>感染风险_评估依据</t>
  </si>
  <si>
    <t>XM_XSXCFX</t>
  </si>
  <si>
    <t>XM_XSXCFX_PGYJ</t>
  </si>
  <si>
    <t>血栓形成风险_评估依据</t>
  </si>
  <si>
    <t>XM_DGTCFX</t>
  </si>
  <si>
    <t>XM_DGTCFX_PGYJ</t>
  </si>
  <si>
    <t>导管脱出风险_评估依据</t>
  </si>
  <si>
    <t>XM_HLCSJY</t>
  </si>
  <si>
    <t>护理措施建议</t>
  </si>
  <si>
    <t>XM_CGY</t>
  </si>
  <si>
    <t>XM_CGL</t>
  </si>
  <si>
    <t>冲管量</t>
  </si>
  <si>
    <t>XM_CGFS</t>
  </si>
  <si>
    <t>XM_CGTC</t>
  </si>
  <si>
    <t>冲管通畅</t>
  </si>
  <si>
    <t>LX_PICCHLJL_SF</t>
  </si>
  <si>
    <t>XM_FGY</t>
  </si>
  <si>
    <t>XM_FGL</t>
  </si>
  <si>
    <t>封管量</t>
  </si>
  <si>
    <t>XM_FGFS</t>
  </si>
  <si>
    <t>XM_FL</t>
  </si>
  <si>
    <t>敷料</t>
  </si>
  <si>
    <t>XM_PFXD</t>
  </si>
  <si>
    <t>皮肤消毒</t>
  </si>
  <si>
    <t>XM_YWSXSY</t>
  </si>
  <si>
    <t>有无渗血渗液</t>
  </si>
  <si>
    <t>XM_YWGRHJ</t>
  </si>
  <si>
    <t>有无感染迹象</t>
  </si>
  <si>
    <t>XM_JTLX</t>
  </si>
  <si>
    <t>接头类型</t>
  </si>
  <si>
    <t>XM_GHYY</t>
  </si>
  <si>
    <t>XM_YWTT</t>
  </si>
  <si>
    <t>有无疼痛</t>
  </si>
  <si>
    <t>XM_YWBS</t>
  </si>
  <si>
    <t>有无其他不适</t>
  </si>
  <si>
    <t>XM_ZDHZHD</t>
  </si>
  <si>
    <t>指导患者活动</t>
  </si>
  <si>
    <t>XM_HDFS</t>
  </si>
  <si>
    <t>活动方式</t>
  </si>
  <si>
    <t>XM_GZHZZYSX</t>
  </si>
  <si>
    <t>告知患者注意事项</t>
  </si>
  <si>
    <t>XM_ZYSXNR</t>
  </si>
  <si>
    <t>注意事项内容</t>
  </si>
  <si>
    <t>XM_ZKNM_XZ</t>
  </si>
  <si>
    <t>造口黏膜_性状</t>
  </si>
  <si>
    <t>XM_ZKNM_YS</t>
  </si>
  <si>
    <t>XM_ZKNM_GD</t>
  </si>
  <si>
    <t>XM_ZKZWPF_WZX</t>
  </si>
  <si>
    <t>XM_ZKZWPF_YS</t>
  </si>
  <si>
    <t>XM_ZKZWPF_YWSZ</t>
  </si>
  <si>
    <t>造口周围皮肤_有无水肿</t>
  </si>
  <si>
    <t>XM_ZKZWPF</t>
  </si>
  <si>
    <t>造口周围皮肤_有无湿疹</t>
  </si>
  <si>
    <t>XM_PXW_XZ</t>
  </si>
  <si>
    <t>XM_PXW_QW</t>
  </si>
  <si>
    <t>XM_PXW_PXL</t>
  </si>
  <si>
    <t>XM_HLCSXQ</t>
  </si>
  <si>
    <t>护理措施效果</t>
  </si>
  <si>
    <t>XM_PGXGPG_DKNMQK</t>
  </si>
  <si>
    <t>护理效果评估_造口黏膜情况</t>
  </si>
  <si>
    <t>XM_HLXGPG_ZKZWPF</t>
  </si>
  <si>
    <t>护理效果评估_造口周围皮肤</t>
  </si>
  <si>
    <t>XM_HLXGPF_HZHYD</t>
  </si>
  <si>
    <t>护理效果评估_患者活跃度</t>
  </si>
  <si>
    <t>XM_ZKBFZ</t>
  </si>
  <si>
    <t>造口并发症</t>
  </si>
  <si>
    <t>XM_PFWT</t>
  </si>
  <si>
    <t>皮肤问题</t>
  </si>
  <si>
    <t>XM_PXYC</t>
  </si>
  <si>
    <t>排泄异常</t>
  </si>
  <si>
    <t>XM_QTTSQK</t>
  </si>
  <si>
    <t>其他特殊情况</t>
  </si>
  <si>
    <t>XM_ZKWGXZ</t>
  </si>
  <si>
    <t>造口外观形状</t>
  </si>
  <si>
    <t>XM_ZKWGYS</t>
  </si>
  <si>
    <t>造口外观颜色</t>
  </si>
  <si>
    <t>XM_ZKWGGD</t>
  </si>
  <si>
    <t>造口外观高度</t>
  </si>
  <si>
    <t>XM_ZKZWPF_SD</t>
  </si>
  <si>
    <t>造口周围皮肤_湿度</t>
  </si>
  <si>
    <t>XM_ZKZWPF_PFZZ</t>
  </si>
  <si>
    <t>造口周围皮肤_皮肤褶皱</t>
  </si>
  <si>
    <t>XM_PXW_PXGL</t>
  </si>
  <si>
    <t>XM_ZKZKGS</t>
  </si>
  <si>
    <t>XM_PFWTHJ</t>
  </si>
  <si>
    <t>XM_PXWTGS</t>
  </si>
  <si>
    <t>XM_HZZWHLNL</t>
  </si>
  <si>
    <t>XM_MRCY</t>
  </si>
  <si>
    <t>XM_ZC</t>
  </si>
  <si>
    <t>早餐</t>
  </si>
  <si>
    <t>XM_WC</t>
  </si>
  <si>
    <t>午餐</t>
  </si>
  <si>
    <t>晚餐</t>
  </si>
  <si>
    <t>XM_LS</t>
  </si>
  <si>
    <t>零食</t>
  </si>
  <si>
    <t>XM_ZS</t>
  </si>
  <si>
    <t>XM_SC</t>
  </si>
  <si>
    <t>XM_RL</t>
  </si>
  <si>
    <t>XM_DL</t>
  </si>
  <si>
    <t>XM_DLYDZP</t>
  </si>
  <si>
    <t>豆类与豆制品</t>
  </si>
  <si>
    <t>XM_KW</t>
  </si>
  <si>
    <t>XM_PRFS</t>
  </si>
  <si>
    <t>XM_WCJCPL</t>
  </si>
  <si>
    <t>XM_YSGL</t>
  </si>
  <si>
    <t>XM_YSXG_MRYSL</t>
  </si>
  <si>
    <t>饮水习惯_每日饮水量</t>
  </si>
  <si>
    <t>XM_YSXG_YSLX</t>
  </si>
  <si>
    <t>饮水习惯_饮水类型</t>
  </si>
  <si>
    <t>XMZD</t>
    <phoneticPr fontId="7" type="noConversion"/>
  </si>
  <si>
    <t>zdlx</t>
    <phoneticPr fontId="7" type="noConversion"/>
  </si>
  <si>
    <t>LX_PICCHLPG_YW</t>
    <phoneticPr fontId="37" type="noConversion"/>
  </si>
  <si>
    <t>LX_PICCHLJL_SF</t>
    <phoneticPr fontId="37" type="noConversion"/>
  </si>
  <si>
    <t>LX_PICCHLJL_SF</t>
    <phoneticPr fontId="37" type="noConversion"/>
  </si>
  <si>
    <t>LX_PRFS</t>
    <phoneticPr fontId="41" type="noConversion"/>
  </si>
  <si>
    <t>LX_HZGX</t>
  </si>
  <si>
    <t>护理风险告知书</t>
    <phoneticPr fontId="37" type="noConversion"/>
  </si>
  <si>
    <t>LX_HZGX</t>
    <phoneticPr fontId="37" type="noConversion"/>
  </si>
  <si>
    <t>患者关系</t>
    <phoneticPr fontId="37" type="noConversion"/>
  </si>
  <si>
    <t>祖孙</t>
  </si>
  <si>
    <t>外祖孙</t>
    <phoneticPr fontId="37" type="noConversion"/>
  </si>
  <si>
    <t>父子</t>
    <phoneticPr fontId="37" type="noConversion"/>
  </si>
  <si>
    <t>父女</t>
    <phoneticPr fontId="37" type="noConversion"/>
  </si>
  <si>
    <t>母女</t>
    <phoneticPr fontId="37" type="noConversion"/>
  </si>
  <si>
    <t>夫妻</t>
    <phoneticPr fontId="37" type="noConversion"/>
  </si>
  <si>
    <t>兄妹</t>
    <phoneticPr fontId="37" type="noConversion"/>
  </si>
  <si>
    <t>兄弟</t>
    <phoneticPr fontId="37" type="noConversion"/>
  </si>
  <si>
    <t>姐弟</t>
    <phoneticPr fontId="37" type="noConversion"/>
  </si>
  <si>
    <t>姐妹</t>
    <phoneticPr fontId="37" type="noConversion"/>
  </si>
  <si>
    <t>安宁疗护同意书</t>
    <phoneticPr fontId="37" type="noConversion"/>
  </si>
  <si>
    <t>安宁疗护护理计划书</t>
    <phoneticPr fontId="37" type="noConversion"/>
  </si>
  <si>
    <t>LX_MZ</t>
  </si>
  <si>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1</t>
    </r>
    <phoneticPr fontId="37" type="noConversion"/>
  </si>
  <si>
    <r>
      <rPr>
        <sz val="11"/>
        <color indexed="8"/>
        <rFont val="宋体"/>
        <family val="3"/>
        <charset val="134"/>
      </rPr>
      <t>02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</si>
  <si>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03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</si>
  <si>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04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</si>
  <si>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05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</si>
  <si>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06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</si>
  <si>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07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</si>
  <si>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08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</si>
  <si>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09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</si>
  <si>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10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</si>
  <si>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11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</si>
  <si>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12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</si>
  <si>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13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</si>
  <si>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14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</si>
  <si>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15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</si>
  <si>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16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</si>
  <si>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17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</si>
  <si>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18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</si>
  <si>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19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</si>
  <si>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20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</si>
  <si>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21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</si>
  <si>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22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</si>
  <si>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23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</si>
  <si>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24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</si>
  <si>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25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</si>
  <si>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26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</si>
  <si>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27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</si>
  <si>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28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</si>
  <si>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29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</si>
  <si>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30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</si>
  <si>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31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</si>
  <si>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32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</si>
  <si>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33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</si>
  <si>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34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</si>
  <si>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35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</si>
  <si>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36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</si>
  <si>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37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</si>
  <si>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38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</si>
  <si>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39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</si>
  <si>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40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</si>
  <si>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41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</si>
  <si>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42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</si>
  <si>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43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</si>
  <si>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44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</si>
  <si>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45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</si>
  <si>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46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</si>
  <si>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47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</si>
  <si>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48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</si>
  <si>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49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</si>
  <si>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50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</si>
  <si>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51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</si>
  <si>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52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</si>
  <si>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53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</si>
  <si>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54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</si>
  <si>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55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</si>
  <si>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56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</si>
  <si>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57</t>
    </r>
    <r>
      <rPr>
        <sz val="11"/>
        <color indexed="8"/>
        <rFont val="宋体"/>
        <family val="3"/>
        <charset val="134"/>
      </rPr>
      <t/>
    </r>
  </si>
  <si>
    <r>
      <rPr>
        <sz val="11"/>
        <color indexed="8"/>
        <rFont val="宋体"/>
        <family val="3"/>
        <charset val="134"/>
      </rPr>
      <t>58</t>
    </r>
    <r>
      <rPr>
        <sz val="11"/>
        <color indexed="8"/>
        <rFont val="宋体"/>
        <family val="3"/>
        <charset val="134"/>
      </rPr>
      <t/>
    </r>
  </si>
  <si>
    <t>民族</t>
    <phoneticPr fontId="37" type="noConversion"/>
  </si>
  <si>
    <t>汉族</t>
    <phoneticPr fontId="37" type="noConversion"/>
  </si>
  <si>
    <t>蒙古族</t>
    <phoneticPr fontId="37" type="noConversion"/>
  </si>
  <si>
    <t>回族</t>
    <phoneticPr fontId="37" type="noConversion"/>
  </si>
  <si>
    <t>藏族</t>
    <phoneticPr fontId="37" type="noConversion"/>
  </si>
  <si>
    <t>维吾尔族</t>
    <phoneticPr fontId="37" type="noConversion"/>
  </si>
  <si>
    <t>苗族</t>
    <phoneticPr fontId="37" type="noConversion"/>
  </si>
  <si>
    <t>彝族</t>
    <phoneticPr fontId="37" type="noConversion"/>
  </si>
  <si>
    <t>壮族</t>
    <phoneticPr fontId="37" type="noConversion"/>
  </si>
  <si>
    <t>布依族</t>
    <phoneticPr fontId="37" type="noConversion"/>
  </si>
  <si>
    <t>朝鲜族</t>
    <phoneticPr fontId="37" type="noConversion"/>
  </si>
  <si>
    <t>满族</t>
    <phoneticPr fontId="37" type="noConversion"/>
  </si>
  <si>
    <t>侗族</t>
    <phoneticPr fontId="37" type="noConversion"/>
  </si>
  <si>
    <t>瑶族</t>
    <phoneticPr fontId="37" type="noConversion"/>
  </si>
  <si>
    <t>白族</t>
    <phoneticPr fontId="37" type="noConversion"/>
  </si>
  <si>
    <t>土家族</t>
    <phoneticPr fontId="37" type="noConversion"/>
  </si>
  <si>
    <t>哈尼族</t>
    <phoneticPr fontId="37" type="noConversion"/>
  </si>
  <si>
    <t>哈萨克族</t>
    <phoneticPr fontId="37" type="noConversion"/>
  </si>
  <si>
    <t>傣族</t>
    <phoneticPr fontId="37" type="noConversion"/>
  </si>
  <si>
    <t>黎族</t>
    <phoneticPr fontId="37" type="noConversion"/>
  </si>
  <si>
    <t>傈僳族</t>
    <phoneticPr fontId="37" type="noConversion"/>
  </si>
  <si>
    <t>佤族</t>
    <phoneticPr fontId="37" type="noConversion"/>
  </si>
  <si>
    <t>畲族</t>
    <phoneticPr fontId="37" type="noConversion"/>
  </si>
  <si>
    <t>高山族</t>
    <phoneticPr fontId="37" type="noConversion"/>
  </si>
  <si>
    <t>拉祜族</t>
    <phoneticPr fontId="37" type="noConversion"/>
  </si>
  <si>
    <t>水族</t>
    <phoneticPr fontId="37" type="noConversion"/>
  </si>
  <si>
    <t>东乡族</t>
    <phoneticPr fontId="37" type="noConversion"/>
  </si>
  <si>
    <t>纳西族</t>
    <phoneticPr fontId="37" type="noConversion"/>
  </si>
  <si>
    <t>景颇族</t>
    <phoneticPr fontId="37" type="noConversion"/>
  </si>
  <si>
    <t>柯尔克孜族</t>
    <phoneticPr fontId="37" type="noConversion"/>
  </si>
  <si>
    <t>土族</t>
    <phoneticPr fontId="37" type="noConversion"/>
  </si>
  <si>
    <t>达斡尔族</t>
    <phoneticPr fontId="37" type="noConversion"/>
  </si>
  <si>
    <t>仫佬族</t>
    <phoneticPr fontId="37" type="noConversion"/>
  </si>
  <si>
    <t>羌族</t>
    <phoneticPr fontId="37" type="noConversion"/>
  </si>
  <si>
    <t>布朗族</t>
    <phoneticPr fontId="37" type="noConversion"/>
  </si>
  <si>
    <t>撒拉族</t>
    <phoneticPr fontId="37" type="noConversion"/>
  </si>
  <si>
    <t>毛难族</t>
    <phoneticPr fontId="37" type="noConversion"/>
  </si>
  <si>
    <t>仡佬族</t>
    <phoneticPr fontId="37" type="noConversion"/>
  </si>
  <si>
    <t>锡伯族</t>
    <phoneticPr fontId="37" type="noConversion"/>
  </si>
  <si>
    <t>阿昌族</t>
    <phoneticPr fontId="37" type="noConversion"/>
  </si>
  <si>
    <t>普米族</t>
    <phoneticPr fontId="37" type="noConversion"/>
  </si>
  <si>
    <t>塔吉克族</t>
    <phoneticPr fontId="37" type="noConversion"/>
  </si>
  <si>
    <t>怒族</t>
    <phoneticPr fontId="37" type="noConversion"/>
  </si>
  <si>
    <t>乌孜别克族</t>
    <phoneticPr fontId="37" type="noConversion"/>
  </si>
  <si>
    <t>俄罗斯族</t>
    <phoneticPr fontId="37" type="noConversion"/>
  </si>
  <si>
    <t>鄂温克族</t>
    <phoneticPr fontId="37" type="noConversion"/>
  </si>
  <si>
    <t>崩龙族</t>
    <phoneticPr fontId="37" type="noConversion"/>
  </si>
  <si>
    <t>保安族</t>
    <phoneticPr fontId="37" type="noConversion"/>
  </si>
  <si>
    <t>裕固族</t>
    <phoneticPr fontId="37" type="noConversion"/>
  </si>
  <si>
    <t>京族</t>
    <phoneticPr fontId="37" type="noConversion"/>
  </si>
  <si>
    <t>塔塔尔族</t>
    <phoneticPr fontId="37" type="noConversion"/>
  </si>
  <si>
    <t>独龙族</t>
    <phoneticPr fontId="37" type="noConversion"/>
  </si>
  <si>
    <t>鄂伦春族</t>
    <phoneticPr fontId="37" type="noConversion"/>
  </si>
  <si>
    <t>赫哲族</t>
    <phoneticPr fontId="37" type="noConversion"/>
  </si>
  <si>
    <t>门巴族</t>
    <phoneticPr fontId="37" type="noConversion"/>
  </si>
  <si>
    <t>珞巴族</t>
    <phoneticPr fontId="37" type="noConversion"/>
  </si>
  <si>
    <t>基诺族</t>
    <phoneticPr fontId="37" type="noConversion"/>
  </si>
  <si>
    <t>外国血统中国人士</t>
    <phoneticPr fontId="37" type="noConversion"/>
  </si>
  <si>
    <t>时间</t>
  </si>
  <si>
    <t>途径</t>
  </si>
  <si>
    <t>次数</t>
  </si>
  <si>
    <t>varchar(50)</t>
    <phoneticPr fontId="7" type="noConversion"/>
  </si>
  <si>
    <t>varchar(200)</t>
    <phoneticPr fontId="7" type="noConversion"/>
  </si>
  <si>
    <t>varchar(10)</t>
    <phoneticPr fontId="7" type="noConversion"/>
  </si>
  <si>
    <t>持续疼痛评估表_处方药使用情况</t>
    <phoneticPr fontId="7" type="noConversion"/>
  </si>
  <si>
    <t>慢阻肺护理记录单_雾化吸入</t>
    <phoneticPr fontId="7" type="noConversion"/>
  </si>
  <si>
    <t>T_HL_YW_CXTTPGB_CFYSYQK</t>
    <phoneticPr fontId="7" type="noConversion"/>
  </si>
  <si>
    <t>T_HL_YW_MZFHLJLD_WHXR</t>
    <phoneticPr fontId="7" type="noConversion"/>
  </si>
  <si>
    <t>fytj</t>
    <phoneticPr fontId="7" type="noConversion"/>
  </si>
  <si>
    <t>fyjl</t>
    <phoneticPr fontId="7" type="noConversion"/>
  </si>
  <si>
    <t>hzfy</t>
    <phoneticPr fontId="7" type="noConversion"/>
  </si>
  <si>
    <t>慢阻肺护理记录单_雾化吸入</t>
    <phoneticPr fontId="7" type="noConversion"/>
  </si>
  <si>
    <t>T_HL_YW_MZFHLJLD_WHXR</t>
    <phoneticPr fontId="38" type="noConversion"/>
  </si>
  <si>
    <t>持续疼痛评估表_处方药使用情况</t>
    <phoneticPr fontId="7" type="noConversion"/>
  </si>
  <si>
    <t>T_HL_YW_CXTTPGB_CFYSYQK</t>
    <phoneticPr fontId="38" type="noConversion"/>
  </si>
  <si>
    <t>新增居住地</t>
    <phoneticPr fontId="7" type="noConversion"/>
  </si>
  <si>
    <t>新增</t>
    <phoneticPr fontId="7" type="noConversion"/>
  </si>
  <si>
    <t>0:是  
1:否</t>
    <phoneticPr fontId="37" type="noConversion"/>
  </si>
  <si>
    <t>糖尿病随访教育记录表</t>
    <phoneticPr fontId="37" type="noConversion"/>
  </si>
  <si>
    <t>随访分类</t>
    <phoneticPr fontId="37" type="noConversion"/>
  </si>
  <si>
    <t>随访内容</t>
    <phoneticPr fontId="37" type="noConversion"/>
  </si>
  <si>
    <t>随访内容</t>
    <phoneticPr fontId="37" type="noConversion"/>
  </si>
  <si>
    <t>随访方式</t>
    <phoneticPr fontId="37" type="noConversion"/>
  </si>
  <si>
    <t>监测</t>
    <phoneticPr fontId="37" type="noConversion"/>
  </si>
  <si>
    <t>并发症</t>
    <phoneticPr fontId="37" type="noConversion"/>
  </si>
  <si>
    <t>门诊</t>
    <phoneticPr fontId="37" type="noConversion"/>
  </si>
  <si>
    <t>微信</t>
    <phoneticPr fontId="37" type="noConversion"/>
  </si>
  <si>
    <t>电话</t>
    <phoneticPr fontId="37" type="noConversion"/>
  </si>
  <si>
    <t>其他</t>
    <phoneticPr fontId="37" type="noConversion"/>
  </si>
  <si>
    <t>LX_SFNR</t>
    <phoneticPr fontId="37" type="noConversion"/>
  </si>
  <si>
    <t>LX_SFFS</t>
    <phoneticPr fontId="37" type="noConversion"/>
  </si>
  <si>
    <t>LX_SFNR</t>
    <phoneticPr fontId="37" type="noConversion"/>
  </si>
  <si>
    <t>LX_SFFS</t>
    <phoneticPr fontId="37" type="noConversion"/>
  </si>
  <si>
    <t>随访内容_2</t>
  </si>
  <si>
    <t>随访方式_2</t>
  </si>
  <si>
    <t>图片_2</t>
  </si>
  <si>
    <t>XM_SFNR_3</t>
  </si>
  <si>
    <t>随访内容_3</t>
  </si>
  <si>
    <t>XM_SFFS_3</t>
  </si>
  <si>
    <t>随访方式_3</t>
  </si>
  <si>
    <t>花费时间（分钟）_3</t>
  </si>
  <si>
    <t>管理护士签名_3</t>
  </si>
  <si>
    <t>XM_SFNR_4</t>
  </si>
  <si>
    <t>随访内容_4</t>
  </si>
  <si>
    <t>XM_SFFS_4</t>
  </si>
  <si>
    <t>随访方式_4</t>
  </si>
  <si>
    <t>XM_SFNR_5</t>
  </si>
  <si>
    <t>随访内容_5</t>
  </si>
  <si>
    <t>XM_SFFS_5</t>
  </si>
  <si>
    <t>随访方式_5</t>
  </si>
  <si>
    <t>XM_SFNR_6</t>
  </si>
  <si>
    <t>随访内容_6</t>
  </si>
  <si>
    <t>XM_SFFS_6</t>
  </si>
  <si>
    <t>随访方式_6</t>
  </si>
  <si>
    <t>XM_SFNR_7</t>
  </si>
  <si>
    <t>随访内容_7</t>
  </si>
  <si>
    <t>XM_SFFS_7</t>
  </si>
  <si>
    <t>随访方式_7</t>
  </si>
  <si>
    <t>管理护士签名_7</t>
  </si>
  <si>
    <t>XM_SFNR_8</t>
  </si>
  <si>
    <t>随访内容_8</t>
  </si>
  <si>
    <t>XM_SFFS_8</t>
  </si>
  <si>
    <t>随访方式_8</t>
  </si>
  <si>
    <t>管理护士签名_8</t>
  </si>
  <si>
    <t>XM_SFNR_9</t>
  </si>
  <si>
    <t>随访内容_9</t>
  </si>
  <si>
    <t>XM_SFFS_9</t>
  </si>
  <si>
    <t>随访方式_9</t>
  </si>
  <si>
    <t>管理护士签名_9</t>
  </si>
  <si>
    <t>XM_SFNR_10</t>
  </si>
  <si>
    <t>随访内容_10</t>
  </si>
  <si>
    <t>XM_SFFS_10</t>
  </si>
  <si>
    <t>随访方式_10</t>
  </si>
  <si>
    <t>LX_JZS</t>
    <phoneticPr fontId="37" type="noConversion"/>
  </si>
  <si>
    <t>家族史</t>
    <phoneticPr fontId="37" type="noConversion"/>
  </si>
  <si>
    <t>糖尿病</t>
    <phoneticPr fontId="37" type="noConversion"/>
  </si>
  <si>
    <t>高血脂</t>
    <phoneticPr fontId="37" type="noConversion"/>
  </si>
  <si>
    <t>高血压</t>
    <phoneticPr fontId="37" type="noConversion"/>
  </si>
  <si>
    <t>冠心病</t>
    <phoneticPr fontId="37" type="noConversion"/>
  </si>
  <si>
    <t>脑血管意外</t>
    <phoneticPr fontId="37" type="noConversion"/>
  </si>
  <si>
    <t>LX_JZS</t>
    <phoneticPr fontId="37" type="noConversion"/>
  </si>
  <si>
    <t>T_HL_DIC_HLDAFLWSDZ</t>
    <phoneticPr fontId="7" type="noConversion"/>
  </si>
  <si>
    <t>T_HL_DIC_HLDAFLZDJY</t>
    <phoneticPr fontId="7" type="noConversion"/>
  </si>
  <si>
    <t>T_HL_DIC_HLDAFLJGDZ</t>
    <phoneticPr fontId="7" type="noConversion"/>
  </si>
  <si>
    <t>T_HL_DIC_JBZD</t>
    <phoneticPr fontId="7" type="noConversion"/>
  </si>
  <si>
    <t>T_HL_DIC_HLJLMBB</t>
    <phoneticPr fontId="7" type="noConversion"/>
  </si>
  <si>
    <t>T_HL_DIC_ZLS</t>
    <phoneticPr fontId="7" type="noConversion"/>
  </si>
  <si>
    <t>Y</t>
  </si>
  <si>
    <t>通用护理记录单</t>
  </si>
  <si>
    <t>XM_HLNR</t>
  </si>
  <si>
    <t>护理内容</t>
  </si>
  <si>
    <t>XM_JSXM</t>
  </si>
  <si>
    <t>XM_HZGX</t>
  </si>
  <si>
    <t>XM_LXDZ</t>
  </si>
  <si>
    <t>联系地址</t>
  </si>
  <si>
    <t>XM_DWDZ</t>
  </si>
  <si>
    <t>单位地址</t>
  </si>
  <si>
    <t>XM_ZY</t>
  </si>
  <si>
    <t>XM_SFTNBJY</t>
  </si>
  <si>
    <t>是否参加糖尿病教育</t>
  </si>
  <si>
    <t>XM_YLZL</t>
  </si>
  <si>
    <t>医疗种类</t>
  </si>
  <si>
    <t>XM_XYL</t>
  </si>
  <si>
    <t>吸烟史_支/天</t>
  </si>
  <si>
    <t>XM_XYSJ</t>
  </si>
  <si>
    <t>吸烟史_年</t>
  </si>
  <si>
    <t>XM_YJL</t>
  </si>
  <si>
    <t>饮酒_ml/天</t>
  </si>
  <si>
    <t>XM_YJZL</t>
  </si>
  <si>
    <t>饮酒_种类</t>
  </si>
  <si>
    <t>LX_YJZL</t>
  </si>
  <si>
    <t>XM_YDL</t>
  </si>
  <si>
    <t>运动情况_h/天</t>
  </si>
  <si>
    <t>XM_YDZL</t>
  </si>
  <si>
    <t>运动情况_种类</t>
  </si>
  <si>
    <t>LX_YDZL</t>
  </si>
  <si>
    <t>XM_JZS_TNB_S2</t>
  </si>
  <si>
    <t>家族史_糖尿病_上二代</t>
  </si>
  <si>
    <t>LX_YW</t>
  </si>
  <si>
    <t>XM_JZS_GXZ_S2</t>
  </si>
  <si>
    <t>家族史_高血脂_上二代</t>
  </si>
  <si>
    <t>XM_JZS_GXY_S2</t>
  </si>
  <si>
    <t>家族史_高血压_上二代</t>
  </si>
  <si>
    <t>XM_JZS_GXB_S2</t>
  </si>
  <si>
    <t>家族史_冠心病_上二代</t>
  </si>
  <si>
    <t>XM_JZS_NXGYW_S2</t>
  </si>
  <si>
    <t>家族史_脑血管意外_上二代</t>
  </si>
  <si>
    <t>XM_JZS_TNB_S1</t>
  </si>
  <si>
    <t>家族史_糖尿病_上一代</t>
  </si>
  <si>
    <t>XM_JZS_GXZ_S1</t>
  </si>
  <si>
    <t>家族史_高血脂_上一代</t>
  </si>
  <si>
    <t>XM_JZS_GXY_S1</t>
  </si>
  <si>
    <t>家族史_高血压_上一代</t>
  </si>
  <si>
    <t>XM_JZS_GXB_S1</t>
  </si>
  <si>
    <t>家族史_冠心病_上一代</t>
  </si>
  <si>
    <t>XM_JZS_NXGYW_S1</t>
  </si>
  <si>
    <t>家族史_脑血管意外_上一代</t>
  </si>
  <si>
    <t>XM_JZS_TNB_T1</t>
  </si>
  <si>
    <t>家族史_糖尿病_同一代</t>
  </si>
  <si>
    <t>XM_JZS_GXZ_T1</t>
  </si>
  <si>
    <t>家族史_高血脂_同一代</t>
  </si>
  <si>
    <t>XM_JZS_GXY_T1</t>
  </si>
  <si>
    <t>家族史_高血压_同一代</t>
  </si>
  <si>
    <t>XM_JZS_GXB_T1</t>
  </si>
  <si>
    <t>家族史_冠心病_同一代</t>
  </si>
  <si>
    <t>XM_JZS_NXGYW_T1</t>
  </si>
  <si>
    <t>家族史_脑血管意外_同一代</t>
  </si>
  <si>
    <t>XM_JZS_TNB_X1</t>
  </si>
  <si>
    <t>家族史_糖尿病_下一代</t>
  </si>
  <si>
    <t>XM_JZS_GXZ_X1</t>
  </si>
  <si>
    <t>家族史_高血脂_下一代</t>
  </si>
  <si>
    <t>XM_JZS_GXY_X1</t>
  </si>
  <si>
    <t>家族史_高血压_下一代</t>
  </si>
  <si>
    <t>XM_JZS_GXB_X1</t>
  </si>
  <si>
    <t>家族史_冠心病_下一代</t>
  </si>
  <si>
    <t>XM_JZS_NXGYW_X1</t>
  </si>
  <si>
    <t>家族史_脑血管意外_下一代</t>
  </si>
  <si>
    <t>XM_JZS_TNB_X2</t>
  </si>
  <si>
    <t>家族史_糖尿病_下二代</t>
  </si>
  <si>
    <t>XM_JZS_GXZ_X2</t>
  </si>
  <si>
    <t>家族史_高血脂_下二代</t>
  </si>
  <si>
    <t>XM_JZS_GXY_X2</t>
  </si>
  <si>
    <t>家族史_高血压_下二代</t>
  </si>
  <si>
    <t>XM_JZS_GXB_X2</t>
  </si>
  <si>
    <t>家族史_冠心病_下二代</t>
  </si>
  <si>
    <t>XM_JZS_NXGYW_X2</t>
  </si>
  <si>
    <t>家族史_脑血管意外_下二代</t>
  </si>
  <si>
    <t>XM_JZS_S2</t>
  </si>
  <si>
    <t>LX_JZS</t>
  </si>
  <si>
    <t>XM_JZS_S1</t>
  </si>
  <si>
    <t>XM_JZS_T1</t>
  </si>
  <si>
    <t>家族史_糖尿病_同二代</t>
  </si>
  <si>
    <t>XM_JZS_X1</t>
  </si>
  <si>
    <t>XM_JZS_X2</t>
  </si>
  <si>
    <t>XM_TNB_PO</t>
  </si>
  <si>
    <t>配偶糖尿病情况</t>
  </si>
  <si>
    <t>XM_JZS_TNB_PO</t>
  </si>
  <si>
    <t>配偶家族糖尿病情况</t>
  </si>
  <si>
    <t>XM_XY</t>
  </si>
  <si>
    <t>血压mmHg</t>
  </si>
  <si>
    <t>XM_QCZZ</t>
  </si>
  <si>
    <t>起病时三多一少症状</t>
  </si>
  <si>
    <t>XM_ZGTZ</t>
  </si>
  <si>
    <t>最高体重（kg）</t>
  </si>
  <si>
    <t>身高（cm）</t>
  </si>
  <si>
    <t>XM_BMI</t>
  </si>
  <si>
    <t>BMI指数</t>
  </si>
  <si>
    <t>XM_MQTZ</t>
  </si>
  <si>
    <t>目前体重（kg）</t>
  </si>
  <si>
    <t>XM_MQYW</t>
  </si>
  <si>
    <t>目前腰围（cm）</t>
  </si>
  <si>
    <t>XM_MQTW</t>
  </si>
  <si>
    <t>目前臀围（cm）</t>
  </si>
  <si>
    <t>XM_XTJCPS</t>
  </si>
  <si>
    <t>血糖检测频次</t>
  </si>
  <si>
    <t>XM_TNB_ZDRQ</t>
  </si>
  <si>
    <t>糖尿病_诊断日期</t>
  </si>
  <si>
    <t>XM_TNBSWM_ZDRQ</t>
  </si>
  <si>
    <t>糖尿病视网膜病变_诊断日期</t>
  </si>
  <si>
    <t>XM_TNBSB_ZDRQ</t>
  </si>
  <si>
    <t>糖尿病肾病_诊断日期</t>
  </si>
  <si>
    <t>XM_SJBB_ZDRQ</t>
  </si>
  <si>
    <t>神经病变_诊断日期</t>
  </si>
  <si>
    <t>XM_PFBB_ZDRQ</t>
  </si>
  <si>
    <t>皮肤病变_诊断日期</t>
  </si>
  <si>
    <t>XM_GXB_ZDRQ</t>
  </si>
  <si>
    <t>冠心病_诊断日期</t>
  </si>
  <si>
    <t>XM_GXZ_ZDRQ</t>
  </si>
  <si>
    <t>高血脂_诊断日期</t>
  </si>
  <si>
    <t>XM_GXY_ZDRQ</t>
  </si>
  <si>
    <t>高血压_诊断日期</t>
  </si>
  <si>
    <t>XM_NXGBB_ZDRQ</t>
  </si>
  <si>
    <t>脑血管病变_诊断日期</t>
  </si>
  <si>
    <t>XM_FP_ZDRQ</t>
  </si>
  <si>
    <t>肥胖_诊断日期</t>
  </si>
  <si>
    <t>XM_JDMBB_ZDRQ</t>
  </si>
  <si>
    <t>颈动脉病变_诊断日期</t>
  </si>
  <si>
    <t>XM_SXZDM_ZDRQ</t>
  </si>
  <si>
    <t>双下肢动脉病变_诊断日期</t>
  </si>
  <si>
    <t>XM_ZFG_ZDRQ</t>
  </si>
  <si>
    <t>脂肪肝_诊断日期</t>
  </si>
  <si>
    <t>XM_DSZ_ZDRQ</t>
  </si>
  <si>
    <t>胆石症诊断日期</t>
  </si>
  <si>
    <t>XM_DNY_ZDRQ</t>
  </si>
  <si>
    <t>胆囊炎_诊断日期</t>
  </si>
  <si>
    <t>XM_GNSXZ_ZDRQ</t>
  </si>
  <si>
    <t>高尿酸血症_诊断日期</t>
  </si>
  <si>
    <t>XM_TNBZ_ZDRQ</t>
  </si>
  <si>
    <t>糖尿病足_诊断日期</t>
  </si>
  <si>
    <t>XM_ZWXGJB_ZDRQ</t>
  </si>
  <si>
    <t>周围血管疾病_诊断日期</t>
  </si>
  <si>
    <t>XM_JZX_ZDRQ</t>
  </si>
  <si>
    <t>甲状腺_诊断日期</t>
  </si>
  <si>
    <t>XM_TZSZD_ZDRQ</t>
  </si>
  <si>
    <t>酮症酸中毒_诊断日期</t>
  </si>
  <si>
    <t>XM_NT_ZDRQ</t>
  </si>
  <si>
    <t>尿酮_诊断日期</t>
  </si>
  <si>
    <t>XM_FZY_DXT</t>
  </si>
  <si>
    <t>治疗副作用_低血糖</t>
  </si>
  <si>
    <t>XM_FZY_TRZC</t>
  </si>
  <si>
    <t>治疗副作用_其他人支持</t>
  </si>
  <si>
    <t>XM_MQSYYW</t>
  </si>
  <si>
    <t>目前使用药物</t>
  </si>
  <si>
    <t>XM_CH2XT</t>
  </si>
  <si>
    <t>餐后2H血糖（mmol/L）</t>
  </si>
  <si>
    <t>XM_THXHDB</t>
  </si>
  <si>
    <t>糖化血红蛋白（%）</t>
  </si>
  <si>
    <t>XM_XJDGC</t>
  </si>
  <si>
    <t>血浆胆固醇</t>
  </si>
  <si>
    <t>XM_GYSZ</t>
  </si>
  <si>
    <t>甘油三酯</t>
  </si>
  <si>
    <t>XM_LDL_C</t>
  </si>
  <si>
    <t>LDL-C</t>
  </si>
  <si>
    <t>XM_HDL_C</t>
  </si>
  <si>
    <t>HDL-C</t>
  </si>
  <si>
    <t>XM_XJX</t>
  </si>
  <si>
    <t>血肌轩</t>
  </si>
  <si>
    <t>XM_NS</t>
  </si>
  <si>
    <t>尿素</t>
  </si>
  <si>
    <t>XM_NDB</t>
  </si>
  <si>
    <t>尿蛋白</t>
  </si>
  <si>
    <t>XM_XDT</t>
  </si>
  <si>
    <t>24H心电图</t>
  </si>
  <si>
    <t>XM_NNT</t>
  </si>
  <si>
    <t>脑钠钛</t>
  </si>
  <si>
    <t>XM_CT_30</t>
  </si>
  <si>
    <t>30分钟C肽</t>
  </si>
  <si>
    <t>XM_CT_120</t>
  </si>
  <si>
    <t>XM_XCSFSJ</t>
  </si>
  <si>
    <t>下次随访时间</t>
  </si>
  <si>
    <t>XM_SFSJ</t>
  </si>
  <si>
    <t>随访时间</t>
  </si>
  <si>
    <t>XM_SFFS</t>
  </si>
  <si>
    <t>XM_ZZ</t>
  </si>
  <si>
    <t>体重（kg）</t>
  </si>
  <si>
    <t>XM_YW</t>
  </si>
  <si>
    <t>腰围（cm）</t>
  </si>
  <si>
    <t>臀围（cm）</t>
  </si>
  <si>
    <t>BIM指数(kg/m3)</t>
  </si>
  <si>
    <t>日吸烟量（支）</t>
  </si>
  <si>
    <t>日饮酒量（两）</t>
  </si>
  <si>
    <t>XM_YDL_ZC</t>
  </si>
  <si>
    <t>运动_(周）</t>
  </si>
  <si>
    <t>XM_YDL_CF</t>
  </si>
  <si>
    <t>运动_分钟/次</t>
  </si>
  <si>
    <t>XM_YDL_ZS</t>
  </si>
  <si>
    <t>主食（克/天）</t>
  </si>
  <si>
    <t>XM_YDL_XLTZ</t>
  </si>
  <si>
    <t>XM_YDL_ZYXW</t>
  </si>
  <si>
    <t>糖化血红蛋白（%））</t>
  </si>
  <si>
    <t>XM_JCRQ</t>
  </si>
  <si>
    <t>检查日期</t>
  </si>
  <si>
    <t>XM_FYYCX</t>
  </si>
  <si>
    <t>XM_YWBLFY</t>
  </si>
  <si>
    <t>XM_YWBLFY_BZ</t>
  </si>
  <si>
    <t>药物不良反应_备注</t>
  </si>
  <si>
    <t>XM_DXTFY</t>
  </si>
  <si>
    <t>XM_CCSFFL</t>
  </si>
  <si>
    <t>此次随访分类</t>
  </si>
  <si>
    <t>用药情况</t>
  </si>
  <si>
    <t>XM_BZ</t>
  </si>
  <si>
    <t>XM_HSQZ</t>
  </si>
  <si>
    <t>管理护士签字</t>
  </si>
  <si>
    <t>XM_RQ_1</t>
  </si>
  <si>
    <t>日期_1</t>
  </si>
  <si>
    <t>XM_YS_1</t>
  </si>
  <si>
    <t>饮食_1</t>
  </si>
  <si>
    <t>XM_YD_1</t>
  </si>
  <si>
    <t>运动_1</t>
  </si>
  <si>
    <t>XM_ZS_1</t>
  </si>
  <si>
    <t>注射_1</t>
  </si>
  <si>
    <t>XM_JC_1</t>
  </si>
  <si>
    <t>监测_1</t>
  </si>
  <si>
    <t>XM_FY_1</t>
  </si>
  <si>
    <t>服药_1</t>
  </si>
  <si>
    <t>XM_DXT_1</t>
  </si>
  <si>
    <t>低血糖_1</t>
  </si>
  <si>
    <t>XM_BFZ_1</t>
  </si>
  <si>
    <t>并发症_1</t>
  </si>
  <si>
    <t>XM_MZ_1</t>
  </si>
  <si>
    <t>门诊_1</t>
  </si>
  <si>
    <t>XM_WX_1</t>
  </si>
  <si>
    <t>微信_1</t>
  </si>
  <si>
    <t>XM_DH_1</t>
  </si>
  <si>
    <t>电话_1</t>
  </si>
  <si>
    <t>XM_QT_1</t>
  </si>
  <si>
    <t>其他_1</t>
  </si>
  <si>
    <t>XM_PJ_1</t>
  </si>
  <si>
    <t>效果评价_1</t>
  </si>
  <si>
    <t>XM_HFSJ_1</t>
  </si>
  <si>
    <t>花费时间（分钟）_1</t>
  </si>
  <si>
    <t>XM_TP_1</t>
  </si>
  <si>
    <t>图片_1</t>
  </si>
  <si>
    <t>XM_HSQM_1</t>
  </si>
  <si>
    <t>管理护士签名_1</t>
  </si>
  <si>
    <t>XM_RQ_2</t>
  </si>
  <si>
    <t>管理护士签名_2</t>
  </si>
  <si>
    <t>管理护士签名_10</t>
  </si>
  <si>
    <t>XM_SFNR_1</t>
  </si>
  <si>
    <t>随访内容_1</t>
  </si>
  <si>
    <t>LX_SFNR</t>
  </si>
  <si>
    <t>XM_SFFS_1</t>
  </si>
  <si>
    <t>随访方式_1</t>
  </si>
  <si>
    <t>XM_SFNR_2</t>
  </si>
  <si>
    <t>XM_SFFS_2</t>
  </si>
  <si>
    <t>XM_TZ_1</t>
  </si>
  <si>
    <t>体重_1</t>
  </si>
  <si>
    <t>XM_SG_1</t>
  </si>
  <si>
    <t>身高_1</t>
  </si>
  <si>
    <t>XM_YW_1</t>
  </si>
  <si>
    <t>腰围_1</t>
  </si>
  <si>
    <t>XM_XY_1</t>
  </si>
  <si>
    <t>血压_1</t>
  </si>
  <si>
    <t>XM_KFXT_1</t>
  </si>
  <si>
    <t>空腹/餐后血糖_1</t>
  </si>
  <si>
    <t>XM_THXHDB_1</t>
  </si>
  <si>
    <t>糖化血红蛋白_1</t>
  </si>
  <si>
    <t>XM_NCG_1</t>
  </si>
  <si>
    <t>尿常规_1</t>
  </si>
  <si>
    <t>XM_ZDGC_1</t>
  </si>
  <si>
    <t>总胆固醇_1</t>
  </si>
  <si>
    <t>XM_GYSZ_1</t>
  </si>
  <si>
    <t>甘油三酯_1</t>
  </si>
  <si>
    <t>XM_LDL_C_1</t>
  </si>
  <si>
    <t>LDL-C_1</t>
  </si>
  <si>
    <t>XM_HDL_C_1</t>
  </si>
  <si>
    <t>HDL-C_1</t>
  </si>
  <si>
    <t>XM_NBDB_1</t>
  </si>
  <si>
    <t>尿白蛋白_1</t>
  </si>
  <si>
    <t>XM_NTT_1</t>
  </si>
  <si>
    <t>尿酮体_1</t>
  </si>
  <si>
    <t>XM_JG_1</t>
  </si>
  <si>
    <t>肌酐_1</t>
  </si>
  <si>
    <t>XM_XNSD_1</t>
  </si>
  <si>
    <t>血尿素氮_1</t>
  </si>
  <si>
    <t>XM_GGN_1</t>
  </si>
  <si>
    <t>肝功能_1</t>
  </si>
  <si>
    <t>XM_JZX_1</t>
  </si>
  <si>
    <t>促甲状腺激素_1</t>
  </si>
  <si>
    <t>XM_XDT_1</t>
  </si>
  <si>
    <t>心电图_1</t>
  </si>
  <si>
    <t>XM_SL_1</t>
  </si>
  <si>
    <t>视力及眼底_1</t>
  </si>
  <si>
    <t>XM_DMBD_1</t>
  </si>
  <si>
    <t>足背动脉搏动_1</t>
  </si>
  <si>
    <t>XM_SJB_1</t>
  </si>
  <si>
    <t>神经病变的相关检查_1</t>
  </si>
  <si>
    <t>XM_SFHS_1</t>
  </si>
  <si>
    <t>随访护士_1</t>
  </si>
  <si>
    <t>伤口评估表</t>
  </si>
  <si>
    <t>XM_JWCLS</t>
  </si>
  <si>
    <t>既往处理史</t>
  </si>
  <si>
    <t>XM_QSXJB</t>
  </si>
  <si>
    <t>LX_QSXJB</t>
  </si>
  <si>
    <t>XM_QSXJB_QT</t>
  </si>
  <si>
    <t>全身性疾病_其他</t>
  </si>
  <si>
    <t>XM_XHDB</t>
  </si>
  <si>
    <t>血红蛋白</t>
  </si>
  <si>
    <t>XM_XQBDB</t>
  </si>
  <si>
    <t>血清白蛋白</t>
  </si>
  <si>
    <t>XM_FBWPY</t>
  </si>
  <si>
    <t>分泌物培养</t>
  </si>
  <si>
    <t>XM_SKBW</t>
  </si>
  <si>
    <t>伤口部位</t>
  </si>
  <si>
    <t>XM_SKDX_C</t>
  </si>
  <si>
    <t>伤口大小（cm）_长</t>
  </si>
  <si>
    <t>XM_SKDX_K</t>
  </si>
  <si>
    <t>伤口大小（cm）_宽</t>
  </si>
  <si>
    <t>XM_SKDX_S</t>
  </si>
  <si>
    <t>伤口大小（cm）_深</t>
  </si>
  <si>
    <t>潜行</t>
  </si>
  <si>
    <t>XM_QX_DZ</t>
  </si>
  <si>
    <t>潜行_点至</t>
  </si>
  <si>
    <t>XM_DDD</t>
  </si>
  <si>
    <t>窦道（点）:</t>
  </si>
  <si>
    <t>XM_TDD</t>
  </si>
  <si>
    <t>痿管（点）:</t>
  </si>
  <si>
    <t>坏死（黑色）（%）</t>
  </si>
  <si>
    <t>XM_FR_HS</t>
  </si>
  <si>
    <t>腐肉（黄色）（%）</t>
  </si>
  <si>
    <t>XM_RY_HS</t>
  </si>
  <si>
    <t>肉芽（红色）（%）</t>
  </si>
  <si>
    <t>XM_SP_FS</t>
  </si>
  <si>
    <t>上皮（粉色）（%）</t>
  </si>
  <si>
    <t>XM_CMC_QT</t>
  </si>
  <si>
    <t>创面床_其他（%）</t>
  </si>
  <si>
    <t>XM_SYYS</t>
  </si>
  <si>
    <t>LX_SYYS</t>
  </si>
  <si>
    <t>XM_SYXZ</t>
  </si>
  <si>
    <t>渗液性状</t>
  </si>
  <si>
    <t>LX_SYXZ</t>
  </si>
  <si>
    <t>LX_SYL</t>
  </si>
  <si>
    <t>渗液量</t>
  </si>
  <si>
    <t>LX_QW</t>
  </si>
  <si>
    <t>气味</t>
  </si>
  <si>
    <t>LX_TT</t>
  </si>
  <si>
    <t>LX_ZWPFZZ</t>
  </si>
  <si>
    <t>周围皮肤组织</t>
  </si>
  <si>
    <t>XM_PFZZ_QT</t>
  </si>
  <si>
    <t>周围皮肤组织_其他</t>
  </si>
  <si>
    <t>XM_SKCL</t>
  </si>
  <si>
    <t>伤口处理措施</t>
  </si>
  <si>
    <t>XM_PFZK_WZX_BZ</t>
  </si>
  <si>
    <t>皮肤状况_完整性_备注</t>
  </si>
  <si>
    <t>XM_MZ</t>
  </si>
  <si>
    <t>XM_PGYJ</t>
  </si>
  <si>
    <t>LX_XZBLX</t>
  </si>
  <si>
    <t>XM_JZYCBS_GX</t>
  </si>
  <si>
    <t>家族遗传病史_关系</t>
  </si>
  <si>
    <t>XM_KNJG</t>
  </si>
  <si>
    <t>可能结果</t>
  </si>
  <si>
    <t>XM_DXYZ</t>
  </si>
  <si>
    <t>XM_XLSC</t>
  </si>
  <si>
    <t>LX_PRFS</t>
  </si>
  <si>
    <r>
      <rPr>
        <sz val="11"/>
        <color indexed="8"/>
        <rFont val="宋体"/>
        <family val="3"/>
        <charset val="134"/>
      </rPr>
      <t>XM_</t>
    </r>
    <r>
      <rPr>
        <sz val="11"/>
        <color indexed="8"/>
        <rFont val="宋体"/>
        <family val="3"/>
        <charset val="134"/>
      </rPr>
      <t>HS_HS</t>
    </r>
  </si>
  <si>
    <r>
      <rPr>
        <sz val="11"/>
        <color indexed="8"/>
        <rFont val="宋体"/>
        <family val="3"/>
        <charset val="134"/>
      </rPr>
      <t>XM_TW</t>
    </r>
    <r>
      <rPr>
        <sz val="11"/>
        <color indexed="8"/>
        <rFont val="宋体"/>
        <family val="3"/>
        <charset val="134"/>
      </rPr>
      <t>D</t>
    </r>
  </si>
  <si>
    <r>
      <rPr>
        <sz val="11"/>
        <color indexed="8"/>
        <rFont val="宋体"/>
        <family val="3"/>
        <charset val="134"/>
      </rPr>
      <t>LX_</t>
    </r>
    <r>
      <rPr>
        <sz val="11"/>
        <color indexed="8"/>
        <rFont val="宋体"/>
        <family val="3"/>
        <charset val="134"/>
      </rPr>
      <t>MZ</t>
    </r>
  </si>
  <si>
    <r>
      <rPr>
        <sz val="11"/>
        <color indexed="8"/>
        <rFont val="宋体"/>
        <family val="3"/>
        <charset val="134"/>
      </rPr>
      <t>F</t>
    </r>
    <r>
      <rPr>
        <sz val="11"/>
        <color indexed="8"/>
        <rFont val="宋体"/>
        <family val="3"/>
        <charset val="134"/>
      </rPr>
      <t>ILE</t>
    </r>
  </si>
  <si>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family val="3"/>
        <charset val="134"/>
      </rPr>
      <t>ABLE</t>
    </r>
  </si>
  <si>
    <r>
      <rPr>
        <sz val="11"/>
        <color indexed="8"/>
        <rFont val="宋体"/>
        <family val="3"/>
        <charset val="134"/>
      </rPr>
      <t>XM_SZ</t>
    </r>
    <r>
      <rPr>
        <sz val="11"/>
        <color indexed="8"/>
        <rFont val="宋体"/>
        <family val="3"/>
        <charset val="134"/>
      </rPr>
      <t>ZD1</t>
    </r>
  </si>
  <si>
    <r>
      <rPr>
        <sz val="11"/>
        <color indexed="8"/>
        <rFont val="宋体"/>
        <family val="3"/>
        <charset val="134"/>
      </rPr>
      <t>XM_</t>
    </r>
    <r>
      <rPr>
        <sz val="11"/>
        <color indexed="8"/>
        <rFont val="宋体"/>
        <family val="3"/>
        <charset val="134"/>
      </rPr>
      <t>ZSGN</t>
    </r>
  </si>
  <si>
    <r>
      <rPr>
        <sz val="11"/>
        <color indexed="8"/>
        <rFont val="宋体"/>
        <family val="3"/>
        <charset val="134"/>
      </rPr>
      <t>XM</t>
    </r>
    <r>
      <rPr>
        <sz val="11"/>
        <color indexed="8"/>
        <rFont val="宋体"/>
        <family val="3"/>
        <charset val="134"/>
      </rPr>
      <t>_DXYZ</t>
    </r>
    <r>
      <rPr>
        <sz val="11"/>
        <color indexed="8"/>
        <rFont val="宋体"/>
        <family val="3"/>
        <charset val="134"/>
      </rPr>
      <t>_BX</t>
    </r>
  </si>
  <si>
    <r>
      <rPr>
        <sz val="11"/>
        <color indexed="8"/>
        <rFont val="宋体"/>
        <family val="3"/>
        <charset val="134"/>
      </rPr>
      <t>XM_</t>
    </r>
    <r>
      <rPr>
        <sz val="11"/>
        <color indexed="8"/>
        <rFont val="宋体"/>
        <family val="3"/>
        <charset val="134"/>
      </rPr>
      <t>DYXZ_CLCS</t>
    </r>
  </si>
  <si>
    <r>
      <rPr>
        <sz val="11"/>
        <color indexed="8"/>
        <rFont val="宋体"/>
        <family val="3"/>
        <charset val="134"/>
      </rPr>
      <t>XM</t>
    </r>
    <r>
      <rPr>
        <sz val="11"/>
        <color indexed="8"/>
        <rFont val="宋体"/>
        <family val="3"/>
        <charset val="134"/>
      </rPr>
      <t>_XLSC</t>
    </r>
    <r>
      <rPr>
        <sz val="11"/>
        <color indexed="8"/>
        <rFont val="宋体"/>
        <family val="3"/>
        <charset val="134"/>
      </rPr>
      <t>_LX</t>
    </r>
  </si>
  <si>
    <r>
      <rPr>
        <sz val="11"/>
        <color indexed="8"/>
        <rFont val="宋体"/>
        <family val="3"/>
        <charset val="134"/>
      </rPr>
      <t>XM_</t>
    </r>
    <r>
      <rPr>
        <sz val="11"/>
        <color indexed="8"/>
        <rFont val="宋体"/>
        <family val="3"/>
        <charset val="134"/>
      </rPr>
      <t>XLSC</t>
    </r>
    <r>
      <rPr>
        <sz val="11"/>
        <color indexed="8"/>
        <rFont val="宋体"/>
        <family val="3"/>
        <charset val="134"/>
      </rPr>
      <t>_CLCS</t>
    </r>
  </si>
  <si>
    <r>
      <rPr>
        <sz val="11"/>
        <color indexed="8"/>
        <rFont val="宋体"/>
        <family val="3"/>
        <charset val="134"/>
      </rPr>
      <t>XM_</t>
    </r>
    <r>
      <rPr>
        <sz val="11"/>
        <color indexed="8"/>
        <rFont val="宋体"/>
        <family val="3"/>
        <charset val="134"/>
      </rPr>
      <t>ZYZD</t>
    </r>
  </si>
  <si>
    <r>
      <rPr>
        <sz val="11"/>
        <color indexed="8"/>
        <rFont val="宋体"/>
        <family val="3"/>
        <charset val="134"/>
      </rPr>
      <t>XM_</t>
    </r>
    <r>
      <rPr>
        <sz val="11"/>
        <color indexed="8"/>
        <rFont val="宋体"/>
        <family val="3"/>
        <charset val="134"/>
      </rPr>
      <t>YSSRQK</t>
    </r>
  </si>
  <si>
    <r>
      <rPr>
        <sz val="11"/>
        <color indexed="8"/>
        <rFont val="宋体"/>
        <family val="3"/>
        <charset val="134"/>
      </rPr>
      <t>XM_</t>
    </r>
    <r>
      <rPr>
        <sz val="11"/>
        <color indexed="8"/>
        <rFont val="宋体"/>
        <family val="3"/>
        <charset val="134"/>
      </rPr>
      <t>SYSJCZB</t>
    </r>
  </si>
  <si>
    <r>
      <rPr>
        <sz val="11"/>
        <color indexed="8"/>
        <rFont val="宋体"/>
        <family val="3"/>
        <charset val="134"/>
      </rPr>
      <t>XM_HXY</t>
    </r>
    <r>
      <rPr>
        <sz val="11"/>
        <color indexed="8"/>
        <rFont val="宋体"/>
        <family val="3"/>
        <charset val="134"/>
      </rPr>
      <t>_YC</t>
    </r>
  </si>
  <si>
    <r>
      <rPr>
        <sz val="11"/>
        <color indexed="8"/>
        <rFont val="宋体"/>
        <family val="3"/>
        <charset val="134"/>
      </rPr>
      <t>XM_W</t>
    </r>
    <r>
      <rPr>
        <sz val="11"/>
        <color indexed="8"/>
        <rFont val="宋体"/>
        <family val="3"/>
        <charset val="134"/>
      </rPr>
      <t>AN</t>
    </r>
    <r>
      <rPr>
        <sz val="11"/>
        <color indexed="8"/>
        <rFont val="宋体"/>
        <family val="3"/>
        <charset val="134"/>
      </rPr>
      <t>C</t>
    </r>
  </si>
  <si>
    <t>Braden压疮评估量表</t>
    <phoneticPr fontId="37" type="noConversion"/>
  </si>
  <si>
    <t>慢性伤口护理记录单</t>
    <phoneticPr fontId="3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</si>
</sst>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1"/>
      <color indexed="9"/>
      <name val="黑体"/>
      <family val="3"/>
      <charset val="134"/>
    </font>
    <font>
      <sz val="11"/>
      <color indexed="8"/>
      <name val="黑体"/>
      <family val="3"/>
      <charset val="134"/>
    </font>
    <font>
      <u/>
      <sz val="11"/>
      <color indexed="2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ＭＳ Ｐゴシック"/>
      <family val="2"/>
    </font>
    <font>
      <sz val="11"/>
      <color indexed="8"/>
      <name val="宋体"/>
      <family val="3"/>
      <charset val="134"/>
      <scheme val="major"/>
    </font>
    <font>
      <sz val="11"/>
      <color rgb="FF0070C0"/>
      <name val="宋体"/>
      <family val="3"/>
      <charset val="134"/>
      <scheme val="major"/>
    </font>
    <font>
      <sz val="11"/>
      <color rgb="FF0070C0"/>
      <name val="宋体"/>
      <family val="3"/>
      <charset val="134"/>
    </font>
    <font>
      <sz val="11"/>
      <color rgb="FF0070C0"/>
      <name val="宋体"/>
      <family val="3"/>
      <charset val="134"/>
      <scheme val="minor"/>
    </font>
    <font>
      <strike/>
      <sz val="11"/>
      <color rgb="FF0070C0"/>
      <name val="黑体"/>
      <family val="3"/>
      <charset val="134"/>
    </font>
    <font>
      <strike/>
      <sz val="11"/>
      <color rgb="FF0070C0"/>
      <name val="宋体"/>
      <family val="3"/>
      <charset val="134"/>
      <scheme val="major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name val="ＭＳ Ｐゴシック"/>
      <family val="2"/>
      <charset val="128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name val="ＭＳ Ｐゴシック"/>
      <family val="3"/>
      <charset val="128"/>
    </font>
    <font>
      <u/>
      <sz val="12"/>
      <color theme="10"/>
      <name val="宋体"/>
      <family val="2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aj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rgb="FF333333"/>
      <name val="宋体"/>
      <family val="3"/>
      <charset val="134"/>
    </font>
    <font>
      <sz val="10"/>
      <color rgb="FF333333"/>
      <name val="Arial"/>
      <family val="2"/>
    </font>
    <font>
      <sz val="9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7" tint="-0.249977111117893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57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57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1" fillId="0" borderId="0"/>
    <xf numFmtId="0" fontId="22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0"/>
    <xf numFmtId="0" fontId="24" fillId="0" borderId="0">
      <alignment vertical="center"/>
    </xf>
    <xf numFmtId="0" fontId="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center"/>
    </xf>
    <xf numFmtId="0" fontId="23" fillId="0" borderId="0"/>
    <xf numFmtId="0" fontId="23" fillId="0" borderId="0"/>
    <xf numFmtId="0" fontId="2" fillId="0" borderId="0">
      <alignment vertical="center"/>
    </xf>
  </cellStyleXfs>
  <cellXfs count="205">
    <xf numFmtId="0" fontId="0" fillId="0" borderId="0" xfId="0">
      <alignment vertical="center"/>
    </xf>
    <xf numFmtId="0" fontId="2" fillId="0" borderId="0" xfId="2">
      <alignment vertical="center"/>
    </xf>
    <xf numFmtId="0" fontId="5" fillId="0" borderId="0" xfId="1" applyFont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3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9" fillId="0" borderId="3" xfId="2" applyFont="1" applyBorder="1" applyAlignment="1">
      <alignment horizontal="left" vertical="center"/>
    </xf>
    <xf numFmtId="0" fontId="9" fillId="0" borderId="3" xfId="2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 wrapText="1"/>
    </xf>
    <xf numFmtId="0" fontId="9" fillId="0" borderId="3" xfId="2" applyFont="1" applyBorder="1" applyAlignment="1">
      <alignment horizontal="left" vertical="center" wrapText="1"/>
    </xf>
    <xf numFmtId="0" fontId="10" fillId="0" borderId="3" xfId="0" applyFont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2" applyFont="1" applyAlignment="1">
      <alignment horizontal="left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3" fillId="0" borderId="0" xfId="2" applyFont="1" applyAlignment="1">
      <alignment horizontal="left" vertical="center" wrapText="1"/>
    </xf>
    <xf numFmtId="0" fontId="12" fillId="0" borderId="3" xfId="0" applyFont="1" applyBorder="1">
      <alignment vertical="center"/>
    </xf>
    <xf numFmtId="0" fontId="12" fillId="0" borderId="3" xfId="0" applyFont="1" applyBorder="1" applyAlignment="1">
      <alignment vertical="center" wrapText="1"/>
    </xf>
    <xf numFmtId="0" fontId="8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5" fillId="0" borderId="3" xfId="0" applyFont="1" applyBorder="1" applyAlignment="1">
      <alignment horizontal="left" vertical="center" wrapText="1"/>
    </xf>
    <xf numFmtId="0" fontId="19" fillId="0" borderId="3" xfId="2" applyFont="1" applyBorder="1" applyAlignment="1">
      <alignment horizontal="center" vertical="center"/>
    </xf>
    <xf numFmtId="0" fontId="20" fillId="4" borderId="3" xfId="2" applyFont="1" applyFill="1" applyBorder="1" applyAlignment="1">
      <alignment horizontal="center" vertical="center"/>
    </xf>
    <xf numFmtId="14" fontId="20" fillId="4" borderId="3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 vertical="center"/>
    </xf>
    <xf numFmtId="14" fontId="2" fillId="0" borderId="0" xfId="2" applyNumberFormat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3" xfId="2" applyFont="1" applyBorder="1">
      <alignment vertical="center"/>
    </xf>
    <xf numFmtId="0" fontId="8" fillId="0" borderId="3" xfId="2" applyFont="1" applyBorder="1" applyAlignment="1">
      <alignment vertical="center" wrapText="1"/>
    </xf>
    <xf numFmtId="0" fontId="8" fillId="0" borderId="0" xfId="2" applyFont="1">
      <alignment vertical="center"/>
    </xf>
    <xf numFmtId="0" fontId="8" fillId="0" borderId="0" xfId="0" applyFont="1" applyFill="1">
      <alignment vertical="center"/>
    </xf>
    <xf numFmtId="0" fontId="13" fillId="0" borderId="3" xfId="2" applyFont="1" applyBorder="1" applyAlignment="1">
      <alignment horizontal="left" vertical="center"/>
    </xf>
    <xf numFmtId="0" fontId="13" fillId="0" borderId="3" xfId="2" applyFont="1" applyBorder="1" applyAlignment="1">
      <alignment horizontal="left" vertical="center" wrapText="1"/>
    </xf>
    <xf numFmtId="0" fontId="13" fillId="0" borderId="3" xfId="2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2" xfId="2" applyFont="1" applyBorder="1" applyAlignment="1">
      <alignment vertical="center" wrapText="1"/>
    </xf>
    <xf numFmtId="0" fontId="13" fillId="0" borderId="0" xfId="2" applyFont="1" applyAlignment="1">
      <alignment horizontal="center" vertical="center"/>
    </xf>
    <xf numFmtId="0" fontId="13" fillId="0" borderId="3" xfId="2" applyFont="1" applyBorder="1" applyAlignment="1">
      <alignment vertical="center" wrapText="1"/>
    </xf>
    <xf numFmtId="0" fontId="13" fillId="0" borderId="4" xfId="2" applyFont="1" applyBorder="1" applyAlignment="1">
      <alignment vertical="center" wrapText="1"/>
    </xf>
    <xf numFmtId="0" fontId="14" fillId="0" borderId="3" xfId="2" applyFont="1" applyBorder="1" applyAlignment="1">
      <alignment vertical="center" wrapText="1"/>
    </xf>
    <xf numFmtId="0" fontId="17" fillId="0" borderId="0" xfId="2" applyFont="1" applyAlignment="1">
      <alignment horizontal="center" vertical="center"/>
    </xf>
    <xf numFmtId="0" fontId="6" fillId="0" borderId="3" xfId="1" applyBorder="1" applyAlignment="1" applyProtection="1">
      <alignment vertical="center"/>
    </xf>
    <xf numFmtId="14" fontId="8" fillId="0" borderId="3" xfId="2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12" fillId="5" borderId="3" xfId="0" applyFont="1" applyFill="1" applyBorder="1">
      <alignment vertical="center"/>
    </xf>
    <xf numFmtId="0" fontId="12" fillId="5" borderId="3" xfId="0" applyFont="1" applyFill="1" applyBorder="1" applyAlignment="1">
      <alignment vertical="center" wrapText="1"/>
    </xf>
    <xf numFmtId="0" fontId="12" fillId="5" borderId="0" xfId="0" applyFont="1" applyFill="1">
      <alignment vertical="center"/>
    </xf>
    <xf numFmtId="0" fontId="12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 textRotation="255"/>
    </xf>
    <xf numFmtId="0" fontId="8" fillId="5" borderId="3" xfId="0" applyFont="1" applyFill="1" applyBorder="1" applyAlignment="1">
      <alignment horizontal="center" vertical="center" textRotation="255"/>
    </xf>
    <xf numFmtId="0" fontId="32" fillId="0" borderId="0" xfId="0" applyFont="1">
      <alignment vertical="center"/>
    </xf>
    <xf numFmtId="0" fontId="32" fillId="0" borderId="3" xfId="0" applyFont="1" applyBorder="1">
      <alignment vertical="center"/>
    </xf>
    <xf numFmtId="0" fontId="32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/>
    </xf>
    <xf numFmtId="0" fontId="32" fillId="5" borderId="0" xfId="0" applyFont="1" applyFill="1">
      <alignment vertical="center"/>
    </xf>
    <xf numFmtId="0" fontId="32" fillId="5" borderId="3" xfId="0" applyFont="1" applyFill="1" applyBorder="1">
      <alignment vertical="center"/>
    </xf>
    <xf numFmtId="0" fontId="32" fillId="5" borderId="3" xfId="0" applyFont="1" applyFill="1" applyBorder="1" applyAlignment="1">
      <alignment vertical="center" wrapText="1"/>
    </xf>
    <xf numFmtId="0" fontId="32" fillId="5" borderId="3" xfId="0" applyFont="1" applyFill="1" applyBorder="1" applyAlignment="1">
      <alignment horizontal="center" vertical="center"/>
    </xf>
    <xf numFmtId="0" fontId="33" fillId="0" borderId="3" xfId="0" applyFont="1" applyBorder="1">
      <alignment vertical="center"/>
    </xf>
    <xf numFmtId="0" fontId="33" fillId="0" borderId="3" xfId="0" applyFont="1" applyBorder="1" applyAlignment="1">
      <alignment vertical="center" wrapText="1"/>
    </xf>
    <xf numFmtId="0" fontId="33" fillId="0" borderId="3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" fillId="0" borderId="0" xfId="0" applyFont="1">
      <alignment vertical="center"/>
    </xf>
    <xf numFmtId="0" fontId="0" fillId="0" borderId="3" xfId="0" applyBorder="1">
      <alignment vertical="center"/>
    </xf>
    <xf numFmtId="0" fontId="2" fillId="0" borderId="3" xfId="0" applyFont="1" applyBorder="1" applyAlignment="1">
      <alignment vertical="center" wrapText="1"/>
    </xf>
    <xf numFmtId="0" fontId="12" fillId="5" borderId="3" xfId="0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2" fillId="5" borderId="3" xfId="0" applyFont="1" applyFill="1" applyBorder="1" applyAlignment="1">
      <alignment horizontal="left" vertical="center"/>
    </xf>
    <xf numFmtId="0" fontId="0" fillId="0" borderId="3" xfId="2" applyNumberFormat="1" applyFont="1" applyFill="1" applyBorder="1" applyAlignment="1">
      <alignment horizontal="left" vertical="center"/>
    </xf>
    <xf numFmtId="0" fontId="2" fillId="0" borderId="3" xfId="2" applyNumberFormat="1" applyFont="1" applyFill="1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3" xfId="0" quotePrefix="1" applyFont="1" applyBorder="1">
      <alignment vertical="center"/>
    </xf>
    <xf numFmtId="0" fontId="8" fillId="0" borderId="3" xfId="0" applyNumberFormat="1" applyFont="1" applyFill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/>
    </xf>
    <xf numFmtId="0" fontId="12" fillId="7" borderId="3" xfId="0" applyFont="1" applyFill="1" applyBorder="1">
      <alignment vertical="center"/>
    </xf>
    <xf numFmtId="0" fontId="2" fillId="7" borderId="3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3" fillId="7" borderId="3" xfId="0" applyFont="1" applyFill="1" applyBorder="1" applyAlignment="1">
      <alignment horizontal="left" vertical="center"/>
    </xf>
    <xf numFmtId="14" fontId="12" fillId="0" borderId="3" xfId="0" applyNumberFormat="1" applyFont="1" applyBorder="1">
      <alignment vertical="center"/>
    </xf>
    <xf numFmtId="0" fontId="12" fillId="0" borderId="3" xfId="0" applyFont="1" applyBorder="1" applyAlignment="1">
      <alignment horizontal="left" vertical="top"/>
    </xf>
    <xf numFmtId="0" fontId="8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8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left" vertical="center"/>
    </xf>
    <xf numFmtId="0" fontId="0" fillId="0" borderId="3" xfId="2" applyFont="1" applyBorder="1" applyAlignment="1">
      <alignment horizontal="left" vertical="center"/>
    </xf>
    <xf numFmtId="0" fontId="0" fillId="0" borderId="3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center"/>
    </xf>
    <xf numFmtId="0" fontId="2" fillId="0" borderId="3" xfId="2" applyFont="1" applyBorder="1" applyAlignment="1">
      <alignment horizontal="left" vertical="center"/>
    </xf>
    <xf numFmtId="0" fontId="12" fillId="0" borderId="3" xfId="0" applyFont="1" applyBorder="1" applyAlignment="1">
      <alignment horizontal="left" vertical="top" wrapText="1"/>
    </xf>
    <xf numFmtId="0" fontId="32" fillId="5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2" fillId="5" borderId="3" xfId="0" applyFont="1" applyFill="1" applyBorder="1" applyAlignment="1">
      <alignment horizontal="left" vertical="top" wrapText="1"/>
    </xf>
    <xf numFmtId="0" fontId="4" fillId="0" borderId="0" xfId="2" applyFont="1" applyAlignment="1">
      <alignment horizontal="center" vertical="center"/>
    </xf>
    <xf numFmtId="0" fontId="4" fillId="3" borderId="3" xfId="2" applyFont="1" applyFill="1" applyBorder="1" applyAlignment="1">
      <alignment horizontal="center" vertical="center"/>
    </xf>
    <xf numFmtId="0" fontId="3" fillId="6" borderId="3" xfId="2" applyFont="1" applyFill="1" applyBorder="1" applyAlignment="1">
      <alignment horizontal="center" vertical="center"/>
    </xf>
    <xf numFmtId="0" fontId="32" fillId="0" borderId="0" xfId="2" applyFont="1">
      <alignment vertical="center"/>
    </xf>
    <xf numFmtId="0" fontId="32" fillId="0" borderId="3" xfId="2" applyFont="1" applyBorder="1">
      <alignment vertical="center"/>
    </xf>
    <xf numFmtId="0" fontId="32" fillId="5" borderId="3" xfId="2" applyFont="1" applyFill="1" applyBorder="1" applyAlignment="1">
      <alignment vertical="center" wrapText="1"/>
    </xf>
    <xf numFmtId="0" fontId="12" fillId="0" borderId="3" xfId="2" applyFont="1" applyBorder="1" applyAlignment="1">
      <alignment horizontal="left" vertical="center"/>
    </xf>
    <xf numFmtId="0" fontId="32" fillId="5" borderId="3" xfId="2" applyFont="1" applyFill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12" fillId="0" borderId="0" xfId="2" applyFont="1">
      <alignment vertical="center"/>
    </xf>
    <xf numFmtId="0" fontId="12" fillId="0" borderId="3" xfId="2" applyFont="1" applyBorder="1">
      <alignment vertical="center"/>
    </xf>
    <xf numFmtId="0" fontId="12" fillId="0" borderId="3" xfId="2" applyFont="1" applyBorder="1" applyAlignment="1">
      <alignment vertical="center" wrapText="1"/>
    </xf>
    <xf numFmtId="0" fontId="32" fillId="0" borderId="3" xfId="2" applyFont="1" applyBorder="1" applyAlignment="1">
      <alignment vertical="center" wrapText="1"/>
    </xf>
    <xf numFmtId="0" fontId="32" fillId="0" borderId="3" xfId="2" applyFont="1" applyBorder="1" applyAlignment="1">
      <alignment horizontal="left" vertical="center"/>
    </xf>
    <xf numFmtId="0" fontId="33" fillId="0" borderId="3" xfId="2" applyFont="1" applyBorder="1">
      <alignment vertical="center"/>
    </xf>
    <xf numFmtId="0" fontId="33" fillId="0" borderId="3" xfId="2" applyFont="1" applyBorder="1" applyAlignment="1">
      <alignment vertical="center" wrapText="1"/>
    </xf>
    <xf numFmtId="0" fontId="33" fillId="0" borderId="3" xfId="2" applyFont="1" applyBorder="1" applyAlignment="1">
      <alignment horizontal="left" vertical="center"/>
    </xf>
    <xf numFmtId="0" fontId="33" fillId="0" borderId="3" xfId="2" applyFont="1" applyBorder="1" applyAlignment="1">
      <alignment horizontal="center" vertical="center"/>
    </xf>
    <xf numFmtId="0" fontId="13" fillId="0" borderId="0" xfId="2" applyFont="1">
      <alignment vertical="center"/>
    </xf>
    <xf numFmtId="0" fontId="12" fillId="5" borderId="3" xfId="2" applyFont="1" applyFill="1" applyBorder="1" applyAlignment="1">
      <alignment vertical="center" wrapText="1"/>
    </xf>
    <xf numFmtId="0" fontId="2" fillId="0" borderId="3" xfId="2" applyFont="1" applyBorder="1">
      <alignment vertical="center"/>
    </xf>
    <xf numFmtId="0" fontId="2" fillId="0" borderId="3" xfId="2" applyBorder="1">
      <alignment vertical="center"/>
    </xf>
    <xf numFmtId="0" fontId="2" fillId="0" borderId="3" xfId="2" quotePrefix="1" applyFont="1" applyBorder="1">
      <alignment vertical="center"/>
    </xf>
    <xf numFmtId="0" fontId="2" fillId="0" borderId="3" xfId="2" applyFont="1" applyBorder="1" applyAlignment="1">
      <alignment vertical="center" wrapText="1"/>
    </xf>
    <xf numFmtId="0" fontId="33" fillId="0" borderId="0" xfId="2" applyFont="1">
      <alignment vertical="center"/>
    </xf>
    <xf numFmtId="0" fontId="36" fillId="0" borderId="3" xfId="2" applyFont="1" applyBorder="1">
      <alignment vertical="center"/>
    </xf>
    <xf numFmtId="0" fontId="36" fillId="0" borderId="3" xfId="2" applyFont="1" applyBorder="1" applyAlignment="1">
      <alignment vertical="center" wrapText="1"/>
    </xf>
    <xf numFmtId="0" fontId="8" fillId="0" borderId="3" xfId="2" applyNumberFormat="1" applyFont="1" applyFill="1" applyBorder="1" applyAlignment="1">
      <alignment horizontal="left" vertical="center" wrapText="1"/>
    </xf>
    <xf numFmtId="0" fontId="2" fillId="0" borderId="3" xfId="2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32" fillId="0" borderId="3" xfId="0" applyFont="1" applyBorder="1" applyAlignment="1">
      <alignment vertical="center"/>
    </xf>
    <xf numFmtId="0" fontId="33" fillId="0" borderId="3" xfId="0" applyFont="1" applyBorder="1" applyAlignment="1">
      <alignment vertical="center"/>
    </xf>
    <xf numFmtId="0" fontId="13" fillId="0" borderId="0" xfId="0" applyFont="1">
      <alignment vertical="center"/>
    </xf>
    <xf numFmtId="0" fontId="2" fillId="0" borderId="3" xfId="0" applyFont="1" applyBorder="1" applyAlignment="1">
      <alignment vertical="center"/>
    </xf>
    <xf numFmtId="22" fontId="12" fillId="0" borderId="3" xfId="0" applyNumberFormat="1" applyFont="1" applyBorder="1">
      <alignment vertical="center"/>
    </xf>
    <xf numFmtId="22" fontId="0" fillId="0" borderId="3" xfId="0" applyNumberFormat="1" applyBorder="1">
      <alignment vertical="center"/>
    </xf>
    <xf numFmtId="0" fontId="0" fillId="0" borderId="3" xfId="0" applyBorder="1" applyAlignment="1">
      <alignment vertical="center"/>
    </xf>
    <xf numFmtId="0" fontId="2" fillId="0" borderId="3" xfId="2" applyFont="1" applyBorder="1" applyAlignment="1">
      <alignment vertical="center"/>
    </xf>
    <xf numFmtId="0" fontId="18" fillId="5" borderId="0" xfId="0" applyFont="1" applyFill="1">
      <alignment vertical="center"/>
    </xf>
    <xf numFmtId="0" fontId="2" fillId="0" borderId="3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12" fillId="0" borderId="3" xfId="2" applyFont="1" applyBorder="1" applyAlignment="1">
      <alignment vertical="center"/>
    </xf>
    <xf numFmtId="20" fontId="2" fillId="0" borderId="3" xfId="2" applyNumberFormat="1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0" fillId="0" borderId="3" xfId="0" applyFont="1" applyBorder="1">
      <alignment vertical="center"/>
    </xf>
    <xf numFmtId="0" fontId="39" fillId="0" borderId="3" xfId="0" applyFont="1" applyBorder="1">
      <alignment vertical="center"/>
    </xf>
    <xf numFmtId="0" fontId="0" fillId="0" borderId="3" xfId="0" applyBorder="1" applyAlignment="1">
      <alignment vertical="center" wrapText="1"/>
    </xf>
    <xf numFmtId="0" fontId="18" fillId="0" borderId="3" xfId="0" applyFont="1" applyBorder="1">
      <alignment vertical="center"/>
    </xf>
    <xf numFmtId="0" fontId="18" fillId="0" borderId="3" xfId="0" applyFont="1" applyBorder="1" applyAlignment="1">
      <alignment horizontal="left" vertical="center"/>
    </xf>
    <xf numFmtId="0" fontId="18" fillId="0" borderId="0" xfId="0" applyFont="1">
      <alignment vertical="center"/>
    </xf>
    <xf numFmtId="0" fontId="8" fillId="5" borderId="3" xfId="0" applyFont="1" applyFill="1" applyBorder="1">
      <alignment vertical="center"/>
    </xf>
    <xf numFmtId="0" fontId="8" fillId="5" borderId="3" xfId="0" applyFont="1" applyFill="1" applyBorder="1" applyAlignment="1">
      <alignment horizontal="left" vertical="top"/>
    </xf>
    <xf numFmtId="0" fontId="8" fillId="5" borderId="3" xfId="0" applyFont="1" applyFill="1" applyBorder="1" applyAlignment="1">
      <alignment horizontal="left" vertical="center"/>
    </xf>
    <xf numFmtId="14" fontId="32" fillId="5" borderId="3" xfId="0" applyNumberFormat="1" applyFont="1" applyFill="1" applyBorder="1">
      <alignment vertical="center"/>
    </xf>
    <xf numFmtId="0" fontId="8" fillId="5" borderId="0" xfId="0" applyFont="1" applyFill="1">
      <alignment vertical="center"/>
    </xf>
    <xf numFmtId="0" fontId="2" fillId="0" borderId="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vertical="center"/>
    </xf>
    <xf numFmtId="20" fontId="32" fillId="5" borderId="3" xfId="2" applyNumberFormat="1" applyFont="1" applyFill="1" applyBorder="1" applyAlignment="1">
      <alignment vertical="center" wrapText="1"/>
    </xf>
    <xf numFmtId="0" fontId="2" fillId="0" borderId="3" xfId="0" quotePrefix="1" applyFont="1" applyBorder="1" applyAlignment="1">
      <alignment horizontal="left" vertical="center"/>
    </xf>
    <xf numFmtId="0" fontId="36" fillId="0" borderId="3" xfId="0" applyFont="1" applyBorder="1">
      <alignment vertical="center"/>
    </xf>
    <xf numFmtId="0" fontId="42" fillId="0" borderId="3" xfId="0" applyFont="1" applyBorder="1">
      <alignment vertical="center"/>
    </xf>
    <xf numFmtId="0" fontId="42" fillId="0" borderId="3" xfId="0" applyFont="1" applyBorder="1" applyAlignment="1">
      <alignment horizontal="left" vertical="center"/>
    </xf>
    <xf numFmtId="0" fontId="42" fillId="0" borderId="0" xfId="0" applyFont="1">
      <alignment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textRotation="255" wrapText="1"/>
    </xf>
    <xf numFmtId="0" fontId="8" fillId="5" borderId="8" xfId="0" applyFont="1" applyFill="1" applyBorder="1" applyAlignment="1">
      <alignment horizontal="center" vertical="center" textRotation="255"/>
    </xf>
    <xf numFmtId="0" fontId="8" fillId="5" borderId="9" xfId="0" applyFont="1" applyFill="1" applyBorder="1" applyAlignment="1">
      <alignment horizontal="center" vertical="center" textRotation="255"/>
    </xf>
    <xf numFmtId="0" fontId="8" fillId="5" borderId="10" xfId="0" applyFont="1" applyFill="1" applyBorder="1" applyAlignment="1">
      <alignment horizontal="center" vertical="center" textRotation="255"/>
    </xf>
    <xf numFmtId="0" fontId="2" fillId="5" borderId="8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1" xfId="2" applyFont="1" applyFill="1" applyBorder="1" applyAlignment="1">
      <alignment horizontal="center" vertical="center"/>
    </xf>
    <xf numFmtId="0" fontId="3" fillId="6" borderId="6" xfId="2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2" fillId="0" borderId="3" xfId="0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3" xfId="0" applyFont="1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43" fillId="0" borderId="3" xfId="0" applyFont="1" applyFill="1" applyBorder="1">
      <alignment vertical="center"/>
    </xf>
  </cellXfs>
  <cellStyles count="18">
    <cellStyle name="標準_TableDef_database 2" xfId="3"/>
    <cellStyle name="常规" xfId="0" builtinId="0"/>
    <cellStyle name="常规 2" xfId="2"/>
    <cellStyle name="常规 2 2" xfId="4"/>
    <cellStyle name="常规 3" xfId="5"/>
    <cellStyle name="常规 3 2" xfId="8"/>
    <cellStyle name="常规 4" xfId="6"/>
    <cellStyle name="常规 5" xfId="7"/>
    <cellStyle name="常规 5 2" xfId="10"/>
    <cellStyle name="常规 6" xfId="11"/>
    <cellStyle name="常规 8" xfId="9"/>
    <cellStyle name="超链接" xfId="1" builtinId="8"/>
    <cellStyle name="超链接 2" xfId="12"/>
    <cellStyle name="超链接 2 2" xfId="13"/>
    <cellStyle name="超链接 3" xfId="14"/>
    <cellStyle name="普通 2 3" xfId="17"/>
    <cellStyle name="普通 2 4" xfId="15"/>
    <cellStyle name="普通 4" xfId="16"/>
  </cellStyles>
  <dxfs count="0"/>
  <tableStyles count="0" defaultTableStyle="TableStyleMedium2" defaultPivotStyle="PivotStyleLight16"/>
  <colors>
    <mruColors>
      <color rgb="FF0070C0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38100</xdr:rowOff>
        </xdr:from>
        <xdr:to>
          <xdr:col>3</xdr:col>
          <xdr:colOff>1314450</xdr:colOff>
          <xdr:row>0</xdr:row>
          <xdr:rowOff>266700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2385" name="Button 1" hidden="1">
              <a:extLst>
                <a:ext uri="{63B3BB69-23CF-44E3-9099-C40C66FF867C}">
                  <a14:compatExt spid="_x0000_s272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01409" name="Button 1" hidden="1">
              <a:extLst>
                <a:ext uri="{63B3BB69-23CF-44E3-9099-C40C66FF867C}">
                  <a14:compatExt spid="_x0000_s40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0</xdr:row>
          <xdr:rowOff>247650</xdr:rowOff>
        </xdr:to>
        <xdr:sp macro="" textlink="">
          <xdr:nvSpPr>
            <xdr:cNvPr id="402433" name="Button 1" hidden="1">
              <a:extLst>
                <a:ext uri="{63B3BB69-23CF-44E3-9099-C40C66FF867C}">
                  <a14:compatExt spid="_x0000_s402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7809" name="Button 1" hidden="1">
              <a:extLst>
                <a:ext uri="{63B3BB69-23CF-44E3-9099-C40C66FF867C}">
                  <a14:compatExt spid="_x0000_s247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0</xdr:row>
          <xdr:rowOff>247650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74785" name="Button 1" hidden="1">
              <a:extLst>
                <a:ext uri="{63B3BB69-23CF-44E3-9099-C40C66FF867C}">
                  <a14:compatExt spid="_x0000_s374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52257" name="Button 1" hidden="1">
              <a:extLst>
                <a:ext uri="{63B3BB69-23CF-44E3-9099-C40C66FF867C}">
                  <a14:compatExt spid="_x0000_s352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53281" name="Button 1" hidden="1">
              <a:extLst>
                <a:ext uri="{63B3BB69-23CF-44E3-9099-C40C66FF867C}">
                  <a14:compatExt spid="_x0000_s353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69313" name="Button 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4737" name="Button 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50881" name="Button 1" hidden="1">
              <a:extLst>
                <a:ext uri="{63B3BB69-23CF-44E3-9099-C40C66FF867C}">
                  <a14:compatExt spid="_x0000_s250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05505" name="Button 1" hidden="1">
              <a:extLst>
                <a:ext uri="{63B3BB69-23CF-44E3-9099-C40C66FF867C}">
                  <a14:compatExt spid="_x0000_s40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09601" name="Button 1" hidden="1">
              <a:extLst>
                <a:ext uri="{63B3BB69-23CF-44E3-9099-C40C66FF867C}">
                  <a14:compatExt spid="_x0000_s409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410625" name="Button 1" hidden="1">
              <a:extLst>
                <a:ext uri="{63B3BB69-23CF-44E3-9099-C40C66FF867C}">
                  <a14:compatExt spid="_x0000_s410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3409" name="Button 1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awada&#27231;&#33021;&#20181;&#27096;&#20860;&#30011;&#38754;&#38917;&#30446;&#20966;&#29702;&#20181;&#27096;&#2636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ヘッダ"/>
      <sheetName val="処理仕様"/>
      <sheetName val="表示項目仕様"/>
      <sheetName val="本表紙"/>
      <sheetName val="表紙"/>
      <sheetName val="機能説明"/>
      <sheetName val="画面レイアウト（超勤確認入力画面）"/>
      <sheetName val="画面レイアウト（超勤確認確認画面）"/>
      <sheetName val="画面遷移図"/>
      <sheetName val="入出力一覧 "/>
      <sheetName val="項目移送表（DB･ﾌｧｲﾙ→画面）"/>
      <sheetName val="項目移送表（画面･DB･ﾌｧｲﾙ→DB･ﾌｧｲﾙ）"/>
    </sheetNames>
    <sheetDataSet>
      <sheetData sheetId="0" refreshError="1">
        <row r="1">
          <cell r="D1" t="str">
            <v>サ</v>
          </cell>
          <cell r="F1" t="str">
            <v>ブ</v>
          </cell>
          <cell r="H1" t="str">
            <v>シ</v>
          </cell>
          <cell r="J1" t="str">
            <v>ス</v>
          </cell>
          <cell r="L1" t="str">
            <v>テ</v>
          </cell>
          <cell r="N1" t="str">
            <v>ム</v>
          </cell>
          <cell r="P1" t="str">
            <v>名</v>
          </cell>
          <cell r="W1" t="str">
            <v>設</v>
          </cell>
          <cell r="Y1" t="str">
            <v>計</v>
          </cell>
          <cell r="AA1" t="str">
            <v>書</v>
          </cell>
          <cell r="AC1" t="str">
            <v>名</v>
          </cell>
          <cell r="AL1" t="str">
            <v>設</v>
          </cell>
          <cell r="AN1" t="str">
            <v>計</v>
          </cell>
          <cell r="AP1" t="str">
            <v>成</v>
          </cell>
          <cell r="AR1" t="str">
            <v>果</v>
          </cell>
          <cell r="AT1" t="str">
            <v>物</v>
          </cell>
          <cell r="BD1" t="str">
            <v>項</v>
          </cell>
          <cell r="BH1" t="str">
            <v>目</v>
          </cell>
          <cell r="BP1" t="str">
            <v>ＳＥＱ</v>
          </cell>
          <cell r="BT1" t="str">
            <v xml:space="preserve"> Ｖ</v>
          </cell>
        </row>
        <row r="2">
          <cell r="V2" t="str">
            <v>ドキュメント一覧</v>
          </cell>
        </row>
        <row r="3">
          <cell r="BO3" t="str">
            <v>１／１</v>
          </cell>
          <cell r="BT3">
            <v>1</v>
          </cell>
        </row>
        <row r="5">
          <cell r="A5" t="str">
            <v>画面ＩＤ</v>
          </cell>
          <cell r="T5" t="str">
            <v>画面名</v>
          </cell>
        </row>
        <row r="6">
          <cell r="A6" t="str">
            <v>画面ＩＤ</v>
          </cell>
          <cell r="T6" t="str">
            <v>画面名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5.xml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3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omments" Target="../comments32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B2:G14"/>
  <sheetViews>
    <sheetView zoomScale="85" zoomScaleNormal="85" workbookViewId="0">
      <pane ySplit="2" topLeftCell="A3" activePane="bottomLeft" state="frozen"/>
      <selection activeCell="B39" sqref="B39"/>
      <selection pane="bottomLeft" activeCell="E18" sqref="E18"/>
    </sheetView>
  </sheetViews>
  <sheetFormatPr defaultColWidth="8.81640625" defaultRowHeight="14"/>
  <cols>
    <col min="1" max="1" width="3.1796875" style="1" customWidth="1"/>
    <col min="2" max="2" width="8.81640625" style="35"/>
    <col min="3" max="3" width="8.81640625" style="1"/>
    <col min="4" max="4" width="11.6328125" style="36" bestFit="1" customWidth="1"/>
    <col min="5" max="5" width="58.6328125" style="1" customWidth="1"/>
    <col min="6" max="6" width="45.08984375" style="1" customWidth="1"/>
    <col min="7" max="7" width="7.54296875" style="1" bestFit="1" customWidth="1"/>
    <col min="8" max="16384" width="8.81640625" style="1"/>
  </cols>
  <sheetData>
    <row r="2" spans="2:7">
      <c r="B2" s="33" t="s">
        <v>39</v>
      </c>
      <c r="C2" s="33" t="s">
        <v>40</v>
      </c>
      <c r="D2" s="34" t="s">
        <v>41</v>
      </c>
      <c r="E2" s="33" t="s">
        <v>85</v>
      </c>
      <c r="F2" s="33" t="s">
        <v>42</v>
      </c>
      <c r="G2" s="33" t="s">
        <v>47</v>
      </c>
    </row>
    <row r="3" spans="2:7" s="40" customFormat="1">
      <c r="B3" s="37" t="s">
        <v>84</v>
      </c>
      <c r="C3" s="37" t="s">
        <v>56</v>
      </c>
      <c r="D3" s="53">
        <v>45526</v>
      </c>
      <c r="E3" s="38" t="s">
        <v>57</v>
      </c>
      <c r="F3" s="39"/>
      <c r="G3" s="37"/>
    </row>
    <row r="4" spans="2:7" s="40" customFormat="1">
      <c r="B4" s="37"/>
      <c r="C4" s="37"/>
      <c r="D4" s="53">
        <v>45546</v>
      </c>
      <c r="E4" s="38" t="s">
        <v>2554</v>
      </c>
      <c r="F4" s="39" t="s">
        <v>4210</v>
      </c>
      <c r="G4" s="37"/>
    </row>
    <row r="5" spans="2:7" s="40" customFormat="1">
      <c r="B5" s="37"/>
      <c r="C5" s="37"/>
      <c r="D5" s="53">
        <v>45547</v>
      </c>
      <c r="E5" s="14" t="s">
        <v>4199</v>
      </c>
      <c r="F5" s="39" t="s">
        <v>4211</v>
      </c>
      <c r="G5" s="37"/>
    </row>
    <row r="6" spans="2:7" s="40" customFormat="1">
      <c r="B6" s="37"/>
      <c r="C6" s="37"/>
      <c r="D6" s="53">
        <v>45547</v>
      </c>
      <c r="E6" s="14" t="s">
        <v>4200</v>
      </c>
      <c r="F6" s="39" t="s">
        <v>4211</v>
      </c>
      <c r="G6" s="37"/>
    </row>
    <row r="7" spans="2:7" s="40" customFormat="1">
      <c r="B7" s="37"/>
      <c r="C7" s="37"/>
      <c r="D7" s="53"/>
      <c r="E7" s="38"/>
      <c r="F7" s="39"/>
      <c r="G7" s="37"/>
    </row>
    <row r="8" spans="2:7" s="40" customFormat="1">
      <c r="B8" s="37"/>
      <c r="C8" s="37"/>
      <c r="D8" s="53"/>
      <c r="E8" s="38"/>
      <c r="F8" s="39"/>
      <c r="G8" s="37"/>
    </row>
    <row r="9" spans="2:7" s="40" customFormat="1">
      <c r="B9" s="37"/>
      <c r="C9" s="37"/>
      <c r="D9" s="53"/>
      <c r="E9" s="38"/>
      <c r="F9" s="39"/>
      <c r="G9" s="37"/>
    </row>
    <row r="10" spans="2:7" s="40" customFormat="1">
      <c r="B10" s="37"/>
      <c r="C10" s="37"/>
      <c r="D10" s="53"/>
      <c r="E10" s="38"/>
      <c r="F10" s="39"/>
      <c r="G10" s="37"/>
    </row>
    <row r="11" spans="2:7" s="40" customFormat="1">
      <c r="B11" s="37"/>
      <c r="C11" s="37"/>
      <c r="D11" s="53"/>
      <c r="E11" s="38"/>
      <c r="F11" s="39"/>
      <c r="G11" s="37"/>
    </row>
    <row r="12" spans="2:7" s="40" customFormat="1">
      <c r="B12" s="37"/>
      <c r="C12" s="37"/>
      <c r="D12" s="53"/>
      <c r="E12" s="38"/>
      <c r="F12" s="39"/>
      <c r="G12" s="37"/>
    </row>
    <row r="13" spans="2:7" s="40" customFormat="1">
      <c r="B13" s="37"/>
      <c r="C13" s="37"/>
      <c r="D13" s="53"/>
      <c r="E13" s="38"/>
      <c r="F13" s="39"/>
      <c r="G13" s="37"/>
    </row>
    <row r="14" spans="2:7" s="40" customFormat="1">
      <c r="B14" s="37"/>
      <c r="C14" s="37"/>
      <c r="D14" s="53"/>
      <c r="E14" s="38"/>
      <c r="F14" s="39"/>
      <c r="G14" s="37"/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4"/>
  <sheetViews>
    <sheetView topLeftCell="A13" zoomScale="85" zoomScaleNormal="85" workbookViewId="0"/>
  </sheetViews>
  <sheetFormatPr defaultColWidth="9" defaultRowHeight="14"/>
  <cols>
    <col min="1" max="1" width="11.453125" style="41" customWidth="1"/>
    <col min="2" max="3" width="4.81640625" style="29" customWidth="1"/>
    <col min="4" max="4" width="31.36328125" style="29" customWidth="1"/>
    <col min="5" max="5" width="37.1796875" style="29" bestFit="1" customWidth="1"/>
    <col min="6" max="6" width="24" style="29" customWidth="1"/>
    <col min="7" max="7" width="9.1796875" style="41" bestFit="1" customWidth="1"/>
    <col min="8" max="16384" width="9" style="41"/>
  </cols>
  <sheetData>
    <row r="1" spans="1:7" ht="25" customHeight="1">
      <c r="D1" s="54"/>
    </row>
    <row r="3" spans="1:7">
      <c r="A3" s="59" t="s">
        <v>88</v>
      </c>
      <c r="B3" s="180" t="s">
        <v>90</v>
      </c>
      <c r="C3" s="181"/>
      <c r="D3" s="181"/>
      <c r="E3" s="182"/>
      <c r="F3" s="59" t="s">
        <v>89</v>
      </c>
    </row>
    <row r="4" spans="1:7" ht="15">
      <c r="A4" s="188" t="s">
        <v>716</v>
      </c>
      <c r="B4" s="185" t="s">
        <v>166</v>
      </c>
      <c r="C4" s="61" t="s">
        <v>95</v>
      </c>
      <c r="D4" s="52" t="s">
        <v>253</v>
      </c>
      <c r="E4" s="14" t="s">
        <v>252</v>
      </c>
      <c r="F4" s="14"/>
      <c r="G4" s="153" t="str">
        <f>"`D:\work\workspace\护理中心\数据库\sql\"&amp;D4&amp;".sql;"</f>
        <v>`D:\work\workspace\护理中心\数据库\sql\T_HL_YW_BRDJXX.sql;</v>
      </c>
    </row>
    <row r="5" spans="1:7" ht="15">
      <c r="A5" s="189"/>
      <c r="B5" s="186"/>
      <c r="C5" s="61" t="s">
        <v>95</v>
      </c>
      <c r="D5" s="52" t="s">
        <v>311</v>
      </c>
      <c r="E5" s="14" t="s">
        <v>544</v>
      </c>
      <c r="F5" s="14"/>
      <c r="G5" s="153" t="str">
        <f t="shared" ref="G5:G24" si="0">"`D:\work\workspace\护理中心\数据库\sql\"&amp;D5&amp;".sql;"</f>
        <v>`D:\work\workspace\护理中心\数据库\sql\T_HL_YW_HLXM_YZ.sql;</v>
      </c>
    </row>
    <row r="6" spans="1:7" ht="15">
      <c r="A6" s="189"/>
      <c r="B6" s="186"/>
      <c r="C6" s="61" t="s">
        <v>95</v>
      </c>
      <c r="D6" s="52" t="s">
        <v>312</v>
      </c>
      <c r="E6" s="14" t="s">
        <v>251</v>
      </c>
      <c r="F6" s="14"/>
      <c r="G6" s="153" t="str">
        <f t="shared" si="0"/>
        <v>`D:\work\workspace\护理中心\数据库\sql\T_HL_YW_HLXM_ZXJL.sql;</v>
      </c>
    </row>
    <row r="7" spans="1:7" ht="15">
      <c r="A7" s="189"/>
      <c r="B7" s="186"/>
      <c r="C7" s="61" t="s">
        <v>95</v>
      </c>
      <c r="D7" s="52" t="s">
        <v>309</v>
      </c>
      <c r="E7" s="14" t="s">
        <v>545</v>
      </c>
      <c r="F7" s="14"/>
      <c r="G7" s="153" t="str">
        <f t="shared" si="0"/>
        <v>`D:\work\workspace\护理中心\数据库\sql\T_HL_YW_HLPG.sql;</v>
      </c>
    </row>
    <row r="8" spans="1:7" ht="15">
      <c r="A8" s="189"/>
      <c r="B8" s="186"/>
      <c r="C8" s="61" t="s">
        <v>95</v>
      </c>
      <c r="D8" s="52" t="s">
        <v>602</v>
      </c>
      <c r="E8" s="14" t="s">
        <v>546</v>
      </c>
      <c r="F8" s="14"/>
      <c r="G8" s="153" t="str">
        <f t="shared" si="0"/>
        <v>`D:\work\workspace\护理中心\数据库\sql\T_HL_YW_HLXM_PGJY.sql;</v>
      </c>
    </row>
    <row r="9" spans="1:7" ht="15">
      <c r="A9" s="189"/>
      <c r="B9" s="186"/>
      <c r="C9" s="61" t="s">
        <v>95</v>
      </c>
      <c r="D9" s="52" t="s">
        <v>621</v>
      </c>
      <c r="E9" s="14" t="s">
        <v>419</v>
      </c>
      <c r="F9" s="14"/>
      <c r="G9" s="153" t="str">
        <f t="shared" si="0"/>
        <v>`D:\work\workspace\护理中心\数据库\sql\T_HL_YW_HLJLWSSYB.sql;</v>
      </c>
    </row>
    <row r="10" spans="1:7" ht="15">
      <c r="A10" s="189"/>
      <c r="B10" s="186"/>
      <c r="C10" s="61" t="s">
        <v>95</v>
      </c>
      <c r="D10" s="52" t="s">
        <v>622</v>
      </c>
      <c r="E10" s="14" t="s">
        <v>550</v>
      </c>
      <c r="F10" s="14"/>
      <c r="G10" s="153" t="str">
        <f t="shared" si="0"/>
        <v>`D:\work\workspace\护理中心\数据库\sql\T_HL_YW_HLJLMX.sql;</v>
      </c>
    </row>
    <row r="11" spans="1:7" ht="15">
      <c r="A11" s="189"/>
      <c r="B11" s="186"/>
      <c r="C11" s="61" t="s">
        <v>95</v>
      </c>
      <c r="D11" s="52" t="s">
        <v>815</v>
      </c>
      <c r="E11" s="14" t="s">
        <v>586</v>
      </c>
      <c r="F11" s="14"/>
      <c r="G11" s="153" t="str">
        <f t="shared" si="0"/>
        <v>`D:\work\workspace\护理中心\数据库\sql\T_HL_YW_TPYXCCB.sql;</v>
      </c>
    </row>
    <row r="12" spans="1:7" ht="15">
      <c r="A12" s="189"/>
      <c r="B12" s="186"/>
      <c r="C12" s="61" t="s">
        <v>95</v>
      </c>
      <c r="D12" s="52" t="s">
        <v>624</v>
      </c>
      <c r="E12" s="14" t="s">
        <v>551</v>
      </c>
      <c r="F12" s="14"/>
      <c r="G12" s="153" t="str">
        <f t="shared" si="0"/>
        <v>`D:\work\workspace\护理中心\数据库\sql\T_HL_YW_BRSSS.sql;</v>
      </c>
    </row>
    <row r="13" spans="1:7" ht="15">
      <c r="A13" s="189"/>
      <c r="B13" s="186"/>
      <c r="C13" s="61" t="s">
        <v>95</v>
      </c>
      <c r="D13" s="52" t="s">
        <v>625</v>
      </c>
      <c r="E13" s="14" t="s">
        <v>552</v>
      </c>
      <c r="F13" s="14"/>
      <c r="G13" s="153" t="str">
        <f t="shared" si="0"/>
        <v>`D:\work\workspace\护理中心\数据库\sql\T_HL_YW_BRGMS.sql;</v>
      </c>
    </row>
    <row r="14" spans="1:7" ht="15">
      <c r="A14" s="189"/>
      <c r="B14" s="186"/>
      <c r="C14" s="61" t="s">
        <v>95</v>
      </c>
      <c r="D14" s="52" t="s">
        <v>626</v>
      </c>
      <c r="E14" s="14" t="s">
        <v>553</v>
      </c>
      <c r="F14" s="14"/>
      <c r="G14" s="153" t="str">
        <f t="shared" si="0"/>
        <v>`D:\work\workspace\护理中心\数据库\sql\T_HL_YW_BRJZS.sql;</v>
      </c>
    </row>
    <row r="15" spans="1:7" ht="15">
      <c r="A15" s="189"/>
      <c r="B15" s="186"/>
      <c r="C15" s="61" t="s">
        <v>95</v>
      </c>
      <c r="D15" s="52" t="s">
        <v>627</v>
      </c>
      <c r="E15" s="14" t="s">
        <v>554</v>
      </c>
      <c r="F15" s="14"/>
      <c r="G15" s="153" t="str">
        <f t="shared" si="0"/>
        <v>`D:\work\workspace\护理中心\数据库\sql\T_HL_YW_TNBFYQK.sql;</v>
      </c>
    </row>
    <row r="16" spans="1:7" ht="15">
      <c r="A16" s="189"/>
      <c r="B16" s="186"/>
      <c r="C16" s="61" t="s">
        <v>95</v>
      </c>
      <c r="D16" s="52" t="s">
        <v>814</v>
      </c>
      <c r="E16" s="14" t="s">
        <v>763</v>
      </c>
      <c r="F16" s="14"/>
      <c r="G16" s="153" t="str">
        <f t="shared" si="0"/>
        <v>`D:\work\workspace\护理中心\数据库\sql\T_HL_YW_YYBC.sql;</v>
      </c>
    </row>
    <row r="17" spans="1:7" ht="15">
      <c r="A17" s="189"/>
      <c r="B17" s="186"/>
      <c r="C17" s="61" t="s">
        <v>95</v>
      </c>
      <c r="D17" s="52" t="s">
        <v>2851</v>
      </c>
      <c r="E17" s="14" t="s">
        <v>3480</v>
      </c>
      <c r="F17" s="14"/>
      <c r="G17" s="153" t="str">
        <f t="shared" si="0"/>
        <v>`D:\work\workspace\护理中心\数据库\sql\T_HL_YW_SZXTJCYDQK.sql;</v>
      </c>
    </row>
    <row r="18" spans="1:7" ht="15">
      <c r="A18" s="189"/>
      <c r="B18" s="186"/>
      <c r="C18" s="61" t="s">
        <v>95</v>
      </c>
      <c r="D18" s="52" t="s">
        <v>2847</v>
      </c>
      <c r="E18" s="14" t="s">
        <v>3481</v>
      </c>
      <c r="F18" s="14"/>
      <c r="G18" s="153" t="str">
        <f t="shared" si="0"/>
        <v>`D:\work\workspace\护理中心\数据库\sql\T_HL_YW_SZXTJCYYQK.sql;</v>
      </c>
    </row>
    <row r="19" spans="1:7" ht="15">
      <c r="A19" s="189"/>
      <c r="B19" s="186"/>
      <c r="C19" s="61" t="s">
        <v>95</v>
      </c>
      <c r="D19" s="52" t="s">
        <v>4201</v>
      </c>
      <c r="E19" s="14" t="s">
        <v>4199</v>
      </c>
      <c r="F19" s="14"/>
      <c r="G19" s="153" t="str">
        <f t="shared" si="0"/>
        <v>`D:\work\workspace\护理中心\数据库\sql\T_HL_YW_CXTTPGB_CFYSYQK.sql;</v>
      </c>
    </row>
    <row r="20" spans="1:7" ht="15">
      <c r="A20" s="189"/>
      <c r="B20" s="186"/>
      <c r="C20" s="61" t="s">
        <v>95</v>
      </c>
      <c r="D20" s="52" t="s">
        <v>4202</v>
      </c>
      <c r="E20" s="14" t="s">
        <v>4200</v>
      </c>
      <c r="F20" s="14"/>
      <c r="G20" s="153" t="str">
        <f t="shared" si="0"/>
        <v>`D:\work\workspace\护理中心\数据库\sql\T_HL_YW_MZFHLJLD_WHXR.sql;</v>
      </c>
    </row>
    <row r="21" spans="1:7" ht="15">
      <c r="A21" s="189"/>
      <c r="B21" s="186"/>
      <c r="C21" s="61" t="s">
        <v>95</v>
      </c>
      <c r="D21" s="52" t="s">
        <v>628</v>
      </c>
      <c r="E21" s="14" t="s">
        <v>582</v>
      </c>
      <c r="F21" s="14"/>
      <c r="G21" s="153" t="str">
        <f t="shared" si="0"/>
        <v>`D:\work\workspace\护理中心\数据库\sql\T_HL_YW_DYJL.sql;</v>
      </c>
    </row>
    <row r="22" spans="1:7" ht="15">
      <c r="A22" s="189"/>
      <c r="B22" s="186"/>
      <c r="C22" s="61" t="s">
        <v>95</v>
      </c>
      <c r="D22" s="52" t="s">
        <v>853</v>
      </c>
      <c r="E22" s="14" t="s">
        <v>648</v>
      </c>
      <c r="F22" s="14"/>
      <c r="G22" s="153" t="str">
        <f t="shared" si="0"/>
        <v>`D:\work\workspace\护理中心\数据库\sql\T_HL_YW_YSBRGZB.sql;</v>
      </c>
    </row>
    <row r="23" spans="1:7" ht="15">
      <c r="A23" s="189"/>
      <c r="B23" s="186"/>
      <c r="C23" s="61" t="s">
        <v>95</v>
      </c>
      <c r="D23" s="52" t="s">
        <v>862</v>
      </c>
      <c r="E23" s="14" t="s">
        <v>863</v>
      </c>
      <c r="F23" s="14"/>
      <c r="G23" s="153" t="str">
        <f t="shared" si="0"/>
        <v>`D:\work\workspace\护理中心\数据库\sql\T_HL_YW_ZCZXJSB.sql;</v>
      </c>
    </row>
    <row r="24" spans="1:7" ht="15">
      <c r="A24" s="189"/>
      <c r="B24" s="186"/>
      <c r="C24" s="61" t="s">
        <v>95</v>
      </c>
      <c r="D24" s="52" t="s">
        <v>854</v>
      </c>
      <c r="E24" s="14" t="s">
        <v>915</v>
      </c>
      <c r="F24" s="14"/>
      <c r="G24" s="153" t="str">
        <f t="shared" si="0"/>
        <v>`D:\work\workspace\护理中心\数据库\sql\T_HL_YW_HLJSB.sql;</v>
      </c>
    </row>
    <row r="25" spans="1:7">
      <c r="A25" s="189"/>
      <c r="B25" s="187"/>
      <c r="C25" s="61"/>
      <c r="D25" s="14"/>
      <c r="E25" s="14"/>
      <c r="F25" s="14"/>
    </row>
    <row r="26" spans="1:7" ht="15">
      <c r="A26" s="189"/>
      <c r="B26" s="185" t="s">
        <v>167</v>
      </c>
      <c r="C26" s="61" t="s">
        <v>95</v>
      </c>
      <c r="D26" s="52" t="s">
        <v>933</v>
      </c>
      <c r="E26" s="14" t="s">
        <v>178</v>
      </c>
      <c r="F26" s="14"/>
      <c r="G26" s="153" t="str">
        <f t="shared" ref="G26:G27" si="1">"`D:\work\workspace\护理中心\数据库\sql\"&amp;D26&amp;".sql;"</f>
        <v>`D:\work\workspace\护理中心\数据库\sql\T_HL_DIC_HLXM.sql;</v>
      </c>
    </row>
    <row r="27" spans="1:7" ht="15">
      <c r="A27" s="189"/>
      <c r="B27" s="186"/>
      <c r="C27" s="61" t="s">
        <v>95</v>
      </c>
      <c r="D27" s="52" t="s">
        <v>177</v>
      </c>
      <c r="E27" s="14" t="s">
        <v>179</v>
      </c>
      <c r="F27" s="14"/>
      <c r="G27" s="153" t="str">
        <f t="shared" si="1"/>
        <v>`D:\work\workspace\护理中心\数据库\sql\T_HL_DIC_GENERAL.sql;</v>
      </c>
    </row>
    <row r="28" spans="1:7">
      <c r="A28" s="189"/>
      <c r="B28" s="186"/>
      <c r="C28" s="61"/>
      <c r="D28" s="52"/>
      <c r="E28" s="52" t="s">
        <v>491</v>
      </c>
      <c r="F28" s="14"/>
    </row>
    <row r="29" spans="1:7" ht="15">
      <c r="A29" s="189"/>
      <c r="B29" s="186"/>
      <c r="C29" s="61" t="s">
        <v>95</v>
      </c>
      <c r="D29" s="52" t="s">
        <v>578</v>
      </c>
      <c r="E29" s="52" t="s">
        <v>418</v>
      </c>
      <c r="F29" s="14"/>
      <c r="G29" s="153" t="str">
        <f t="shared" ref="G29" si="2">"`D:\work\workspace\护理中心\数据库\sql\"&amp;D29&amp;".sql;"</f>
        <v>`D:\work\workspace\护理中心\数据库\sql\T_HL_DIC_HLJLWS.sql;</v>
      </c>
    </row>
    <row r="30" spans="1:7">
      <c r="A30" s="189"/>
      <c r="B30" s="186"/>
      <c r="C30" s="61"/>
      <c r="D30" s="52"/>
      <c r="E30" s="52" t="s">
        <v>649</v>
      </c>
      <c r="F30" s="14"/>
    </row>
    <row r="31" spans="1:7">
      <c r="A31" s="189"/>
      <c r="B31" s="186"/>
      <c r="C31" s="61"/>
      <c r="D31" s="52" t="s">
        <v>1987</v>
      </c>
      <c r="E31" s="52" t="s">
        <v>1988</v>
      </c>
      <c r="F31" s="14"/>
    </row>
    <row r="32" spans="1:7">
      <c r="A32" s="189"/>
      <c r="B32" s="186"/>
      <c r="C32" s="61"/>
      <c r="D32" s="52"/>
      <c r="E32" s="52" t="s">
        <v>2044</v>
      </c>
      <c r="F32" s="14"/>
    </row>
    <row r="33" spans="1:7" ht="15">
      <c r="A33" s="189"/>
      <c r="B33" s="186"/>
      <c r="C33" s="61" t="s">
        <v>95</v>
      </c>
      <c r="D33" s="52" t="s">
        <v>1986</v>
      </c>
      <c r="E33" s="52" t="s">
        <v>492</v>
      </c>
      <c r="F33" s="14"/>
      <c r="G33" s="153" t="str">
        <f t="shared" ref="G33" si="3">"`D:\work\workspace\护理中心\数据库\sql\"&amp;D33&amp;".sql;"</f>
        <v>`D:\work\workspace\护理中心\数据库\sql\T_HL_DIC_HLJLWSXM.sql;</v>
      </c>
    </row>
    <row r="34" spans="1:7">
      <c r="A34" s="189"/>
      <c r="B34" s="186"/>
      <c r="C34" s="61"/>
      <c r="D34" s="52"/>
      <c r="E34" s="52" t="s">
        <v>650</v>
      </c>
      <c r="F34" s="14"/>
    </row>
    <row r="35" spans="1:7" ht="15">
      <c r="A35" s="189"/>
      <c r="B35" s="186"/>
      <c r="C35" s="61" t="s">
        <v>95</v>
      </c>
      <c r="D35" s="52" t="s">
        <v>4276</v>
      </c>
      <c r="E35" s="14" t="s">
        <v>652</v>
      </c>
      <c r="F35" s="14"/>
      <c r="G35" s="153" t="str">
        <f t="shared" ref="G35:G40" si="4">"`D:\work\workspace\护理中心\数据库\sql\"&amp;D35&amp;".sql;"</f>
        <v>`D:\work\workspace\护理中心\数据库\sql\T_HL_DIC_HLDAFLWSDZ.sql;</v>
      </c>
    </row>
    <row r="36" spans="1:7" ht="15">
      <c r="A36" s="189"/>
      <c r="B36" s="186"/>
      <c r="C36" s="61" t="s">
        <v>934</v>
      </c>
      <c r="D36" s="52" t="s">
        <v>3478</v>
      </c>
      <c r="E36" s="14" t="s">
        <v>936</v>
      </c>
      <c r="F36" s="14"/>
      <c r="G36" s="153" t="str">
        <f t="shared" si="4"/>
        <v>`D:\work\workspace\护理中心\数据库\sql\T_HL_DIC_HLDAFLZDJY.sql;</v>
      </c>
    </row>
    <row r="37" spans="1:7" ht="15">
      <c r="A37" s="189"/>
      <c r="B37" s="186"/>
      <c r="C37" s="61" t="s">
        <v>95</v>
      </c>
      <c r="D37" s="52" t="s">
        <v>4278</v>
      </c>
      <c r="E37" s="14" t="s">
        <v>594</v>
      </c>
      <c r="F37" s="14"/>
      <c r="G37" s="153" t="str">
        <f t="shared" si="4"/>
        <v>`D:\work\workspace\护理中心\数据库\sql\T_HL_DIC_HLDAFLJGDZ.sql;</v>
      </c>
    </row>
    <row r="38" spans="1:7" ht="15">
      <c r="A38" s="189"/>
      <c r="B38" s="186"/>
      <c r="C38" s="61" t="s">
        <v>95</v>
      </c>
      <c r="D38" s="52" t="s">
        <v>4279</v>
      </c>
      <c r="E38" s="14" t="s">
        <v>620</v>
      </c>
      <c r="F38" s="14"/>
      <c r="G38" s="153" t="str">
        <f t="shared" si="4"/>
        <v>`D:\work\workspace\护理中心\数据库\sql\T_HL_DIC_JBZD.sql;</v>
      </c>
    </row>
    <row r="39" spans="1:7" ht="15">
      <c r="A39" s="189"/>
      <c r="B39" s="186"/>
      <c r="C39" s="61" t="s">
        <v>95</v>
      </c>
      <c r="D39" s="52" t="s">
        <v>4280</v>
      </c>
      <c r="E39" s="14" t="s">
        <v>708</v>
      </c>
      <c r="F39" s="14"/>
      <c r="G39" s="153" t="str">
        <f t="shared" si="4"/>
        <v>`D:\work\workspace\护理中心\数据库\sql\T_HL_DIC_HLJLMBB.sql;</v>
      </c>
    </row>
    <row r="40" spans="1:7" ht="15">
      <c r="A40" s="189"/>
      <c r="B40" s="186"/>
      <c r="C40" s="61" t="s">
        <v>95</v>
      </c>
      <c r="D40" s="52" t="s">
        <v>845</v>
      </c>
      <c r="E40" s="14" t="s">
        <v>848</v>
      </c>
      <c r="F40" s="14"/>
      <c r="G40" s="153" t="str">
        <f t="shared" si="4"/>
        <v>`D:\work\workspace\护理中心\数据库\sql\T_HL_DIC_ZLS.sql;</v>
      </c>
    </row>
    <row r="41" spans="1:7">
      <c r="A41" s="190"/>
      <c r="B41" s="187"/>
      <c r="C41" s="61"/>
      <c r="D41" s="14"/>
      <c r="E41" s="14"/>
      <c r="F41" s="14"/>
    </row>
    <row r="42" spans="1:7">
      <c r="A42" s="183"/>
      <c r="B42" s="184"/>
      <c r="C42" s="60"/>
      <c r="D42" s="52"/>
      <c r="E42" s="14"/>
      <c r="F42" s="14"/>
    </row>
    <row r="43" spans="1:7">
      <c r="A43" s="183"/>
      <c r="B43" s="184"/>
      <c r="C43" s="60"/>
      <c r="D43" s="52"/>
      <c r="E43" s="14"/>
      <c r="F43" s="14"/>
    </row>
    <row r="44" spans="1:7">
      <c r="A44" s="183"/>
      <c r="B44" s="184"/>
      <c r="C44" s="61"/>
      <c r="D44" s="52"/>
      <c r="E44" s="14"/>
      <c r="F44" s="14"/>
    </row>
  </sheetData>
  <mergeCells count="6">
    <mergeCell ref="B3:E3"/>
    <mergeCell ref="A42:A44"/>
    <mergeCell ref="B42:B44"/>
    <mergeCell ref="B4:B25"/>
    <mergeCell ref="B26:B41"/>
    <mergeCell ref="A4:A41"/>
  </mergeCells>
  <phoneticPr fontId="7" type="noConversion"/>
  <hyperlinks>
    <hyperlink ref="D26" location="护理项目字典表!A1" display="T_HL_DIC_HLXM"/>
    <hyperlink ref="D27" location="护理通用字典表!A1" display="T_HL_DIC_GENERAL"/>
    <hyperlink ref="E28" location="'护理通用字典表(数据)'!A1" display="护理通用字典表(数据)"/>
    <hyperlink ref="D4" location="护理病人登记信息!A1" display="T_HL_YW_BRDJXX"/>
    <hyperlink ref="D5" location="病人护理项目医嘱!A1" display="T_HL_YW_BRHLXMYZ"/>
    <hyperlink ref="D6" location="病人护理项目执行记录!A1" display="T_HL_YW_BRHLXMZX"/>
    <hyperlink ref="D7" location="病人需求评估!A1" display="T_HL_YW_HLPG"/>
    <hyperlink ref="D8" location="病人护理项目评估建议!A1" display="T_HL_YW_HLXM_PGJY"/>
    <hyperlink ref="D9" location="病人护理记录单文书索引表!A1" display="T_KF_YW_HLJLWSSYB"/>
    <hyperlink ref="D10" location="病人护理记录单明细项表!A1" display="T_KF_YW_HLJLMX"/>
    <hyperlink ref="D29" location="护理记录单文书字典!A1" display="T_KF_DIC_HLJLWS"/>
    <hyperlink ref="D33" location="护理记录单文书项目字典!A1" display="T_KF_DIC_BLWSXM"/>
    <hyperlink ref="D12" location="既往病史评估表_手术史!A1" display="T_KF_YW_BRSSS"/>
    <hyperlink ref="D13" location="既往病史评估表_过敏史!A1" display="T_KF_YW_BRGMS"/>
    <hyperlink ref="D14" location="既往病史评估表_家族史!A1" display="T_KF_YW_BRJZS"/>
    <hyperlink ref="D15" location="糖尿病随访记录单_服药情况!A1" display="T_KF_YW_TNBFYQK"/>
    <hyperlink ref="D21" location="打印记录表!A1" display="T_KF_YW_DYJL"/>
    <hyperlink ref="D11" location="图片影像存储表!A1" display="T_KF_YW_TPYXCCB"/>
    <hyperlink ref="D37" location="护理档案分类机构对照表!A1" display="T_HL_DIC_HLDAFLJGDZ"/>
    <hyperlink ref="D38" location="疾病诊断字典表!A1" display="T_HL_DIC_JBZD"/>
    <hyperlink ref="D22" location="医师病人关注表!A1" display="T_HL_YW_YSBRGZB"/>
    <hyperlink ref="E30" location="'护理记录单文书字典(数据)'!A1" display="护理记录单文书字典(数据)"/>
    <hyperlink ref="E34" location="'护理记录单文书项目字典(数据)'!A1" display="护理记录单文书项目字典(数据)"/>
    <hyperlink ref="D35" location="护理档案分类记录文书对照表!A1" display="T_HL_DIC_HLDAFLWSDZ"/>
    <hyperlink ref="D39" location="护理记录模板表!A1" display="T_HL_DIC_HLJLMBB"/>
    <hyperlink ref="D16" location="居家营养方案_营养补充剂!A1" display="T_HL_YW_YYBC"/>
    <hyperlink ref="D40" location="治疗室表!A1" display="T_HL_DIC_ZLS"/>
    <hyperlink ref="D23" location="支持中心每日结算表!A1" display="T_HL_YW_ZCZXJSB"/>
    <hyperlink ref="D24" location="护理每日结算表!A1" display="T_HL_YW_HLJSB"/>
    <hyperlink ref="D36" location="护理档案分类指导建议表!A1" display="T_HL_DIC_HLDAFLZDJY"/>
    <hyperlink ref="D31" location="护理记录单文书表单字典!A1" display="T_HL_DIC_HLJLWSBD"/>
    <hyperlink ref="E32" location="'护理记录单文书表单字典(数据)'!A1" display="护理记录单文书表单字典(数据)"/>
    <hyperlink ref="D17" location="手指血糖监测记录单_运动情况!A1" display="T_HL_YW_SZXTJCYDQK"/>
    <hyperlink ref="D18" location="手指血糖监测记录单_用药情况!A1" display="T_HL_YW_SZXTJCYYQK"/>
    <hyperlink ref="D19" location="持续疼痛评估表_处方药使用情况!A1" display="T_HL_YW_CXTTPGB_CFYSYQK"/>
    <hyperlink ref="D20" location="慢阻肺护理记录单_雾化吸入!A1" display="T_HL_YW_MZFHLJLD_WHXR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createTable">
                <anchor moveWithCells="1" sizeWithCells="1">
                  <from>
                    <xdr:col>3</xdr:col>
                    <xdr:colOff>50800</xdr:colOff>
                    <xdr:row>0</xdr:row>
                    <xdr:rowOff>38100</xdr:rowOff>
                  </from>
                  <to>
                    <xdr:col>3</xdr:col>
                    <xdr:colOff>1314450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2:F33"/>
  <sheetViews>
    <sheetView workbookViewId="0">
      <selection activeCell="B2" sqref="B2"/>
    </sheetView>
  </sheetViews>
  <sheetFormatPr defaultRowHeight="14"/>
  <cols>
    <col min="2" max="2" width="20" bestFit="1" customWidth="1"/>
    <col min="3" max="3" width="15.81640625" bestFit="1" customWidth="1"/>
    <col min="4" max="4" width="57.90625" bestFit="1" customWidth="1"/>
  </cols>
  <sheetData>
    <row r="2" spans="2:6">
      <c r="B2" t="s">
        <v>43</v>
      </c>
      <c r="C2" t="s">
        <v>63</v>
      </c>
      <c r="D2" t="str">
        <f>CONCATENATE("alter table ",B2," drop COLUMN ",C2,";")</f>
        <v>alter table CDC_TB_JYXX drop COLUMN CREATE_ID;</v>
      </c>
      <c r="F2" t="s">
        <v>43</v>
      </c>
    </row>
    <row r="3" spans="2:6">
      <c r="B3" t="s">
        <v>43</v>
      </c>
      <c r="C3" t="s">
        <v>34</v>
      </c>
      <c r="D3" t="str">
        <f t="shared" ref="D3:D33" si="0">CONCATENATE("alter table ",B3," drop COLUMN ",C3,";")</f>
        <v>alter table CDC_TB_JYXX drop COLUMN UPDATE_ID;</v>
      </c>
      <c r="F3" t="s">
        <v>48</v>
      </c>
    </row>
    <row r="4" spans="2:6">
      <c r="B4" t="s">
        <v>43</v>
      </c>
      <c r="C4" t="s">
        <v>61</v>
      </c>
      <c r="D4" t="str">
        <f t="shared" si="0"/>
        <v>alter table CDC_TB_JYXX drop COLUMN IS_DOWNLOAD;</v>
      </c>
      <c r="F4" t="s">
        <v>49</v>
      </c>
    </row>
    <row r="5" spans="2:6">
      <c r="B5" t="s">
        <v>43</v>
      </c>
      <c r="C5" t="s">
        <v>64</v>
      </c>
      <c r="D5" t="str">
        <f t="shared" si="0"/>
        <v>alter table CDC_TB_JYXX drop COLUMN SYNCHRO_STATUS;</v>
      </c>
      <c r="F5" t="s">
        <v>50</v>
      </c>
    </row>
    <row r="6" spans="2:6">
      <c r="B6" t="s">
        <v>48</v>
      </c>
      <c r="C6" t="s">
        <v>63</v>
      </c>
      <c r="D6" t="str">
        <f>CONCATENATE("alter table ",B6," drop COLUMN ",C6,";")</f>
        <v>alter table CDC_TB_MBSF_TZCL drop COLUMN CREATE_ID;</v>
      </c>
      <c r="F6" s="52" t="s">
        <v>51</v>
      </c>
    </row>
    <row r="7" spans="2:6">
      <c r="B7" t="s">
        <v>48</v>
      </c>
      <c r="C7" t="s">
        <v>34</v>
      </c>
      <c r="D7" t="str">
        <f t="shared" si="0"/>
        <v>alter table CDC_TB_MBSF_TZCL drop COLUMN UPDATE_ID;</v>
      </c>
      <c r="F7" t="s">
        <v>52</v>
      </c>
    </row>
    <row r="8" spans="2:6">
      <c r="B8" t="s">
        <v>48</v>
      </c>
      <c r="C8" t="s">
        <v>61</v>
      </c>
      <c r="D8" t="str">
        <f t="shared" si="0"/>
        <v>alter table CDC_TB_MBSF_TZCL drop COLUMN IS_DOWNLOAD;</v>
      </c>
      <c r="F8" t="s">
        <v>53</v>
      </c>
    </row>
    <row r="9" spans="2:6">
      <c r="B9" t="s">
        <v>48</v>
      </c>
      <c r="C9" t="s">
        <v>64</v>
      </c>
      <c r="D9" t="str">
        <f t="shared" si="0"/>
        <v>alter table CDC_TB_MBSF_TZCL drop COLUMN SYNCHRO_STATUS;</v>
      </c>
      <c r="F9" t="s">
        <v>66</v>
      </c>
    </row>
    <row r="10" spans="2:6">
      <c r="B10" t="s">
        <v>49</v>
      </c>
      <c r="C10" t="s">
        <v>63</v>
      </c>
      <c r="D10" t="str">
        <f t="shared" si="0"/>
        <v>alter table CDC_TS_FYXX drop COLUMN CREATE_ID;</v>
      </c>
    </row>
    <row r="11" spans="2:6">
      <c r="B11" t="s">
        <v>49</v>
      </c>
      <c r="C11" t="s">
        <v>34</v>
      </c>
      <c r="D11" t="str">
        <f t="shared" si="0"/>
        <v>alter table CDC_TS_FYXX drop COLUMN UPDATE_ID;</v>
      </c>
    </row>
    <row r="12" spans="2:6">
      <c r="B12" t="s">
        <v>49</v>
      </c>
      <c r="C12" t="s">
        <v>61</v>
      </c>
      <c r="D12" t="str">
        <f t="shared" si="0"/>
        <v>alter table CDC_TS_FYXX drop COLUMN IS_DOWNLOAD;</v>
      </c>
    </row>
    <row r="13" spans="2:6">
      <c r="B13" t="s">
        <v>49</v>
      </c>
      <c r="C13" t="s">
        <v>64</v>
      </c>
      <c r="D13" t="str">
        <f t="shared" si="0"/>
        <v>alter table CDC_TS_FYXX drop COLUMN SYNCHRO_STATUS;</v>
      </c>
    </row>
    <row r="14" spans="2:6">
      <c r="B14" t="s">
        <v>50</v>
      </c>
      <c r="C14" t="s">
        <v>63</v>
      </c>
      <c r="D14" t="str">
        <f t="shared" si="0"/>
        <v>alter table CDC_TS_DIAGNOSIS_DETAIL drop COLUMN CREATE_ID;</v>
      </c>
    </row>
    <row r="15" spans="2:6">
      <c r="B15" t="s">
        <v>50</v>
      </c>
      <c r="C15" t="s">
        <v>34</v>
      </c>
      <c r="D15" t="str">
        <f t="shared" si="0"/>
        <v>alter table CDC_TS_DIAGNOSIS_DETAIL drop COLUMN UPDATE_ID;</v>
      </c>
    </row>
    <row r="16" spans="2:6">
      <c r="B16" t="s">
        <v>50</v>
      </c>
      <c r="C16" t="s">
        <v>61</v>
      </c>
      <c r="D16" t="str">
        <f t="shared" si="0"/>
        <v>alter table CDC_TS_DIAGNOSIS_DETAIL drop COLUMN IS_DOWNLOAD;</v>
      </c>
    </row>
    <row r="17" spans="2:4">
      <c r="B17" t="s">
        <v>50</v>
      </c>
      <c r="C17" t="s">
        <v>64</v>
      </c>
      <c r="D17" t="str">
        <f t="shared" si="0"/>
        <v>alter table CDC_TS_DIAGNOSIS_DETAIL drop COLUMN SYNCHRO_STATUS;</v>
      </c>
    </row>
    <row r="18" spans="2:4">
      <c r="B18" t="s">
        <v>65</v>
      </c>
      <c r="C18" t="s">
        <v>63</v>
      </c>
      <c r="D18" t="str">
        <f t="shared" si="0"/>
        <v>alter table CDC_TS_LIS_INDICATORS drop COLUMN CREATE_ID;</v>
      </c>
    </row>
    <row r="19" spans="2:4">
      <c r="B19" t="s">
        <v>65</v>
      </c>
      <c r="C19" t="s">
        <v>34</v>
      </c>
      <c r="D19" t="str">
        <f t="shared" si="0"/>
        <v>alter table CDC_TS_LIS_INDICATORS drop COLUMN UPDATE_ID;</v>
      </c>
    </row>
    <row r="20" spans="2:4">
      <c r="B20" t="s">
        <v>65</v>
      </c>
      <c r="C20" t="s">
        <v>61</v>
      </c>
      <c r="D20" t="str">
        <f t="shared" si="0"/>
        <v>alter table CDC_TS_LIS_INDICATORS drop COLUMN IS_DOWNLOAD;</v>
      </c>
    </row>
    <row r="21" spans="2:4">
      <c r="B21" t="s">
        <v>65</v>
      </c>
      <c r="C21" t="s">
        <v>64</v>
      </c>
      <c r="D21" t="str">
        <f t="shared" si="0"/>
        <v>alter table CDC_TS_LIS_INDICATORS drop COLUMN SYNCHRO_STATUS;</v>
      </c>
    </row>
    <row r="22" spans="2:4">
      <c r="B22" t="s">
        <v>52</v>
      </c>
      <c r="C22" t="s">
        <v>63</v>
      </c>
      <c r="D22" t="str">
        <f t="shared" si="0"/>
        <v>alter table CDC_TS_PATIENT_INFORMATION drop COLUMN CREATE_ID;</v>
      </c>
    </row>
    <row r="23" spans="2:4">
      <c r="B23" t="s">
        <v>52</v>
      </c>
      <c r="C23" t="s">
        <v>34</v>
      </c>
      <c r="D23" t="str">
        <f t="shared" si="0"/>
        <v>alter table CDC_TS_PATIENT_INFORMATION drop COLUMN UPDATE_ID;</v>
      </c>
    </row>
    <row r="24" spans="2:4">
      <c r="B24" t="s">
        <v>52</v>
      </c>
      <c r="C24" t="s">
        <v>61</v>
      </c>
      <c r="D24" t="str">
        <f t="shared" si="0"/>
        <v>alter table CDC_TS_PATIENT_INFORMATION drop COLUMN IS_DOWNLOAD;</v>
      </c>
    </row>
    <row r="25" spans="2:4">
      <c r="B25" t="s">
        <v>52</v>
      </c>
      <c r="C25" t="s">
        <v>64</v>
      </c>
      <c r="D25" t="str">
        <f t="shared" si="0"/>
        <v>alter table CDC_TS_PATIENT_INFORMATION drop COLUMN SYNCHRO_STATUS;</v>
      </c>
    </row>
    <row r="26" spans="2:4">
      <c r="B26" t="s">
        <v>53</v>
      </c>
      <c r="C26" t="s">
        <v>63</v>
      </c>
      <c r="D26" t="str">
        <f t="shared" si="0"/>
        <v>alter table CDC_TS_RIS_REPORT drop COLUMN CREATE_ID;</v>
      </c>
    </row>
    <row r="27" spans="2:4">
      <c r="B27" t="s">
        <v>53</v>
      </c>
      <c r="C27" t="s">
        <v>34</v>
      </c>
      <c r="D27" t="str">
        <f t="shared" si="0"/>
        <v>alter table CDC_TS_RIS_REPORT drop COLUMN UPDATE_ID;</v>
      </c>
    </row>
    <row r="28" spans="2:4">
      <c r="B28" t="s">
        <v>53</v>
      </c>
      <c r="C28" t="s">
        <v>61</v>
      </c>
      <c r="D28" t="str">
        <f t="shared" si="0"/>
        <v>alter table CDC_TS_RIS_REPORT drop COLUMN IS_DOWNLOAD;</v>
      </c>
    </row>
    <row r="29" spans="2:4">
      <c r="B29" t="s">
        <v>53</v>
      </c>
      <c r="C29" t="s">
        <v>64</v>
      </c>
      <c r="D29" t="str">
        <f t="shared" si="0"/>
        <v>alter table CDC_TS_RIS_REPORT drop COLUMN SYNCHRO_STATUS;</v>
      </c>
    </row>
    <row r="30" spans="2:4">
      <c r="B30" t="s">
        <v>66</v>
      </c>
      <c r="C30" t="s">
        <v>63</v>
      </c>
      <c r="D30" t="str">
        <f t="shared" si="0"/>
        <v>alter table CDC_TS_RIS_REPORT2 drop COLUMN CREATE_ID;</v>
      </c>
    </row>
    <row r="31" spans="2:4">
      <c r="B31" t="s">
        <v>66</v>
      </c>
      <c r="C31" t="s">
        <v>34</v>
      </c>
      <c r="D31" t="str">
        <f t="shared" si="0"/>
        <v>alter table CDC_TS_RIS_REPORT2 drop COLUMN UPDATE_ID;</v>
      </c>
    </row>
    <row r="32" spans="2:4">
      <c r="B32" t="s">
        <v>66</v>
      </c>
      <c r="C32" t="s">
        <v>61</v>
      </c>
      <c r="D32" t="str">
        <f t="shared" si="0"/>
        <v>alter table CDC_TS_RIS_REPORT2 drop COLUMN IS_DOWNLOAD;</v>
      </c>
    </row>
    <row r="33" spans="2:4">
      <c r="B33" t="s">
        <v>66</v>
      </c>
      <c r="C33" t="s">
        <v>64</v>
      </c>
      <c r="D33" t="str">
        <f t="shared" si="0"/>
        <v>alter table CDC_TS_RIS_REPORT2 drop COLUMN SYNCHRO_STATUS;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21"/>
  <sheetViews>
    <sheetView workbookViewId="0">
      <selection activeCell="C11" sqref="C11:C13"/>
    </sheetView>
  </sheetViews>
  <sheetFormatPr defaultColWidth="8.90625" defaultRowHeight="14"/>
  <cols>
    <col min="1" max="1" width="2.453125" customWidth="1"/>
    <col min="2" max="2" width="19.90625" customWidth="1"/>
    <col min="3" max="3" width="30" customWidth="1"/>
    <col min="4" max="4" width="15.08984375" customWidth="1"/>
    <col min="5" max="8" width="8.90625" customWidth="1"/>
    <col min="9" max="9" width="57.08984375" customWidth="1"/>
    <col min="10" max="10" width="9.6328125" customWidth="1"/>
  </cols>
  <sheetData>
    <row r="1" spans="1:9" s="3" customFormat="1">
      <c r="A1" s="4"/>
    </row>
    <row r="2" spans="1:9" s="3" customFormat="1">
      <c r="A2" s="4"/>
      <c r="B2" s="191" t="s">
        <v>0</v>
      </c>
      <c r="C2" s="192"/>
    </row>
    <row r="3" spans="1:9" s="3" customFormat="1">
      <c r="A3" s="4"/>
      <c r="B3" s="5" t="s">
        <v>67</v>
      </c>
      <c r="C3" s="5" t="s">
        <v>68</v>
      </c>
      <c r="D3" s="2" t="s">
        <v>2</v>
      </c>
      <c r="G3" s="2"/>
    </row>
    <row r="4" spans="1:9" s="3" customFormat="1">
      <c r="A4" s="4"/>
    </row>
    <row r="5" spans="1:9" s="3" customFormat="1">
      <c r="A5" s="4"/>
      <c r="B5" s="191" t="s">
        <v>35</v>
      </c>
      <c r="C5" s="192"/>
      <c r="D5" s="6" t="s">
        <v>58</v>
      </c>
      <c r="E5" s="6" t="s">
        <v>5</v>
      </c>
      <c r="F5" s="6" t="s">
        <v>31</v>
      </c>
      <c r="G5" s="6" t="s">
        <v>6</v>
      </c>
      <c r="H5" s="6" t="s">
        <v>7</v>
      </c>
      <c r="I5" s="6" t="s">
        <v>1</v>
      </c>
    </row>
    <row r="6" spans="1:9" s="3" customFormat="1">
      <c r="A6" s="4"/>
      <c r="B6" s="7" t="s">
        <v>55</v>
      </c>
      <c r="C6" s="7" t="s">
        <v>82</v>
      </c>
      <c r="D6" s="8" t="s">
        <v>54</v>
      </c>
      <c r="E6" s="13"/>
      <c r="F6" s="13"/>
      <c r="G6" s="8" t="s">
        <v>36</v>
      </c>
      <c r="H6" s="8"/>
      <c r="I6" s="12"/>
    </row>
    <row r="7" spans="1:9" s="3" customFormat="1">
      <c r="A7" s="4"/>
      <c r="B7" s="9" t="s">
        <v>16</v>
      </c>
      <c r="C7" s="7" t="s">
        <v>12</v>
      </c>
      <c r="D7" s="8" t="s">
        <v>18</v>
      </c>
      <c r="E7" s="8"/>
      <c r="F7" s="8" t="s">
        <v>37</v>
      </c>
      <c r="G7" s="8" t="s">
        <v>36</v>
      </c>
      <c r="H7" s="8"/>
      <c r="I7" s="12" t="s">
        <v>38</v>
      </c>
    </row>
    <row r="8" spans="1:9" s="3" customFormat="1">
      <c r="A8" s="4"/>
      <c r="B8" s="9" t="s">
        <v>15</v>
      </c>
      <c r="C8" s="7" t="s">
        <v>9</v>
      </c>
      <c r="D8" s="8" t="s">
        <v>17</v>
      </c>
      <c r="E8" s="32"/>
      <c r="F8" s="8" t="s">
        <v>32</v>
      </c>
      <c r="G8" s="8" t="s">
        <v>36</v>
      </c>
      <c r="H8" s="8"/>
      <c r="I8" s="12"/>
    </row>
    <row r="9" spans="1:9" s="3" customFormat="1">
      <c r="A9" s="4"/>
      <c r="B9" s="9" t="s">
        <v>70</v>
      </c>
      <c r="C9" s="7" t="s">
        <v>69</v>
      </c>
      <c r="D9" s="8" t="s">
        <v>33</v>
      </c>
      <c r="E9" s="32"/>
      <c r="F9" s="8"/>
      <c r="G9" s="8"/>
      <c r="H9" s="8"/>
      <c r="I9" s="12" t="s">
        <v>79</v>
      </c>
    </row>
    <row r="10" spans="1:9" s="3" customFormat="1">
      <c r="A10" s="4"/>
      <c r="B10" s="9" t="s">
        <v>72</v>
      </c>
      <c r="C10" s="9" t="s">
        <v>71</v>
      </c>
      <c r="D10" s="10" t="s">
        <v>73</v>
      </c>
      <c r="E10" s="32"/>
      <c r="F10" s="10"/>
      <c r="G10" s="10"/>
      <c r="H10" s="10"/>
      <c r="I10" s="11" t="s">
        <v>80</v>
      </c>
    </row>
    <row r="11" spans="1:9" s="3" customFormat="1">
      <c r="A11" s="4"/>
      <c r="B11" s="9" t="s">
        <v>75</v>
      </c>
      <c r="C11" s="9" t="s">
        <v>74</v>
      </c>
      <c r="D11" s="10" t="s">
        <v>17</v>
      </c>
      <c r="E11" s="32"/>
      <c r="F11" s="32"/>
      <c r="G11" s="10"/>
      <c r="H11" s="10"/>
      <c r="I11" s="11"/>
    </row>
    <row r="12" spans="1:9" s="3" customFormat="1">
      <c r="A12" s="4"/>
      <c r="B12" s="9" t="s">
        <v>77</v>
      </c>
      <c r="C12" s="9" t="s">
        <v>76</v>
      </c>
      <c r="D12" s="10" t="s">
        <v>17</v>
      </c>
      <c r="E12" s="10"/>
      <c r="F12" s="8"/>
      <c r="G12" s="10"/>
      <c r="H12" s="10"/>
      <c r="I12" s="11"/>
    </row>
    <row r="13" spans="1:9" s="3" customFormat="1">
      <c r="A13" s="4"/>
      <c r="B13" s="9" t="s">
        <v>78</v>
      </c>
      <c r="C13" s="9" t="s">
        <v>81</v>
      </c>
      <c r="D13" s="10" t="s">
        <v>17</v>
      </c>
      <c r="E13" s="10"/>
      <c r="F13" s="10"/>
      <c r="G13" s="10"/>
      <c r="H13" s="10"/>
      <c r="I13" s="11"/>
    </row>
    <row r="14" spans="1:9" s="47" customFormat="1">
      <c r="A14" s="26"/>
      <c r="B14" s="42" t="s">
        <v>23</v>
      </c>
      <c r="C14" s="43" t="s">
        <v>20</v>
      </c>
      <c r="D14" s="44" t="s">
        <v>22</v>
      </c>
      <c r="E14" s="45"/>
      <c r="F14" s="45"/>
      <c r="G14" s="45"/>
      <c r="H14" s="45"/>
      <c r="I14" s="46"/>
    </row>
    <row r="15" spans="1:9" s="47" customFormat="1">
      <c r="A15" s="26"/>
      <c r="B15" s="42" t="s">
        <v>24</v>
      </c>
      <c r="C15" s="43" t="s">
        <v>25</v>
      </c>
      <c r="D15" s="44" t="s">
        <v>22</v>
      </c>
      <c r="E15" s="45"/>
      <c r="F15" s="45"/>
      <c r="G15" s="45"/>
      <c r="H15" s="45"/>
      <c r="I15" s="46"/>
    </row>
    <row r="16" spans="1:9" s="47" customFormat="1">
      <c r="B16" s="42" t="s">
        <v>26</v>
      </c>
      <c r="C16" s="43" t="s">
        <v>21</v>
      </c>
      <c r="D16" s="44" t="s">
        <v>22</v>
      </c>
      <c r="E16" s="44"/>
      <c r="F16" s="44"/>
      <c r="G16" s="44"/>
      <c r="H16" s="44"/>
      <c r="I16" s="48"/>
    </row>
    <row r="17" spans="1:9" s="47" customFormat="1">
      <c r="A17" s="26"/>
      <c r="B17" s="42" t="s">
        <v>46</v>
      </c>
      <c r="C17" s="43" t="s">
        <v>29</v>
      </c>
      <c r="D17" s="44" t="s">
        <v>18</v>
      </c>
      <c r="E17" s="44"/>
      <c r="F17" s="44"/>
      <c r="G17" s="44" t="s">
        <v>8</v>
      </c>
      <c r="H17" s="44">
        <v>0</v>
      </c>
      <c r="I17" s="48" t="s">
        <v>13</v>
      </c>
    </row>
    <row r="18" spans="1:9" s="51" customFormat="1" ht="28">
      <c r="A18" s="49"/>
      <c r="B18" s="42" t="s">
        <v>30</v>
      </c>
      <c r="C18" s="43" t="s">
        <v>14</v>
      </c>
      <c r="D18" s="44" t="s">
        <v>19</v>
      </c>
      <c r="E18" s="44"/>
      <c r="F18" s="44"/>
      <c r="G18" s="44"/>
      <c r="H18" s="44"/>
      <c r="I18" s="50" t="s">
        <v>44</v>
      </c>
    </row>
    <row r="19" spans="1:9" s="24" customFormat="1">
      <c r="A19" s="21"/>
      <c r="B19" s="22" t="s">
        <v>27</v>
      </c>
      <c r="C19" s="22" t="s">
        <v>10</v>
      </c>
      <c r="D19" s="23" t="s">
        <v>45</v>
      </c>
      <c r="E19" s="23"/>
      <c r="F19" s="23"/>
      <c r="G19" s="23"/>
      <c r="H19" s="23"/>
      <c r="I19" s="31"/>
    </row>
    <row r="20" spans="1:9" s="24" customFormat="1">
      <c r="A20" s="21"/>
      <c r="B20" s="22" t="s">
        <v>28</v>
      </c>
      <c r="C20" s="22" t="s">
        <v>11</v>
      </c>
      <c r="D20" s="23" t="s">
        <v>45</v>
      </c>
      <c r="E20" s="23"/>
      <c r="F20" s="23"/>
      <c r="G20" s="23"/>
      <c r="H20" s="23"/>
      <c r="I20" s="31"/>
    </row>
    <row r="21" spans="1:9" s="20" customFormat="1">
      <c r="A21" s="16"/>
      <c r="B21" s="17" t="s">
        <v>59</v>
      </c>
      <c r="C21" s="18" t="s">
        <v>60</v>
      </c>
      <c r="D21" s="19" t="s">
        <v>18</v>
      </c>
      <c r="E21" s="19"/>
      <c r="F21" s="19"/>
      <c r="G21" s="19"/>
      <c r="H21" s="19"/>
      <c r="I21" s="30" t="s">
        <v>62</v>
      </c>
    </row>
  </sheetData>
  <mergeCells count="2">
    <mergeCell ref="B2:C2"/>
    <mergeCell ref="B5:C5"/>
  </mergeCells>
  <phoneticPr fontId="7" type="noConversion"/>
  <hyperlinks>
    <hyperlink ref="D3" location="目录!A1" display="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H2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93" t="s">
        <v>0</v>
      </c>
      <c r="C2" s="194"/>
      <c r="E2" s="3"/>
      <c r="F2" s="3" t="s">
        <v>127</v>
      </c>
      <c r="G2" s="3" t="s">
        <v>126</v>
      </c>
      <c r="H2" s="3"/>
    </row>
    <row r="3" spans="1:8">
      <c r="B3" s="5" t="s">
        <v>181</v>
      </c>
      <c r="C3" s="5" t="s">
        <v>180</v>
      </c>
      <c r="D3" s="2" t="s">
        <v>2</v>
      </c>
      <c r="E3" s="3"/>
      <c r="F3" s="3">
        <v>95</v>
      </c>
      <c r="G3" s="2" t="s">
        <v>846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78" t="s">
        <v>112</v>
      </c>
      <c r="E6" s="69" t="s">
        <v>393</v>
      </c>
      <c r="F6" s="25" t="s">
        <v>8</v>
      </c>
      <c r="G6" s="65"/>
      <c r="H6" s="68" t="s">
        <v>86</v>
      </c>
    </row>
    <row r="7" spans="1:8" s="15" customFormat="1">
      <c r="A7" s="63">
        <v>2</v>
      </c>
      <c r="B7" s="27" t="s">
        <v>124</v>
      </c>
      <c r="C7" s="83" t="s">
        <v>255</v>
      </c>
      <c r="D7" s="78" t="s">
        <v>145</v>
      </c>
      <c r="E7" s="25" t="s">
        <v>394</v>
      </c>
      <c r="F7" s="25" t="s">
        <v>8</v>
      </c>
      <c r="G7" s="25"/>
      <c r="H7" s="28"/>
    </row>
    <row r="8" spans="1:8" s="15" customFormat="1">
      <c r="A8" s="63">
        <v>3</v>
      </c>
      <c r="B8" s="27" t="s">
        <v>150</v>
      </c>
      <c r="C8" s="83" t="s">
        <v>151</v>
      </c>
      <c r="D8" s="78" t="s">
        <v>146</v>
      </c>
      <c r="E8" s="25"/>
      <c r="F8" s="25"/>
      <c r="G8" s="25"/>
      <c r="H8" s="28"/>
    </row>
    <row r="9" spans="1:8">
      <c r="A9" s="63">
        <v>4</v>
      </c>
      <c r="B9" s="84" t="s">
        <v>125</v>
      </c>
      <c r="C9" s="82" t="s">
        <v>116</v>
      </c>
      <c r="D9" s="78" t="s">
        <v>145</v>
      </c>
      <c r="E9" s="25" t="s">
        <v>394</v>
      </c>
      <c r="F9" s="25" t="s">
        <v>8</v>
      </c>
      <c r="G9" s="75"/>
      <c r="H9" s="76"/>
    </row>
    <row r="10" spans="1:8" s="73" customFormat="1">
      <c r="A10" s="63">
        <v>5</v>
      </c>
      <c r="B10" s="70" t="s">
        <v>114</v>
      </c>
      <c r="C10" s="83" t="s">
        <v>147</v>
      </c>
      <c r="D10" s="78" t="s">
        <v>113</v>
      </c>
      <c r="E10" s="72"/>
      <c r="F10" s="72"/>
      <c r="G10" s="72"/>
      <c r="H10" s="71"/>
    </row>
    <row r="11" spans="1:8" s="15" customFormat="1">
      <c r="A11" s="63">
        <v>6</v>
      </c>
      <c r="B11" s="27" t="s">
        <v>109</v>
      </c>
      <c r="C11" s="82" t="s">
        <v>115</v>
      </c>
      <c r="D11" s="78" t="s">
        <v>146</v>
      </c>
      <c r="E11" s="25"/>
      <c r="F11" s="25"/>
      <c r="G11" s="25"/>
      <c r="H11" s="71"/>
    </row>
    <row r="12" spans="1:8" s="29" customFormat="1">
      <c r="A12" s="63">
        <v>7</v>
      </c>
      <c r="B12" s="14" t="s">
        <v>140</v>
      </c>
      <c r="C12" s="86" t="s">
        <v>20</v>
      </c>
      <c r="D12" s="87" t="s">
        <v>123</v>
      </c>
      <c r="E12" s="14"/>
      <c r="F12" s="14"/>
      <c r="G12" s="14"/>
      <c r="H12" s="14"/>
    </row>
    <row r="13" spans="1:8" s="29" customFormat="1">
      <c r="A13" s="63">
        <v>8</v>
      </c>
      <c r="B13" s="14" t="s">
        <v>141</v>
      </c>
      <c r="C13" s="86" t="s">
        <v>25</v>
      </c>
      <c r="D13" s="87" t="s">
        <v>123</v>
      </c>
      <c r="E13" s="14"/>
      <c r="F13" s="14"/>
      <c r="G13" s="14"/>
      <c r="H13" s="14"/>
    </row>
    <row r="14" spans="1:8" s="29" customFormat="1">
      <c r="A14" s="63">
        <v>9</v>
      </c>
      <c r="B14" s="14" t="s">
        <v>142</v>
      </c>
      <c r="C14" s="86" t="s">
        <v>21</v>
      </c>
      <c r="D14" s="87" t="s">
        <v>123</v>
      </c>
      <c r="E14" s="14"/>
      <c r="F14" s="14"/>
      <c r="G14" s="14"/>
      <c r="H14" s="14"/>
    </row>
    <row r="15" spans="1:8" ht="28">
      <c r="A15" s="63">
        <v>10</v>
      </c>
      <c r="B15" s="84" t="s">
        <v>128</v>
      </c>
      <c r="C15" s="75" t="s">
        <v>117</v>
      </c>
      <c r="D15" s="80" t="s">
        <v>108</v>
      </c>
      <c r="E15" s="75"/>
      <c r="F15" s="25" t="s">
        <v>8</v>
      </c>
      <c r="G15" s="85" t="s">
        <v>134</v>
      </c>
      <c r="H15" s="76" t="s">
        <v>121</v>
      </c>
    </row>
    <row r="16" spans="1:8">
      <c r="A16" s="63">
        <v>11</v>
      </c>
      <c r="B16" s="84" t="s">
        <v>129</v>
      </c>
      <c r="C16" s="75" t="s">
        <v>118</v>
      </c>
      <c r="D16" s="80" t="s">
        <v>112</v>
      </c>
      <c r="E16" s="75"/>
      <c r="F16" s="75"/>
      <c r="G16" s="75"/>
      <c r="H16" s="56" t="s">
        <v>208</v>
      </c>
    </row>
    <row r="17" spans="1:8">
      <c r="A17" s="63">
        <v>12</v>
      </c>
      <c r="B17" s="84" t="s">
        <v>130</v>
      </c>
      <c r="C17" s="75" t="s">
        <v>10</v>
      </c>
      <c r="D17" s="80" t="s">
        <v>110</v>
      </c>
      <c r="E17" s="75"/>
      <c r="F17" s="25" t="s">
        <v>8</v>
      </c>
      <c r="G17" s="84" t="s">
        <v>133</v>
      </c>
      <c r="H17" s="75"/>
    </row>
    <row r="18" spans="1:8">
      <c r="A18" s="63">
        <v>13</v>
      </c>
      <c r="B18" s="84" t="s">
        <v>131</v>
      </c>
      <c r="C18" s="75" t="s">
        <v>119</v>
      </c>
      <c r="D18" s="80" t="s">
        <v>112</v>
      </c>
      <c r="E18" s="75"/>
      <c r="F18" s="75"/>
      <c r="G18" s="75"/>
      <c r="H18" s="56" t="s">
        <v>208</v>
      </c>
    </row>
    <row r="19" spans="1:8">
      <c r="A19" s="63">
        <v>14</v>
      </c>
      <c r="B19" s="84" t="s">
        <v>132</v>
      </c>
      <c r="C19" s="75" t="s">
        <v>11</v>
      </c>
      <c r="D19" s="80" t="s">
        <v>110</v>
      </c>
      <c r="E19" s="75"/>
      <c r="F19" s="25" t="s">
        <v>8</v>
      </c>
      <c r="G19" s="84" t="s">
        <v>133</v>
      </c>
      <c r="H19" s="75"/>
    </row>
    <row r="20" spans="1:8">
      <c r="A20" s="63">
        <v>15</v>
      </c>
      <c r="B20" s="75" t="s">
        <v>120</v>
      </c>
      <c r="C20" s="75" t="s">
        <v>94</v>
      </c>
      <c r="D20" s="80" t="s">
        <v>122</v>
      </c>
      <c r="E20" s="75"/>
      <c r="F20" s="75"/>
      <c r="G20" s="75"/>
      <c r="H20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O64"/>
  <sheetViews>
    <sheetView zoomScale="55" zoomScaleNormal="55" workbookViewId="0">
      <pane ySplit="2" topLeftCell="A3" activePane="bottomLeft" state="frozen"/>
      <selection pane="bottomLeft" activeCell="C1" sqref="C1"/>
    </sheetView>
  </sheetViews>
  <sheetFormatPr defaultColWidth="8.90625" defaultRowHeight="14"/>
  <cols>
    <col min="1" max="1" width="4.26953125" customWidth="1"/>
    <col min="2" max="2" width="19.90625" customWidth="1"/>
    <col min="3" max="3" width="21.7265625" customWidth="1"/>
    <col min="4" max="4" width="15" customWidth="1"/>
    <col min="5" max="5" width="13.453125" style="93" customWidth="1"/>
    <col min="6" max="6" width="22" customWidth="1"/>
    <col min="7" max="7" width="11.7265625" customWidth="1"/>
    <col min="8" max="8" width="10.90625" customWidth="1"/>
    <col min="9" max="9" width="11.7265625" bestFit="1" customWidth="1"/>
    <col min="10" max="10" width="11.81640625" customWidth="1"/>
    <col min="11" max="11" width="14.08984375" customWidth="1"/>
    <col min="12" max="12" width="18.1796875" bestFit="1" customWidth="1"/>
    <col min="14" max="14" width="18.1796875" bestFit="1" customWidth="1"/>
    <col min="15" max="15" width="15.54296875" customWidth="1"/>
  </cols>
  <sheetData>
    <row r="1" spans="1:15" ht="20.5" customHeight="1">
      <c r="A1" s="74" t="s">
        <v>177</v>
      </c>
      <c r="C1" s="2" t="s">
        <v>2</v>
      </c>
    </row>
    <row r="2" spans="1:15">
      <c r="B2" s="59" t="s">
        <v>149</v>
      </c>
      <c r="C2" s="59" t="s">
        <v>151</v>
      </c>
      <c r="D2" s="59" t="s">
        <v>152</v>
      </c>
      <c r="E2" s="94" t="s">
        <v>147</v>
      </c>
      <c r="F2" s="59" t="s">
        <v>153</v>
      </c>
      <c r="G2" s="59" t="s">
        <v>20</v>
      </c>
      <c r="H2" s="59" t="s">
        <v>25</v>
      </c>
      <c r="I2" s="59" t="s">
        <v>21</v>
      </c>
      <c r="J2" s="59" t="s">
        <v>29</v>
      </c>
      <c r="K2" s="59" t="s">
        <v>154</v>
      </c>
      <c r="L2" s="59" t="s">
        <v>155</v>
      </c>
      <c r="M2" s="59" t="s">
        <v>156</v>
      </c>
      <c r="N2" s="59" t="s">
        <v>157</v>
      </c>
      <c r="O2" s="59" t="s">
        <v>158</v>
      </c>
    </row>
    <row r="3" spans="1:15" s="62" customFormat="1">
      <c r="A3" s="63">
        <v>1</v>
      </c>
      <c r="B3" s="88" t="s">
        <v>124</v>
      </c>
      <c r="C3" s="88" t="s">
        <v>150</v>
      </c>
      <c r="D3" s="89" t="s">
        <v>125</v>
      </c>
      <c r="E3" s="95" t="s">
        <v>114</v>
      </c>
      <c r="F3" s="88" t="s">
        <v>109</v>
      </c>
      <c r="G3" s="90" t="s">
        <v>140</v>
      </c>
      <c r="H3" s="90" t="s">
        <v>141</v>
      </c>
      <c r="I3" s="90" t="s">
        <v>142</v>
      </c>
      <c r="J3" s="89" t="s">
        <v>128</v>
      </c>
      <c r="K3" s="89" t="s">
        <v>129</v>
      </c>
      <c r="L3" s="89" t="s">
        <v>130</v>
      </c>
      <c r="M3" s="89" t="s">
        <v>131</v>
      </c>
      <c r="N3" s="89" t="s">
        <v>132</v>
      </c>
      <c r="O3" s="91" t="s">
        <v>120</v>
      </c>
    </row>
    <row r="4" spans="1:15" s="15" customFormat="1" ht="14.5" customHeight="1">
      <c r="A4" s="63" t="s">
        <v>176</v>
      </c>
      <c r="B4" s="27" t="s">
        <v>726</v>
      </c>
      <c r="C4" s="83" t="s">
        <v>720</v>
      </c>
      <c r="D4" s="97">
        <v>0</v>
      </c>
      <c r="E4" s="97">
        <v>1</v>
      </c>
      <c r="F4" s="78" t="s">
        <v>721</v>
      </c>
      <c r="G4" s="25"/>
      <c r="H4" s="28"/>
      <c r="I4" s="27"/>
      <c r="J4" s="27" t="s">
        <v>162</v>
      </c>
      <c r="K4" s="27" t="s">
        <v>163</v>
      </c>
      <c r="L4" s="96">
        <v>45513</v>
      </c>
      <c r="M4" s="27" t="s">
        <v>163</v>
      </c>
      <c r="N4" s="96">
        <v>45513</v>
      </c>
      <c r="O4" s="27" t="s">
        <v>164</v>
      </c>
    </row>
    <row r="5" spans="1:15" s="15" customFormat="1" ht="14.5" customHeight="1">
      <c r="A5" s="63" t="s">
        <v>176</v>
      </c>
      <c r="B5" s="27" t="s">
        <v>719</v>
      </c>
      <c r="C5" s="83" t="s">
        <v>720</v>
      </c>
      <c r="D5" s="97">
        <v>1</v>
      </c>
      <c r="E5" s="97">
        <v>2</v>
      </c>
      <c r="F5" s="78" t="s">
        <v>725</v>
      </c>
      <c r="G5" s="25"/>
      <c r="H5" s="28"/>
      <c r="I5" s="27"/>
      <c r="J5" s="27" t="s">
        <v>162</v>
      </c>
      <c r="K5" s="27" t="s">
        <v>163</v>
      </c>
      <c r="L5" s="96">
        <v>45513</v>
      </c>
      <c r="M5" s="27" t="s">
        <v>163</v>
      </c>
      <c r="N5" s="96">
        <v>45513</v>
      </c>
      <c r="O5" s="27" t="s">
        <v>164</v>
      </c>
    </row>
    <row r="6" spans="1:15" s="15" customFormat="1" ht="14.5" customHeight="1">
      <c r="A6" s="63" t="s">
        <v>176</v>
      </c>
      <c r="B6" s="27" t="s">
        <v>719</v>
      </c>
      <c r="C6" s="83" t="s">
        <v>720</v>
      </c>
      <c r="D6" s="97">
        <v>2</v>
      </c>
      <c r="E6" s="97">
        <v>3</v>
      </c>
      <c r="F6" s="78" t="s">
        <v>722</v>
      </c>
      <c r="G6" s="25"/>
      <c r="H6" s="28"/>
      <c r="I6" s="27"/>
      <c r="J6" s="27" t="s">
        <v>162</v>
      </c>
      <c r="K6" s="27" t="s">
        <v>163</v>
      </c>
      <c r="L6" s="96">
        <v>45513</v>
      </c>
      <c r="M6" s="27" t="s">
        <v>163</v>
      </c>
      <c r="N6" s="96">
        <v>45513</v>
      </c>
      <c r="O6" s="27" t="s">
        <v>164</v>
      </c>
    </row>
    <row r="7" spans="1:15" s="15" customFormat="1" ht="14.5" customHeight="1">
      <c r="A7" s="63" t="s">
        <v>176</v>
      </c>
      <c r="B7" s="27" t="s">
        <v>719</v>
      </c>
      <c r="C7" s="83" t="s">
        <v>720</v>
      </c>
      <c r="D7" s="97">
        <v>8</v>
      </c>
      <c r="E7" s="97">
        <v>4</v>
      </c>
      <c r="F7" s="78" t="s">
        <v>723</v>
      </c>
      <c r="G7" s="25"/>
      <c r="H7" s="28"/>
      <c r="I7" s="27"/>
      <c r="J7" s="27" t="s">
        <v>162</v>
      </c>
      <c r="K7" s="27" t="s">
        <v>163</v>
      </c>
      <c r="L7" s="96">
        <v>45513</v>
      </c>
      <c r="M7" s="27" t="s">
        <v>163</v>
      </c>
      <c r="N7" s="96">
        <v>45513</v>
      </c>
      <c r="O7" s="27" t="s">
        <v>164</v>
      </c>
    </row>
    <row r="8" spans="1:15" s="15" customFormat="1" ht="14.5" customHeight="1">
      <c r="A8" s="63" t="s">
        <v>176</v>
      </c>
      <c r="B8" s="27" t="s">
        <v>719</v>
      </c>
      <c r="C8" s="83" t="s">
        <v>720</v>
      </c>
      <c r="D8" s="97">
        <v>9</v>
      </c>
      <c r="E8" s="97">
        <v>5</v>
      </c>
      <c r="F8" s="78" t="s">
        <v>724</v>
      </c>
      <c r="G8" s="25"/>
      <c r="H8" s="28"/>
      <c r="I8" s="27"/>
      <c r="J8" s="27" t="s">
        <v>162</v>
      </c>
      <c r="K8" s="27" t="s">
        <v>163</v>
      </c>
      <c r="L8" s="96">
        <v>45513</v>
      </c>
      <c r="M8" s="27" t="s">
        <v>163</v>
      </c>
      <c r="N8" s="96">
        <v>45513</v>
      </c>
      <c r="O8" s="27" t="s">
        <v>164</v>
      </c>
    </row>
    <row r="9" spans="1:15" s="15" customFormat="1" ht="14.5" customHeight="1">
      <c r="A9" s="63" t="s">
        <v>176</v>
      </c>
      <c r="B9" s="27" t="s">
        <v>585</v>
      </c>
      <c r="C9" s="83" t="s">
        <v>391</v>
      </c>
      <c r="D9" s="97">
        <v>1</v>
      </c>
      <c r="E9" s="97">
        <v>1</v>
      </c>
      <c r="F9" s="78" t="s">
        <v>262</v>
      </c>
      <c r="G9" s="25"/>
      <c r="H9" s="28"/>
      <c r="I9" s="27"/>
      <c r="J9" s="27" t="s">
        <v>162</v>
      </c>
      <c r="K9" s="27" t="s">
        <v>163</v>
      </c>
      <c r="L9" s="96">
        <v>45513</v>
      </c>
      <c r="M9" s="27" t="s">
        <v>163</v>
      </c>
      <c r="N9" s="96">
        <v>45513</v>
      </c>
      <c r="O9" s="27" t="s">
        <v>164</v>
      </c>
    </row>
    <row r="10" spans="1:15" s="15" customFormat="1">
      <c r="A10" s="63" t="s">
        <v>176</v>
      </c>
      <c r="B10" s="27" t="s">
        <v>182</v>
      </c>
      <c r="C10" s="83" t="s">
        <v>193</v>
      </c>
      <c r="D10" s="97">
        <v>2</v>
      </c>
      <c r="E10" s="97">
        <v>2</v>
      </c>
      <c r="F10" s="78" t="s">
        <v>263</v>
      </c>
      <c r="G10" s="25"/>
      <c r="H10" s="28"/>
      <c r="I10" s="27"/>
      <c r="J10" s="27" t="s">
        <v>162</v>
      </c>
      <c r="K10" s="27" t="s">
        <v>163</v>
      </c>
      <c r="L10" s="96">
        <v>45513</v>
      </c>
      <c r="M10" s="27" t="s">
        <v>163</v>
      </c>
      <c r="N10" s="96">
        <v>45513</v>
      </c>
      <c r="O10" s="27" t="s">
        <v>164</v>
      </c>
    </row>
    <row r="11" spans="1:15">
      <c r="A11" s="63" t="s">
        <v>176</v>
      </c>
      <c r="B11" s="27" t="s">
        <v>182</v>
      </c>
      <c r="C11" s="82" t="s">
        <v>193</v>
      </c>
      <c r="D11" s="97">
        <v>3</v>
      </c>
      <c r="E11" s="97">
        <v>3</v>
      </c>
      <c r="F11" s="78" t="s">
        <v>264</v>
      </c>
      <c r="G11" s="75"/>
      <c r="H11" s="76"/>
      <c r="I11" s="75"/>
      <c r="J11" s="75" t="s">
        <v>162</v>
      </c>
      <c r="K11" s="27" t="s">
        <v>163</v>
      </c>
      <c r="L11" s="96">
        <v>45513</v>
      </c>
      <c r="M11" s="27" t="s">
        <v>163</v>
      </c>
      <c r="N11" s="96">
        <v>45513</v>
      </c>
      <c r="O11" s="75" t="s">
        <v>164</v>
      </c>
    </row>
    <row r="12" spans="1:15" s="15" customFormat="1">
      <c r="A12" s="63" t="s">
        <v>176</v>
      </c>
      <c r="B12" s="27" t="s">
        <v>182</v>
      </c>
      <c r="C12" s="82" t="s">
        <v>193</v>
      </c>
      <c r="D12" s="97">
        <v>4</v>
      </c>
      <c r="E12" s="97">
        <v>4</v>
      </c>
      <c r="F12" s="78" t="s">
        <v>265</v>
      </c>
      <c r="G12" s="25"/>
      <c r="H12" s="71"/>
      <c r="I12" s="27"/>
      <c r="J12" s="27" t="s">
        <v>162</v>
      </c>
      <c r="K12" s="27" t="s">
        <v>163</v>
      </c>
      <c r="L12" s="96">
        <v>45513</v>
      </c>
      <c r="M12" s="27" t="s">
        <v>163</v>
      </c>
      <c r="N12" s="96">
        <v>45513</v>
      </c>
      <c r="O12" s="27" t="s">
        <v>164</v>
      </c>
    </row>
    <row r="13" spans="1:15" s="15" customFormat="1">
      <c r="A13" s="63" t="s">
        <v>95</v>
      </c>
      <c r="B13" s="27" t="s">
        <v>182</v>
      </c>
      <c r="C13" s="83" t="s">
        <v>193</v>
      </c>
      <c r="D13" s="97">
        <v>5</v>
      </c>
      <c r="E13" s="97">
        <v>5</v>
      </c>
      <c r="F13" s="78" t="s">
        <v>266</v>
      </c>
      <c r="G13" s="25"/>
      <c r="H13" s="28"/>
      <c r="I13" s="27"/>
      <c r="J13" s="27" t="s">
        <v>162</v>
      </c>
      <c r="K13" s="27" t="s">
        <v>163</v>
      </c>
      <c r="L13" s="96">
        <v>45513</v>
      </c>
      <c r="M13" s="27" t="s">
        <v>163</v>
      </c>
      <c r="N13" s="96">
        <v>45513</v>
      </c>
      <c r="O13" s="27" t="s">
        <v>164</v>
      </c>
    </row>
    <row r="14" spans="1:15" s="15" customFormat="1">
      <c r="A14" s="63" t="s">
        <v>95</v>
      </c>
      <c r="B14" s="27" t="s">
        <v>182</v>
      </c>
      <c r="C14" s="83" t="s">
        <v>193</v>
      </c>
      <c r="D14" s="97">
        <v>6</v>
      </c>
      <c r="E14" s="97">
        <v>6</v>
      </c>
      <c r="F14" s="78" t="s">
        <v>259</v>
      </c>
      <c r="G14" s="25"/>
      <c r="H14" s="28"/>
      <c r="I14" s="27"/>
      <c r="J14" s="27" t="s">
        <v>162</v>
      </c>
      <c r="K14" s="27" t="s">
        <v>163</v>
      </c>
      <c r="L14" s="96">
        <v>45513</v>
      </c>
      <c r="M14" s="27" t="s">
        <v>163</v>
      </c>
      <c r="N14" s="96">
        <v>45513</v>
      </c>
      <c r="O14" s="27" t="s">
        <v>164</v>
      </c>
    </row>
    <row r="15" spans="1:15">
      <c r="A15" s="63" t="s">
        <v>95</v>
      </c>
      <c r="B15" s="27" t="s">
        <v>182</v>
      </c>
      <c r="C15" s="82" t="s">
        <v>193</v>
      </c>
      <c r="D15" s="97">
        <v>7</v>
      </c>
      <c r="E15" s="97">
        <v>7</v>
      </c>
      <c r="F15" s="78" t="s">
        <v>260</v>
      </c>
      <c r="G15" s="75"/>
      <c r="H15" s="76"/>
      <c r="I15" s="75"/>
      <c r="J15" s="75" t="s">
        <v>162</v>
      </c>
      <c r="K15" s="27" t="s">
        <v>163</v>
      </c>
      <c r="L15" s="96">
        <v>45513</v>
      </c>
      <c r="M15" s="27" t="s">
        <v>163</v>
      </c>
      <c r="N15" s="96">
        <v>45513</v>
      </c>
      <c r="O15" s="75" t="s">
        <v>164</v>
      </c>
    </row>
    <row r="16" spans="1:15" s="15" customFormat="1">
      <c r="A16" s="63" t="s">
        <v>95</v>
      </c>
      <c r="B16" s="27" t="s">
        <v>182</v>
      </c>
      <c r="C16" s="83" t="s">
        <v>715</v>
      </c>
      <c r="D16" s="97">
        <v>8</v>
      </c>
      <c r="E16" s="97">
        <v>8</v>
      </c>
      <c r="F16" s="78" t="s">
        <v>261</v>
      </c>
      <c r="G16" s="25"/>
      <c r="H16" s="71"/>
      <c r="I16" s="27"/>
      <c r="J16" s="27" t="s">
        <v>162</v>
      </c>
      <c r="K16" s="27" t="s">
        <v>163</v>
      </c>
      <c r="L16" s="96">
        <v>45513</v>
      </c>
      <c r="M16" s="27" t="s">
        <v>163</v>
      </c>
      <c r="N16" s="96">
        <v>45513</v>
      </c>
      <c r="O16" s="27" t="s">
        <v>164</v>
      </c>
    </row>
    <row r="17" spans="1:15">
      <c r="A17" s="63" t="s">
        <v>95</v>
      </c>
      <c r="B17" s="27" t="s">
        <v>182</v>
      </c>
      <c r="C17" s="82" t="s">
        <v>193</v>
      </c>
      <c r="D17" s="97">
        <v>9</v>
      </c>
      <c r="E17" s="97">
        <v>9</v>
      </c>
      <c r="F17" s="78" t="s">
        <v>645</v>
      </c>
      <c r="G17" s="75"/>
      <c r="H17" s="76"/>
      <c r="I17" s="75"/>
      <c r="J17" s="75" t="s">
        <v>162</v>
      </c>
      <c r="K17" s="27" t="s">
        <v>163</v>
      </c>
      <c r="L17" s="96">
        <v>45513</v>
      </c>
      <c r="M17" s="27" t="s">
        <v>163</v>
      </c>
      <c r="N17" s="96">
        <v>45513</v>
      </c>
      <c r="O17" s="75" t="s">
        <v>164</v>
      </c>
    </row>
    <row r="18" spans="1:15" s="15" customFormat="1">
      <c r="A18" s="63" t="s">
        <v>95</v>
      </c>
      <c r="B18" s="27" t="s">
        <v>182</v>
      </c>
      <c r="C18" s="82" t="s">
        <v>193</v>
      </c>
      <c r="D18" s="97">
        <v>10</v>
      </c>
      <c r="E18" s="97">
        <v>10</v>
      </c>
      <c r="F18" s="78" t="s">
        <v>267</v>
      </c>
      <c r="G18" s="25"/>
      <c r="H18" s="71"/>
      <c r="I18" s="27"/>
      <c r="J18" s="27" t="s">
        <v>162</v>
      </c>
      <c r="K18" s="27" t="s">
        <v>163</v>
      </c>
      <c r="L18" s="96">
        <v>45513</v>
      </c>
      <c r="M18" s="27" t="s">
        <v>163</v>
      </c>
      <c r="N18" s="96">
        <v>45513</v>
      </c>
      <c r="O18" s="27" t="s">
        <v>164</v>
      </c>
    </row>
    <row r="19" spans="1:15" s="29" customFormat="1">
      <c r="A19" s="63" t="s">
        <v>176</v>
      </c>
      <c r="B19" s="27" t="s">
        <v>717</v>
      </c>
      <c r="C19" s="86" t="s">
        <v>194</v>
      </c>
      <c r="D19" s="98">
        <v>1</v>
      </c>
      <c r="E19" s="87">
        <v>1</v>
      </c>
      <c r="F19" s="87" t="s">
        <v>186</v>
      </c>
      <c r="G19" s="14"/>
      <c r="H19" s="14"/>
      <c r="I19" s="14"/>
      <c r="J19" s="14" t="s">
        <v>162</v>
      </c>
      <c r="K19" s="27" t="s">
        <v>163</v>
      </c>
      <c r="L19" s="96">
        <v>45513</v>
      </c>
      <c r="M19" s="27" t="s">
        <v>163</v>
      </c>
      <c r="N19" s="96">
        <v>45513</v>
      </c>
      <c r="O19" s="14" t="s">
        <v>164</v>
      </c>
    </row>
    <row r="20" spans="1:15" s="29" customFormat="1">
      <c r="A20" s="63" t="s">
        <v>95</v>
      </c>
      <c r="B20" s="27" t="s">
        <v>254</v>
      </c>
      <c r="C20" s="86" t="s">
        <v>194</v>
      </c>
      <c r="D20" s="98">
        <v>2</v>
      </c>
      <c r="E20" s="87">
        <v>2</v>
      </c>
      <c r="F20" s="87" t="s">
        <v>256</v>
      </c>
      <c r="G20" s="14"/>
      <c r="H20" s="14"/>
      <c r="I20" s="14"/>
      <c r="J20" s="14" t="s">
        <v>162</v>
      </c>
      <c r="K20" s="27" t="s">
        <v>163</v>
      </c>
      <c r="L20" s="96">
        <v>45513</v>
      </c>
      <c r="M20" s="27" t="s">
        <v>163</v>
      </c>
      <c r="N20" s="96">
        <v>45513</v>
      </c>
      <c r="O20" s="14" t="s">
        <v>164</v>
      </c>
    </row>
    <row r="21" spans="1:15" s="29" customFormat="1">
      <c r="A21" s="63" t="s">
        <v>176</v>
      </c>
      <c r="B21" s="27" t="s">
        <v>183</v>
      </c>
      <c r="C21" s="86" t="s">
        <v>194</v>
      </c>
      <c r="D21" s="98">
        <v>3</v>
      </c>
      <c r="E21" s="87">
        <v>3</v>
      </c>
      <c r="F21" s="87" t="s">
        <v>257</v>
      </c>
      <c r="G21" s="14"/>
      <c r="H21" s="14"/>
      <c r="I21" s="14"/>
      <c r="J21" s="14" t="s">
        <v>162</v>
      </c>
      <c r="K21" s="27" t="s">
        <v>163</v>
      </c>
      <c r="L21" s="96">
        <v>45513</v>
      </c>
      <c r="M21" s="27" t="s">
        <v>163</v>
      </c>
      <c r="N21" s="96">
        <v>45513</v>
      </c>
      <c r="O21" s="14" t="s">
        <v>164</v>
      </c>
    </row>
    <row r="22" spans="1:15" s="29" customFormat="1">
      <c r="A22" s="63" t="s">
        <v>176</v>
      </c>
      <c r="B22" s="27" t="s">
        <v>183</v>
      </c>
      <c r="C22" s="86" t="s">
        <v>194</v>
      </c>
      <c r="D22" s="98">
        <v>4</v>
      </c>
      <c r="E22" s="87">
        <v>4</v>
      </c>
      <c r="F22" s="87" t="s">
        <v>258</v>
      </c>
      <c r="G22" s="14"/>
      <c r="H22" s="14"/>
      <c r="I22" s="14"/>
      <c r="J22" s="14" t="s">
        <v>162</v>
      </c>
      <c r="K22" s="27" t="s">
        <v>163</v>
      </c>
      <c r="L22" s="96">
        <v>45513</v>
      </c>
      <c r="M22" s="27" t="s">
        <v>163</v>
      </c>
      <c r="N22" s="96">
        <v>45513</v>
      </c>
      <c r="O22" s="14" t="s">
        <v>164</v>
      </c>
    </row>
    <row r="23" spans="1:15">
      <c r="A23" s="63" t="s">
        <v>176</v>
      </c>
      <c r="B23" s="27" t="s">
        <v>304</v>
      </c>
      <c r="C23" s="75" t="s">
        <v>196</v>
      </c>
      <c r="D23" s="100">
        <v>1</v>
      </c>
      <c r="E23" s="92">
        <v>1</v>
      </c>
      <c r="F23" s="92" t="s">
        <v>187</v>
      </c>
      <c r="G23" s="75"/>
      <c r="H23" s="75"/>
      <c r="I23" s="75"/>
      <c r="J23" s="75" t="s">
        <v>162</v>
      </c>
      <c r="K23" s="27" t="s">
        <v>163</v>
      </c>
      <c r="L23" s="96">
        <v>45513</v>
      </c>
      <c r="M23" s="27" t="s">
        <v>163</v>
      </c>
      <c r="N23" s="96">
        <v>45513</v>
      </c>
      <c r="O23" s="75" t="s">
        <v>164</v>
      </c>
    </row>
    <row r="24" spans="1:15">
      <c r="A24" s="63" t="s">
        <v>176</v>
      </c>
      <c r="B24" s="27" t="s">
        <v>184</v>
      </c>
      <c r="C24" s="75" t="s">
        <v>196</v>
      </c>
      <c r="D24" s="100">
        <v>2</v>
      </c>
      <c r="E24" s="92">
        <v>2</v>
      </c>
      <c r="F24" s="92" t="s">
        <v>188</v>
      </c>
      <c r="G24" s="75"/>
      <c r="H24" s="75"/>
      <c r="I24" s="75"/>
      <c r="J24" s="75" t="s">
        <v>162</v>
      </c>
      <c r="K24" s="27" t="s">
        <v>163</v>
      </c>
      <c r="L24" s="96">
        <v>45513</v>
      </c>
      <c r="M24" s="27" t="s">
        <v>163</v>
      </c>
      <c r="N24" s="96">
        <v>45513</v>
      </c>
      <c r="O24" s="75" t="s">
        <v>164</v>
      </c>
    </row>
    <row r="25" spans="1:15">
      <c r="A25" s="63" t="s">
        <v>176</v>
      </c>
      <c r="B25" s="27" t="s">
        <v>184</v>
      </c>
      <c r="C25" s="75" t="s">
        <v>196</v>
      </c>
      <c r="D25" s="100">
        <v>3</v>
      </c>
      <c r="E25" s="92">
        <v>3</v>
      </c>
      <c r="F25" s="92" t="s">
        <v>189</v>
      </c>
      <c r="G25" s="75"/>
      <c r="H25" s="75"/>
      <c r="I25" s="75"/>
      <c r="J25" s="75" t="s">
        <v>162</v>
      </c>
      <c r="K25" s="27" t="s">
        <v>163</v>
      </c>
      <c r="L25" s="96">
        <v>45513</v>
      </c>
      <c r="M25" s="27" t="s">
        <v>163</v>
      </c>
      <c r="N25" s="96">
        <v>45513</v>
      </c>
      <c r="O25" s="75" t="s">
        <v>164</v>
      </c>
    </row>
    <row r="26" spans="1:15">
      <c r="A26" s="63" t="s">
        <v>176</v>
      </c>
      <c r="B26" s="27" t="s">
        <v>184</v>
      </c>
      <c r="C26" s="75" t="s">
        <v>196</v>
      </c>
      <c r="D26" s="100">
        <v>4</v>
      </c>
      <c r="E26" s="92">
        <v>4</v>
      </c>
      <c r="F26" s="92" t="s">
        <v>190</v>
      </c>
      <c r="G26" s="75"/>
      <c r="H26" s="75"/>
      <c r="I26" s="75"/>
      <c r="J26" s="75" t="s">
        <v>162</v>
      </c>
      <c r="K26" s="27" t="s">
        <v>163</v>
      </c>
      <c r="L26" s="96">
        <v>45513</v>
      </c>
      <c r="M26" s="27" t="s">
        <v>163</v>
      </c>
      <c r="N26" s="96">
        <v>45513</v>
      </c>
      <c r="O26" s="75" t="s">
        <v>164</v>
      </c>
    </row>
    <row r="27" spans="1:15" s="169" customFormat="1">
      <c r="A27" s="67" t="s">
        <v>176</v>
      </c>
      <c r="B27" s="67" t="s">
        <v>184</v>
      </c>
      <c r="C27" s="165" t="s">
        <v>196</v>
      </c>
      <c r="D27" s="166">
        <v>5</v>
      </c>
      <c r="E27" s="167">
        <v>5</v>
      </c>
      <c r="F27" s="167" t="s">
        <v>2555</v>
      </c>
      <c r="G27" s="165"/>
      <c r="H27" s="165"/>
      <c r="I27" s="165"/>
      <c r="J27" s="165" t="s">
        <v>162</v>
      </c>
      <c r="K27" s="67" t="s">
        <v>163</v>
      </c>
      <c r="L27" s="168">
        <v>45513</v>
      </c>
      <c r="M27" s="67" t="s">
        <v>163</v>
      </c>
      <c r="N27" s="168">
        <v>45513</v>
      </c>
      <c r="O27" s="165" t="s">
        <v>164</v>
      </c>
    </row>
    <row r="28" spans="1:15" s="169" customFormat="1">
      <c r="A28" s="67" t="s">
        <v>95</v>
      </c>
      <c r="B28" s="67" t="s">
        <v>306</v>
      </c>
      <c r="C28" s="165" t="s">
        <v>301</v>
      </c>
      <c r="D28" s="166">
        <v>1</v>
      </c>
      <c r="E28" s="167">
        <v>1</v>
      </c>
      <c r="F28" s="167" t="s">
        <v>2556</v>
      </c>
      <c r="G28" s="165"/>
      <c r="H28" s="165"/>
      <c r="I28" s="165"/>
      <c r="J28" s="165" t="s">
        <v>162</v>
      </c>
      <c r="K28" s="67" t="s">
        <v>163</v>
      </c>
      <c r="L28" s="168">
        <v>45513</v>
      </c>
      <c r="M28" s="67" t="s">
        <v>163</v>
      </c>
      <c r="N28" s="168">
        <v>45513</v>
      </c>
      <c r="O28" s="165" t="s">
        <v>164</v>
      </c>
    </row>
    <row r="29" spans="1:15" s="169" customFormat="1">
      <c r="A29" s="67" t="s">
        <v>95</v>
      </c>
      <c r="B29" s="67" t="s">
        <v>300</v>
      </c>
      <c r="C29" s="165" t="s">
        <v>301</v>
      </c>
      <c r="D29" s="166">
        <v>2</v>
      </c>
      <c r="E29" s="167">
        <v>2</v>
      </c>
      <c r="F29" s="167" t="s">
        <v>2557</v>
      </c>
      <c r="G29" s="165"/>
      <c r="H29" s="165"/>
      <c r="I29" s="165"/>
      <c r="J29" s="165" t="s">
        <v>162</v>
      </c>
      <c r="K29" s="67" t="s">
        <v>163</v>
      </c>
      <c r="L29" s="168">
        <v>45513</v>
      </c>
      <c r="M29" s="67" t="s">
        <v>163</v>
      </c>
      <c r="N29" s="168">
        <v>45513</v>
      </c>
      <c r="O29" s="165" t="s">
        <v>164</v>
      </c>
    </row>
    <row r="30" spans="1:15" s="169" customFormat="1">
      <c r="A30" s="67" t="s">
        <v>95</v>
      </c>
      <c r="B30" s="67" t="s">
        <v>422</v>
      </c>
      <c r="C30" s="165" t="s">
        <v>301</v>
      </c>
      <c r="D30" s="166">
        <v>3</v>
      </c>
      <c r="E30" s="167">
        <v>3</v>
      </c>
      <c r="F30" s="167" t="s">
        <v>2558</v>
      </c>
      <c r="G30" s="165"/>
      <c r="H30" s="165"/>
      <c r="I30" s="165"/>
      <c r="J30" s="165" t="s">
        <v>162</v>
      </c>
      <c r="K30" s="67" t="s">
        <v>163</v>
      </c>
      <c r="L30" s="168">
        <v>45513</v>
      </c>
      <c r="M30" s="67" t="s">
        <v>163</v>
      </c>
      <c r="N30" s="168">
        <v>45513</v>
      </c>
      <c r="O30" s="165" t="s">
        <v>164</v>
      </c>
    </row>
    <row r="31" spans="1:15" s="169" customFormat="1">
      <c r="A31" s="67" t="s">
        <v>95</v>
      </c>
      <c r="B31" s="67" t="s">
        <v>422</v>
      </c>
      <c r="C31" s="165" t="s">
        <v>301</v>
      </c>
      <c r="D31" s="166">
        <v>4</v>
      </c>
      <c r="E31" s="167">
        <v>4</v>
      </c>
      <c r="F31" s="167" t="s">
        <v>2559</v>
      </c>
      <c r="G31" s="165"/>
      <c r="H31" s="165"/>
      <c r="I31" s="165"/>
      <c r="J31" s="165" t="s">
        <v>162</v>
      </c>
      <c r="K31" s="67" t="s">
        <v>163</v>
      </c>
      <c r="L31" s="168">
        <v>45513</v>
      </c>
      <c r="M31" s="67" t="s">
        <v>163</v>
      </c>
      <c r="N31" s="168">
        <v>45513</v>
      </c>
      <c r="O31" s="165" t="s">
        <v>164</v>
      </c>
    </row>
    <row r="32" spans="1:15">
      <c r="A32" s="63" t="s">
        <v>95</v>
      </c>
      <c r="B32" s="27" t="s">
        <v>426</v>
      </c>
      <c r="C32" s="84" t="s">
        <v>590</v>
      </c>
      <c r="D32" s="100">
        <v>1</v>
      </c>
      <c r="E32" s="92">
        <v>1</v>
      </c>
      <c r="F32" s="80" t="s">
        <v>539</v>
      </c>
      <c r="G32" s="75"/>
      <c r="H32" s="75"/>
      <c r="I32" s="75"/>
      <c r="J32" s="75" t="s">
        <v>162</v>
      </c>
      <c r="K32" s="27" t="s">
        <v>163</v>
      </c>
      <c r="L32" s="96">
        <v>45513</v>
      </c>
      <c r="M32" s="27" t="s">
        <v>163</v>
      </c>
      <c r="N32" s="96">
        <v>45513</v>
      </c>
      <c r="O32" s="75" t="s">
        <v>164</v>
      </c>
    </row>
    <row r="33" spans="1:15">
      <c r="A33" s="63" t="s">
        <v>95</v>
      </c>
      <c r="B33" s="27" t="s">
        <v>424</v>
      </c>
      <c r="C33" s="84" t="s">
        <v>425</v>
      </c>
      <c r="D33" s="100">
        <v>2</v>
      </c>
      <c r="E33" s="92">
        <v>2</v>
      </c>
      <c r="F33" s="78" t="s">
        <v>541</v>
      </c>
      <c r="G33" s="75"/>
      <c r="H33" s="75"/>
      <c r="I33" s="75"/>
      <c r="J33" s="75" t="s">
        <v>162</v>
      </c>
      <c r="K33" s="27" t="s">
        <v>163</v>
      </c>
      <c r="L33" s="96">
        <v>45513</v>
      </c>
      <c r="M33" s="27" t="s">
        <v>163</v>
      </c>
      <c r="N33" s="96">
        <v>45513</v>
      </c>
      <c r="O33" s="75" t="s">
        <v>164</v>
      </c>
    </row>
    <row r="34" spans="1:15">
      <c r="A34" s="63" t="s">
        <v>95</v>
      </c>
      <c r="B34" s="27" t="s">
        <v>424</v>
      </c>
      <c r="C34" s="84" t="s">
        <v>425</v>
      </c>
      <c r="D34" s="100">
        <v>3</v>
      </c>
      <c r="E34" s="92">
        <v>3</v>
      </c>
      <c r="F34" s="78" t="s">
        <v>264</v>
      </c>
      <c r="G34" s="75"/>
      <c r="H34" s="75"/>
      <c r="I34" s="75"/>
      <c r="J34" s="75" t="s">
        <v>162</v>
      </c>
      <c r="K34" s="27" t="s">
        <v>163</v>
      </c>
      <c r="L34" s="96">
        <v>45513</v>
      </c>
      <c r="M34" s="27" t="s">
        <v>163</v>
      </c>
      <c r="N34" s="96">
        <v>45513</v>
      </c>
      <c r="O34" s="75" t="s">
        <v>164</v>
      </c>
    </row>
    <row r="35" spans="1:15">
      <c r="A35" s="63" t="s">
        <v>95</v>
      </c>
      <c r="B35" s="27" t="s">
        <v>424</v>
      </c>
      <c r="C35" s="84" t="s">
        <v>425</v>
      </c>
      <c r="D35" s="100">
        <v>4</v>
      </c>
      <c r="E35" s="92">
        <v>4</v>
      </c>
      <c r="F35" s="78" t="s">
        <v>659</v>
      </c>
      <c r="G35" s="75"/>
      <c r="H35" s="75"/>
      <c r="I35" s="75"/>
      <c r="J35" s="75" t="s">
        <v>162</v>
      </c>
      <c r="K35" s="27" t="s">
        <v>163</v>
      </c>
      <c r="L35" s="96">
        <v>45513</v>
      </c>
      <c r="M35" s="27" t="s">
        <v>163</v>
      </c>
      <c r="N35" s="96">
        <v>45513</v>
      </c>
      <c r="O35" s="75" t="s">
        <v>164</v>
      </c>
    </row>
    <row r="36" spans="1:15">
      <c r="A36" s="63" t="s">
        <v>95</v>
      </c>
      <c r="B36" s="27" t="s">
        <v>424</v>
      </c>
      <c r="C36" s="84" t="s">
        <v>425</v>
      </c>
      <c r="D36" s="100">
        <v>5</v>
      </c>
      <c r="E36" s="92">
        <v>5</v>
      </c>
      <c r="F36" s="78" t="s">
        <v>266</v>
      </c>
      <c r="G36" s="75"/>
      <c r="H36" s="75"/>
      <c r="I36" s="75"/>
      <c r="J36" s="75" t="s">
        <v>162</v>
      </c>
      <c r="K36" s="27" t="s">
        <v>163</v>
      </c>
      <c r="L36" s="96">
        <v>45513</v>
      </c>
      <c r="M36" s="27" t="s">
        <v>163</v>
      </c>
      <c r="N36" s="96">
        <v>45513</v>
      </c>
      <c r="O36" s="75" t="s">
        <v>164</v>
      </c>
    </row>
    <row r="37" spans="1:15">
      <c r="A37" s="63" t="s">
        <v>95</v>
      </c>
      <c r="B37" s="27" t="s">
        <v>424</v>
      </c>
      <c r="C37" s="84" t="s">
        <v>425</v>
      </c>
      <c r="D37" s="100">
        <v>6</v>
      </c>
      <c r="E37" s="92">
        <v>6</v>
      </c>
      <c r="F37" s="78" t="s">
        <v>259</v>
      </c>
      <c r="G37" s="75"/>
      <c r="H37" s="75"/>
      <c r="I37" s="75"/>
      <c r="J37" s="75" t="s">
        <v>162</v>
      </c>
      <c r="K37" s="27" t="s">
        <v>163</v>
      </c>
      <c r="L37" s="96">
        <v>45513</v>
      </c>
      <c r="M37" s="27" t="s">
        <v>163</v>
      </c>
      <c r="N37" s="96">
        <v>45513</v>
      </c>
      <c r="O37" s="75" t="s">
        <v>164</v>
      </c>
    </row>
    <row r="38" spans="1:15">
      <c r="A38" s="63" t="s">
        <v>95</v>
      </c>
      <c r="B38" s="27" t="s">
        <v>424</v>
      </c>
      <c r="C38" s="84" t="s">
        <v>425</v>
      </c>
      <c r="D38" s="100">
        <v>7</v>
      </c>
      <c r="E38" s="92">
        <v>7</v>
      </c>
      <c r="F38" s="78" t="s">
        <v>672</v>
      </c>
      <c r="G38" s="75"/>
      <c r="H38" s="75"/>
      <c r="I38" s="75"/>
      <c r="J38" s="75" t="s">
        <v>162</v>
      </c>
      <c r="K38" s="27" t="s">
        <v>163</v>
      </c>
      <c r="L38" s="96">
        <v>45513</v>
      </c>
      <c r="M38" s="27" t="s">
        <v>163</v>
      </c>
      <c r="N38" s="96">
        <v>45513</v>
      </c>
      <c r="O38" s="75" t="s">
        <v>164</v>
      </c>
    </row>
    <row r="39" spans="1:15">
      <c r="A39" s="63" t="s">
        <v>95</v>
      </c>
      <c r="B39" s="27" t="s">
        <v>424</v>
      </c>
      <c r="C39" s="84" t="s">
        <v>425</v>
      </c>
      <c r="D39" s="100">
        <v>8</v>
      </c>
      <c r="E39" s="92">
        <v>8</v>
      </c>
      <c r="F39" s="78" t="s">
        <v>676</v>
      </c>
      <c r="G39" s="75"/>
      <c r="H39" s="75"/>
      <c r="I39" s="75"/>
      <c r="J39" s="75" t="s">
        <v>162</v>
      </c>
      <c r="K39" s="27" t="s">
        <v>163</v>
      </c>
      <c r="L39" s="96">
        <v>45513</v>
      </c>
      <c r="M39" s="27" t="s">
        <v>163</v>
      </c>
      <c r="N39" s="96">
        <v>45513</v>
      </c>
      <c r="O39" s="75" t="s">
        <v>164</v>
      </c>
    </row>
    <row r="40" spans="1:15">
      <c r="A40" s="63" t="s">
        <v>95</v>
      </c>
      <c r="B40" s="27" t="s">
        <v>424</v>
      </c>
      <c r="C40" s="84" t="s">
        <v>425</v>
      </c>
      <c r="D40" s="100">
        <v>9</v>
      </c>
      <c r="E40" s="92">
        <v>9</v>
      </c>
      <c r="F40" s="78" t="s">
        <v>678</v>
      </c>
      <c r="G40" s="75"/>
      <c r="H40" s="75"/>
      <c r="I40" s="75"/>
      <c r="J40" s="75" t="s">
        <v>162</v>
      </c>
      <c r="K40" s="27" t="s">
        <v>163</v>
      </c>
      <c r="L40" s="96">
        <v>45513</v>
      </c>
      <c r="M40" s="27" t="s">
        <v>163</v>
      </c>
      <c r="N40" s="96">
        <v>45513</v>
      </c>
      <c r="O40" s="75" t="s">
        <v>164</v>
      </c>
    </row>
    <row r="41" spans="1:15">
      <c r="A41" s="63" t="s">
        <v>95</v>
      </c>
      <c r="B41" s="27" t="s">
        <v>424</v>
      </c>
      <c r="C41" s="84" t="s">
        <v>425</v>
      </c>
      <c r="D41" s="100">
        <v>10</v>
      </c>
      <c r="E41" s="92">
        <v>10</v>
      </c>
      <c r="F41" s="78" t="s">
        <v>681</v>
      </c>
      <c r="G41" s="75"/>
      <c r="H41" s="75"/>
      <c r="I41" s="75"/>
      <c r="J41" s="75" t="s">
        <v>162</v>
      </c>
      <c r="K41" s="27" t="s">
        <v>163</v>
      </c>
      <c r="L41" s="96">
        <v>45513</v>
      </c>
      <c r="M41" s="27" t="s">
        <v>163</v>
      </c>
      <c r="N41" s="96">
        <v>45513</v>
      </c>
      <c r="O41" s="75" t="s">
        <v>164</v>
      </c>
    </row>
    <row r="42" spans="1:15">
      <c r="A42" s="63" t="s">
        <v>95</v>
      </c>
      <c r="B42" s="27" t="s">
        <v>424</v>
      </c>
      <c r="C42" s="84" t="s">
        <v>425</v>
      </c>
      <c r="D42" s="100">
        <v>11</v>
      </c>
      <c r="E42" s="92">
        <v>11</v>
      </c>
      <c r="F42" s="80" t="s">
        <v>423</v>
      </c>
      <c r="G42" s="75"/>
      <c r="H42" s="75"/>
      <c r="I42" s="75"/>
      <c r="J42" s="75" t="s">
        <v>162</v>
      </c>
      <c r="K42" s="27" t="s">
        <v>163</v>
      </c>
      <c r="L42" s="96">
        <v>45513</v>
      </c>
      <c r="M42" s="27" t="s">
        <v>163</v>
      </c>
      <c r="N42" s="96">
        <v>45513</v>
      </c>
      <c r="O42" s="75" t="s">
        <v>164</v>
      </c>
    </row>
    <row r="43" spans="1:15">
      <c r="A43" s="63" t="s">
        <v>95</v>
      </c>
      <c r="B43" s="27" t="s">
        <v>424</v>
      </c>
      <c r="C43" s="84" t="s">
        <v>425</v>
      </c>
      <c r="D43" s="100">
        <v>12</v>
      </c>
      <c r="E43" s="92">
        <v>12</v>
      </c>
      <c r="F43" s="80" t="s">
        <v>536</v>
      </c>
      <c r="G43" s="75"/>
      <c r="H43" s="75"/>
      <c r="I43" s="75"/>
      <c r="J43" s="75" t="s">
        <v>162</v>
      </c>
      <c r="K43" s="27" t="s">
        <v>163</v>
      </c>
      <c r="L43" s="96">
        <v>45513</v>
      </c>
      <c r="M43" s="27" t="s">
        <v>163</v>
      </c>
      <c r="N43" s="96">
        <v>45513</v>
      </c>
      <c r="O43" s="75" t="s">
        <v>164</v>
      </c>
    </row>
    <row r="44" spans="1:15">
      <c r="A44" s="63" t="s">
        <v>95</v>
      </c>
      <c r="B44" s="27" t="s">
        <v>718</v>
      </c>
      <c r="C44" s="84" t="s">
        <v>634</v>
      </c>
      <c r="D44" s="100">
        <v>1</v>
      </c>
      <c r="E44" s="92">
        <v>1</v>
      </c>
      <c r="F44" s="80" t="s">
        <v>635</v>
      </c>
      <c r="G44" s="75"/>
      <c r="H44" s="75"/>
      <c r="I44" s="75"/>
      <c r="J44" s="75" t="s">
        <v>162</v>
      </c>
      <c r="K44" s="27" t="s">
        <v>163</v>
      </c>
      <c r="L44" s="96">
        <v>45513</v>
      </c>
      <c r="M44" s="27" t="s">
        <v>163</v>
      </c>
      <c r="N44" s="96">
        <v>45513</v>
      </c>
      <c r="O44" s="75" t="s">
        <v>164</v>
      </c>
    </row>
    <row r="45" spans="1:15">
      <c r="A45" s="63" t="s">
        <v>95</v>
      </c>
      <c r="B45" s="27" t="s">
        <v>633</v>
      </c>
      <c r="C45" s="84" t="s">
        <v>634</v>
      </c>
      <c r="D45" s="100">
        <v>2</v>
      </c>
      <c r="E45" s="92">
        <v>2</v>
      </c>
      <c r="F45" s="80" t="s">
        <v>636</v>
      </c>
      <c r="G45" s="75"/>
      <c r="H45" s="75"/>
      <c r="I45" s="75"/>
      <c r="J45" s="75" t="s">
        <v>162</v>
      </c>
      <c r="K45" s="27" t="s">
        <v>163</v>
      </c>
      <c r="L45" s="96">
        <v>45513</v>
      </c>
      <c r="M45" s="27" t="s">
        <v>163</v>
      </c>
      <c r="N45" s="96">
        <v>45513</v>
      </c>
      <c r="O45" s="75" t="s">
        <v>164</v>
      </c>
    </row>
    <row r="46" spans="1:15">
      <c r="A46" s="63" t="s">
        <v>95</v>
      </c>
      <c r="B46" s="27" t="s">
        <v>633</v>
      </c>
      <c r="C46" s="84" t="s">
        <v>634</v>
      </c>
      <c r="D46" s="100">
        <v>3</v>
      </c>
      <c r="E46" s="92">
        <v>3</v>
      </c>
      <c r="F46" s="80" t="s">
        <v>637</v>
      </c>
      <c r="G46" s="75"/>
      <c r="H46" s="75"/>
      <c r="I46" s="75"/>
      <c r="J46" s="75" t="s">
        <v>162</v>
      </c>
      <c r="K46" s="27" t="s">
        <v>163</v>
      </c>
      <c r="L46" s="96">
        <v>45513</v>
      </c>
      <c r="M46" s="27" t="s">
        <v>163</v>
      </c>
      <c r="N46" s="96">
        <v>45513</v>
      </c>
      <c r="O46" s="75" t="s">
        <v>164</v>
      </c>
    </row>
    <row r="47" spans="1:15">
      <c r="A47" s="63" t="s">
        <v>95</v>
      </c>
      <c r="B47" s="27" t="s">
        <v>711</v>
      </c>
      <c r="C47" s="84" t="s">
        <v>639</v>
      </c>
      <c r="D47" s="100">
        <v>1</v>
      </c>
      <c r="E47" s="154">
        <v>1</v>
      </c>
      <c r="F47" s="80" t="s">
        <v>640</v>
      </c>
      <c r="G47" s="75"/>
      <c r="H47" s="75"/>
      <c r="I47" s="75"/>
      <c r="J47" s="75" t="s">
        <v>162</v>
      </c>
      <c r="K47" s="27" t="s">
        <v>163</v>
      </c>
      <c r="L47" s="96">
        <v>45513</v>
      </c>
      <c r="M47" s="27" t="s">
        <v>163</v>
      </c>
      <c r="N47" s="96">
        <v>45513</v>
      </c>
      <c r="O47" s="75" t="s">
        <v>164</v>
      </c>
    </row>
    <row r="48" spans="1:15">
      <c r="A48" s="63" t="s">
        <v>95</v>
      </c>
      <c r="B48" s="27" t="s">
        <v>711</v>
      </c>
      <c r="C48" s="84" t="s">
        <v>639</v>
      </c>
      <c r="D48" s="100">
        <v>2</v>
      </c>
      <c r="E48" s="92">
        <v>2</v>
      </c>
      <c r="F48" s="80" t="s">
        <v>641</v>
      </c>
      <c r="G48" s="75"/>
      <c r="H48" s="75"/>
      <c r="I48" s="75"/>
      <c r="J48" s="75" t="s">
        <v>162</v>
      </c>
      <c r="K48" s="27" t="s">
        <v>163</v>
      </c>
      <c r="L48" s="96">
        <v>45513</v>
      </c>
      <c r="M48" s="27" t="s">
        <v>163</v>
      </c>
      <c r="N48" s="96">
        <v>45513</v>
      </c>
      <c r="O48" s="75" t="s">
        <v>164</v>
      </c>
    </row>
    <row r="49" spans="1:15">
      <c r="A49" s="63" t="s">
        <v>95</v>
      </c>
      <c r="B49" s="27" t="s">
        <v>712</v>
      </c>
      <c r="C49" s="84" t="s">
        <v>710</v>
      </c>
      <c r="D49" s="100">
        <v>1</v>
      </c>
      <c r="E49" s="92">
        <v>1</v>
      </c>
      <c r="F49" s="80" t="s">
        <v>713</v>
      </c>
      <c r="G49" s="75"/>
      <c r="H49" s="75"/>
      <c r="I49" s="75"/>
      <c r="J49" s="75" t="s">
        <v>162</v>
      </c>
      <c r="K49" s="27" t="s">
        <v>163</v>
      </c>
      <c r="L49" s="96">
        <v>45513</v>
      </c>
      <c r="M49" s="27" t="s">
        <v>163</v>
      </c>
      <c r="N49" s="96">
        <v>45513</v>
      </c>
      <c r="O49" s="75" t="s">
        <v>164</v>
      </c>
    </row>
    <row r="50" spans="1:15">
      <c r="A50" s="63" t="s">
        <v>95</v>
      </c>
      <c r="B50" s="27" t="s">
        <v>712</v>
      </c>
      <c r="C50" s="84" t="s">
        <v>710</v>
      </c>
      <c r="D50" s="100">
        <v>2</v>
      </c>
      <c r="E50" s="92">
        <v>2</v>
      </c>
      <c r="F50" s="80" t="s">
        <v>714</v>
      </c>
      <c r="G50" s="75"/>
      <c r="H50" s="75"/>
      <c r="I50" s="75"/>
      <c r="J50" s="75" t="s">
        <v>162</v>
      </c>
      <c r="K50" s="27" t="s">
        <v>163</v>
      </c>
      <c r="L50" s="96">
        <v>45513</v>
      </c>
      <c r="M50" s="27" t="s">
        <v>163</v>
      </c>
      <c r="N50" s="96">
        <v>45513</v>
      </c>
      <c r="O50" s="75" t="s">
        <v>164</v>
      </c>
    </row>
    <row r="51" spans="1:15">
      <c r="A51" s="63" t="s">
        <v>730</v>
      </c>
      <c r="B51" s="27" t="s">
        <v>731</v>
      </c>
      <c r="C51" s="75" t="s">
        <v>732</v>
      </c>
      <c r="D51" s="75" t="s">
        <v>160</v>
      </c>
      <c r="E51" s="92" t="s">
        <v>160</v>
      </c>
      <c r="F51" s="92" t="s">
        <v>412</v>
      </c>
      <c r="G51" s="75"/>
      <c r="H51" s="75"/>
      <c r="I51" s="75"/>
      <c r="J51" s="75" t="s">
        <v>162</v>
      </c>
      <c r="K51" s="27" t="s">
        <v>733</v>
      </c>
      <c r="L51" s="96">
        <v>45504</v>
      </c>
      <c r="M51" s="27" t="s">
        <v>734</v>
      </c>
      <c r="N51" s="96">
        <v>45504</v>
      </c>
      <c r="O51" s="75" t="s">
        <v>164</v>
      </c>
    </row>
    <row r="52" spans="1:15">
      <c r="A52" s="63" t="s">
        <v>735</v>
      </c>
      <c r="B52" s="27" t="s">
        <v>736</v>
      </c>
      <c r="C52" s="75" t="s">
        <v>732</v>
      </c>
      <c r="D52" s="75" t="s">
        <v>161</v>
      </c>
      <c r="E52" s="92" t="s">
        <v>161</v>
      </c>
      <c r="F52" s="92" t="s">
        <v>487</v>
      </c>
      <c r="G52" s="75"/>
      <c r="H52" s="75"/>
      <c r="I52" s="75"/>
      <c r="J52" s="75" t="s">
        <v>162</v>
      </c>
      <c r="K52" s="27" t="s">
        <v>734</v>
      </c>
      <c r="L52" s="96">
        <v>45504</v>
      </c>
      <c r="M52" s="27" t="s">
        <v>734</v>
      </c>
      <c r="N52" s="96">
        <v>45504</v>
      </c>
      <c r="O52" s="75" t="s">
        <v>164</v>
      </c>
    </row>
    <row r="53" spans="1:15">
      <c r="A53" s="63" t="s">
        <v>730</v>
      </c>
      <c r="B53" s="27" t="s">
        <v>737</v>
      </c>
      <c r="C53" s="84" t="s">
        <v>738</v>
      </c>
      <c r="D53" s="75" t="s">
        <v>160</v>
      </c>
      <c r="E53" s="92" t="s">
        <v>160</v>
      </c>
      <c r="F53" s="92" t="s">
        <v>753</v>
      </c>
      <c r="G53" s="75"/>
      <c r="H53" s="75"/>
      <c r="I53" s="75"/>
      <c r="J53" s="75" t="s">
        <v>162</v>
      </c>
      <c r="K53" s="27" t="s">
        <v>733</v>
      </c>
      <c r="L53" s="96">
        <v>45504</v>
      </c>
      <c r="M53" s="27" t="s">
        <v>733</v>
      </c>
      <c r="N53" s="96">
        <v>45504</v>
      </c>
      <c r="O53" s="75" t="s">
        <v>164</v>
      </c>
    </row>
    <row r="54" spans="1:15">
      <c r="A54" s="63" t="s">
        <v>730</v>
      </c>
      <c r="B54" s="27" t="s">
        <v>737</v>
      </c>
      <c r="C54" s="84" t="s">
        <v>738</v>
      </c>
      <c r="D54" s="75" t="s">
        <v>161</v>
      </c>
      <c r="E54" s="92" t="s">
        <v>161</v>
      </c>
      <c r="F54" s="92" t="s">
        <v>752</v>
      </c>
      <c r="G54" s="75"/>
      <c r="H54" s="75"/>
      <c r="I54" s="75"/>
      <c r="J54" s="75" t="s">
        <v>162</v>
      </c>
      <c r="K54" s="27" t="s">
        <v>733</v>
      </c>
      <c r="L54" s="96">
        <v>45504</v>
      </c>
      <c r="M54" s="27" t="s">
        <v>733</v>
      </c>
      <c r="N54" s="96">
        <v>45504</v>
      </c>
      <c r="O54" s="75" t="s">
        <v>164</v>
      </c>
    </row>
    <row r="55" spans="1:15">
      <c r="A55" s="63" t="s">
        <v>95</v>
      </c>
      <c r="B55" s="27" t="s">
        <v>737</v>
      </c>
      <c r="C55" s="84" t="s">
        <v>373</v>
      </c>
      <c r="D55" s="92">
        <v>3</v>
      </c>
      <c r="E55" s="92">
        <v>3</v>
      </c>
      <c r="F55" s="92" t="s">
        <v>754</v>
      </c>
      <c r="G55" s="75"/>
      <c r="H55" s="75"/>
      <c r="I55" s="75"/>
      <c r="J55" s="75" t="s">
        <v>162</v>
      </c>
      <c r="K55" s="27" t="s">
        <v>163</v>
      </c>
      <c r="L55" s="96">
        <v>45504</v>
      </c>
      <c r="M55" s="27" t="s">
        <v>163</v>
      </c>
      <c r="N55" s="96">
        <v>45504</v>
      </c>
      <c r="O55" s="75" t="s">
        <v>164</v>
      </c>
    </row>
    <row r="56" spans="1:15">
      <c r="A56" s="63" t="s">
        <v>95</v>
      </c>
      <c r="B56" s="27" t="s">
        <v>737</v>
      </c>
      <c r="C56" s="84" t="s">
        <v>373</v>
      </c>
      <c r="D56" s="92">
        <v>4</v>
      </c>
      <c r="E56" s="92">
        <v>4</v>
      </c>
      <c r="F56" s="80" t="s">
        <v>2645</v>
      </c>
      <c r="G56" s="75"/>
      <c r="H56" s="75"/>
      <c r="I56" s="75"/>
      <c r="J56" s="75" t="s">
        <v>162</v>
      </c>
      <c r="K56" s="27" t="s">
        <v>163</v>
      </c>
      <c r="L56" s="96">
        <v>45504</v>
      </c>
      <c r="M56" s="27" t="s">
        <v>163</v>
      </c>
      <c r="N56" s="96">
        <v>45504</v>
      </c>
      <c r="O56" s="75" t="s">
        <v>164</v>
      </c>
    </row>
    <row r="57" spans="1:15">
      <c r="A57" s="63" t="s">
        <v>730</v>
      </c>
      <c r="B57" s="27" t="s">
        <v>2017</v>
      </c>
      <c r="C57" s="84" t="s">
        <v>739</v>
      </c>
      <c r="D57" s="92">
        <v>0</v>
      </c>
      <c r="E57" s="92" t="s">
        <v>160</v>
      </c>
      <c r="F57" s="80" t="s">
        <v>741</v>
      </c>
      <c r="G57" s="75"/>
      <c r="H57" s="75"/>
      <c r="I57" s="75"/>
      <c r="J57" s="75" t="s">
        <v>162</v>
      </c>
      <c r="K57" s="27" t="s">
        <v>733</v>
      </c>
      <c r="L57" s="96">
        <v>45504</v>
      </c>
      <c r="M57" s="27" t="s">
        <v>733</v>
      </c>
      <c r="N57" s="96">
        <v>45504</v>
      </c>
      <c r="O57" s="75" t="s">
        <v>164</v>
      </c>
    </row>
    <row r="58" spans="1:15">
      <c r="A58" s="63" t="s">
        <v>730</v>
      </c>
      <c r="B58" s="27" t="s">
        <v>743</v>
      </c>
      <c r="C58" s="84" t="s">
        <v>739</v>
      </c>
      <c r="D58" s="92">
        <v>1</v>
      </c>
      <c r="E58" s="92" t="s">
        <v>161</v>
      </c>
      <c r="F58" s="80" t="s">
        <v>742</v>
      </c>
      <c r="G58" s="75"/>
      <c r="H58" s="75"/>
      <c r="I58" s="75"/>
      <c r="J58" s="75" t="s">
        <v>162</v>
      </c>
      <c r="K58" s="27" t="s">
        <v>733</v>
      </c>
      <c r="L58" s="96">
        <v>45504</v>
      </c>
      <c r="M58" s="27" t="s">
        <v>733</v>
      </c>
      <c r="N58" s="96">
        <v>45504</v>
      </c>
      <c r="O58" s="75" t="s">
        <v>164</v>
      </c>
    </row>
    <row r="59" spans="1:15">
      <c r="A59" s="63" t="s">
        <v>730</v>
      </c>
      <c r="B59" s="27" t="s">
        <v>749</v>
      </c>
      <c r="C59" s="84" t="s">
        <v>745</v>
      </c>
      <c r="D59" s="92">
        <v>0</v>
      </c>
      <c r="E59" s="92" t="s">
        <v>160</v>
      </c>
      <c r="F59" s="80" t="s">
        <v>747</v>
      </c>
      <c r="G59" s="75"/>
      <c r="H59" s="75"/>
      <c r="I59" s="75"/>
      <c r="J59" s="75" t="s">
        <v>162</v>
      </c>
      <c r="K59" s="27" t="s">
        <v>733</v>
      </c>
      <c r="L59" s="96">
        <v>45504</v>
      </c>
      <c r="M59" s="27" t="s">
        <v>733</v>
      </c>
      <c r="N59" s="96">
        <v>45504</v>
      </c>
      <c r="O59" s="75" t="s">
        <v>164</v>
      </c>
    </row>
    <row r="60" spans="1:15">
      <c r="A60" s="63" t="s">
        <v>730</v>
      </c>
      <c r="B60" s="27" t="s">
        <v>750</v>
      </c>
      <c r="C60" s="84" t="s">
        <v>745</v>
      </c>
      <c r="D60" s="92">
        <v>1</v>
      </c>
      <c r="E60" s="92" t="s">
        <v>161</v>
      </c>
      <c r="F60" s="80" t="s">
        <v>748</v>
      </c>
      <c r="G60" s="75"/>
      <c r="H60" s="75"/>
      <c r="I60" s="75"/>
      <c r="J60" s="75" t="s">
        <v>162</v>
      </c>
      <c r="K60" s="27" t="s">
        <v>733</v>
      </c>
      <c r="L60" s="96">
        <v>45504</v>
      </c>
      <c r="M60" s="27" t="s">
        <v>733</v>
      </c>
      <c r="N60" s="96">
        <v>45504</v>
      </c>
      <c r="O60" s="75" t="s">
        <v>164</v>
      </c>
    </row>
    <row r="61" spans="1:15">
      <c r="A61" s="63" t="s">
        <v>95</v>
      </c>
      <c r="B61" s="27" t="s">
        <v>928</v>
      </c>
      <c r="C61" s="75" t="s">
        <v>197</v>
      </c>
      <c r="D61" s="100">
        <v>0</v>
      </c>
      <c r="E61" s="92">
        <v>1</v>
      </c>
      <c r="F61" s="92" t="s">
        <v>192</v>
      </c>
      <c r="G61" s="75"/>
      <c r="H61" s="75"/>
      <c r="I61" s="75"/>
      <c r="J61" s="75" t="s">
        <v>162</v>
      </c>
      <c r="K61" s="27" t="s">
        <v>163</v>
      </c>
      <c r="L61" s="96">
        <v>45513</v>
      </c>
      <c r="M61" s="27" t="s">
        <v>163</v>
      </c>
      <c r="N61" s="96">
        <v>45513</v>
      </c>
      <c r="O61" s="75" t="s">
        <v>164</v>
      </c>
    </row>
    <row r="62" spans="1:15">
      <c r="A62" s="63" t="s">
        <v>95</v>
      </c>
      <c r="B62" s="27" t="s">
        <v>185</v>
      </c>
      <c r="C62" s="75" t="s">
        <v>197</v>
      </c>
      <c r="D62" s="100">
        <v>1</v>
      </c>
      <c r="E62" s="92">
        <v>2</v>
      </c>
      <c r="F62" s="92" t="s">
        <v>191</v>
      </c>
      <c r="G62" s="75"/>
      <c r="H62" s="75"/>
      <c r="I62" s="75"/>
      <c r="J62" s="75" t="s">
        <v>162</v>
      </c>
      <c r="K62" s="27" t="s">
        <v>163</v>
      </c>
      <c r="L62" s="96">
        <v>45513</v>
      </c>
      <c r="M62" s="27" t="s">
        <v>163</v>
      </c>
      <c r="N62" s="96">
        <v>45513</v>
      </c>
      <c r="O62" s="75" t="s">
        <v>164</v>
      </c>
    </row>
    <row r="63" spans="1:15">
      <c r="A63" s="63" t="s">
        <v>95</v>
      </c>
      <c r="B63" s="27" t="s">
        <v>816</v>
      </c>
      <c r="C63" s="84" t="s">
        <v>817</v>
      </c>
      <c r="D63" s="100">
        <v>0</v>
      </c>
      <c r="E63" s="92">
        <v>1</v>
      </c>
      <c r="F63" s="80" t="s">
        <v>818</v>
      </c>
      <c r="G63" s="75"/>
      <c r="H63" s="75"/>
      <c r="I63" s="75"/>
      <c r="J63" s="75" t="s">
        <v>162</v>
      </c>
      <c r="K63" s="27" t="s">
        <v>163</v>
      </c>
      <c r="L63" s="96">
        <v>45513</v>
      </c>
      <c r="M63" s="27" t="s">
        <v>163</v>
      </c>
      <c r="N63" s="96">
        <v>45513</v>
      </c>
      <c r="O63" s="75" t="s">
        <v>164</v>
      </c>
    </row>
    <row r="64" spans="1:15">
      <c r="A64" s="63" t="s">
        <v>95</v>
      </c>
      <c r="B64" s="27" t="s">
        <v>816</v>
      </c>
      <c r="C64" s="84" t="s">
        <v>817</v>
      </c>
      <c r="D64" s="100">
        <v>1</v>
      </c>
      <c r="E64" s="92">
        <v>2</v>
      </c>
      <c r="F64" s="80" t="s">
        <v>819</v>
      </c>
      <c r="G64" s="75"/>
      <c r="H64" s="75"/>
      <c r="I64" s="75"/>
      <c r="J64" s="75" t="s">
        <v>162</v>
      </c>
      <c r="K64" s="27" t="s">
        <v>163</v>
      </c>
      <c r="L64" s="96">
        <v>45513</v>
      </c>
      <c r="M64" s="27" t="s">
        <v>163</v>
      </c>
      <c r="N64" s="96">
        <v>45513</v>
      </c>
      <c r="O64" s="75" t="s">
        <v>164</v>
      </c>
    </row>
  </sheetData>
  <autoFilter ref="A3:O62"/>
  <phoneticPr fontId="7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H15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13.26953125" style="1" customWidth="1"/>
    <col min="7" max="7" width="15.7265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629</v>
      </c>
      <c r="C3" s="115" t="s">
        <v>617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111</v>
      </c>
      <c r="D6" s="120" t="s">
        <v>112</v>
      </c>
      <c r="E6" s="121" t="s">
        <v>318</v>
      </c>
      <c r="F6" s="122" t="s">
        <v>8</v>
      </c>
      <c r="G6" s="123"/>
      <c r="H6" s="119" t="s">
        <v>86</v>
      </c>
    </row>
    <row r="7" spans="1:8" s="15" customFormat="1">
      <c r="A7" s="63">
        <v>2</v>
      </c>
      <c r="B7" s="27" t="s">
        <v>630</v>
      </c>
      <c r="C7" s="83" t="s">
        <v>631</v>
      </c>
      <c r="D7" s="78" t="s">
        <v>632</v>
      </c>
      <c r="E7" s="25" t="s">
        <v>601</v>
      </c>
      <c r="F7" s="25"/>
      <c r="G7" s="25"/>
      <c r="H7" s="71"/>
    </row>
    <row r="8" spans="1:8" s="124" customFormat="1">
      <c r="A8" s="125">
        <v>3</v>
      </c>
      <c r="B8" s="125" t="s">
        <v>484</v>
      </c>
      <c r="C8" s="126" t="s">
        <v>618</v>
      </c>
      <c r="D8" s="120" t="s">
        <v>299</v>
      </c>
      <c r="E8" s="122"/>
      <c r="F8" s="122" t="s">
        <v>8</v>
      </c>
      <c r="G8" s="122"/>
      <c r="H8" s="126"/>
    </row>
    <row r="9" spans="1:8" s="124" customFormat="1">
      <c r="A9" s="118">
        <v>4</v>
      </c>
      <c r="B9" s="125" t="s">
        <v>109</v>
      </c>
      <c r="C9" s="126" t="s">
        <v>619</v>
      </c>
      <c r="D9" s="120" t="s">
        <v>230</v>
      </c>
      <c r="E9" s="122"/>
      <c r="F9" s="122" t="s">
        <v>8</v>
      </c>
      <c r="G9" s="122"/>
      <c r="H9" s="126"/>
    </row>
    <row r="10" spans="1:8" ht="28">
      <c r="A10" s="63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740</v>
      </c>
    </row>
    <row r="11" spans="1:8">
      <c r="A11" s="125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751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63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751</v>
      </c>
    </row>
    <row r="14" spans="1:8">
      <c r="A14" s="125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09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H25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17968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8.90625" style="1" customWidth="1"/>
    <col min="7" max="7" width="14.8164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 t="s">
        <v>356</v>
      </c>
      <c r="G2" s="114" t="s">
        <v>357</v>
      </c>
      <c r="H2" s="114"/>
    </row>
    <row r="3" spans="1:8">
      <c r="B3" s="115" t="s">
        <v>2546</v>
      </c>
      <c r="C3" s="115" t="s">
        <v>490</v>
      </c>
      <c r="D3" s="2" t="s">
        <v>2</v>
      </c>
      <c r="E3" s="114"/>
      <c r="F3" s="3">
        <v>95</v>
      </c>
      <c r="G3" s="2" t="s">
        <v>581</v>
      </c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317</v>
      </c>
      <c r="E6" s="121" t="s">
        <v>318</v>
      </c>
      <c r="F6" s="122" t="s">
        <v>8</v>
      </c>
      <c r="G6" s="65" t="s">
        <v>2018</v>
      </c>
      <c r="H6" s="119" t="s">
        <v>86</v>
      </c>
    </row>
    <row r="7" spans="1:8" s="124" customFormat="1">
      <c r="A7" s="125">
        <v>2</v>
      </c>
      <c r="B7" s="125" t="s">
        <v>358</v>
      </c>
      <c r="C7" s="126" t="s">
        <v>2642</v>
      </c>
      <c r="D7" s="120" t="s">
        <v>104</v>
      </c>
      <c r="E7" s="122"/>
      <c r="F7" s="122" t="s">
        <v>8</v>
      </c>
      <c r="G7" s="122"/>
      <c r="H7" s="126"/>
    </row>
    <row r="8" spans="1:8" s="139" customFormat="1">
      <c r="A8" s="118">
        <v>3</v>
      </c>
      <c r="B8" s="129" t="s">
        <v>359</v>
      </c>
      <c r="C8" s="130" t="s">
        <v>392</v>
      </c>
      <c r="D8" s="131" t="s">
        <v>360</v>
      </c>
      <c r="E8" s="132"/>
      <c r="F8" s="132" t="s">
        <v>8</v>
      </c>
      <c r="G8" s="132"/>
      <c r="H8" s="130"/>
    </row>
    <row r="9" spans="1:8" s="124" customFormat="1">
      <c r="A9" s="125">
        <v>4</v>
      </c>
      <c r="B9" s="125" t="s">
        <v>174</v>
      </c>
      <c r="C9" s="126" t="s">
        <v>361</v>
      </c>
      <c r="D9" s="120" t="s">
        <v>93</v>
      </c>
      <c r="E9" s="122"/>
      <c r="F9" s="44" t="s">
        <v>8</v>
      </c>
      <c r="G9" s="122"/>
      <c r="H9" s="126"/>
    </row>
    <row r="10" spans="1:8" s="124" customFormat="1">
      <c r="A10" s="118">
        <v>5</v>
      </c>
      <c r="B10" s="125" t="s">
        <v>362</v>
      </c>
      <c r="C10" s="126" t="s">
        <v>363</v>
      </c>
      <c r="D10" s="120" t="s">
        <v>93</v>
      </c>
      <c r="E10" s="122"/>
      <c r="F10" s="44" t="s">
        <v>8</v>
      </c>
      <c r="G10" s="122"/>
      <c r="H10" s="126"/>
    </row>
    <row r="11" spans="1:8" s="139" customFormat="1">
      <c r="A11" s="125">
        <v>6</v>
      </c>
      <c r="B11" s="129" t="s">
        <v>364</v>
      </c>
      <c r="C11" s="130" t="s">
        <v>365</v>
      </c>
      <c r="D11" s="131" t="s">
        <v>360</v>
      </c>
      <c r="E11" s="132"/>
      <c r="F11" s="132" t="s">
        <v>8</v>
      </c>
      <c r="G11" s="132"/>
      <c r="H11" s="130"/>
    </row>
    <row r="12" spans="1:8" s="124" customFormat="1">
      <c r="A12" s="118">
        <v>7</v>
      </c>
      <c r="B12" s="125" t="s">
        <v>366</v>
      </c>
      <c r="C12" s="126" t="s">
        <v>367</v>
      </c>
      <c r="D12" s="120" t="s">
        <v>368</v>
      </c>
      <c r="E12" s="122"/>
      <c r="F12" s="132" t="s">
        <v>8</v>
      </c>
      <c r="G12" s="122"/>
      <c r="H12" s="126"/>
    </row>
    <row r="13" spans="1:8" s="124" customFormat="1" ht="28">
      <c r="A13" s="125">
        <v>8</v>
      </c>
      <c r="B13" s="140" t="s">
        <v>369</v>
      </c>
      <c r="C13" s="141" t="s">
        <v>370</v>
      </c>
      <c r="D13" s="120" t="s">
        <v>371</v>
      </c>
      <c r="E13" s="122"/>
      <c r="F13" s="122"/>
      <c r="G13" s="122"/>
      <c r="H13" s="126"/>
    </row>
    <row r="14" spans="1:8" s="62" customFormat="1" ht="56">
      <c r="A14" s="118">
        <v>9</v>
      </c>
      <c r="B14" s="63" t="s">
        <v>432</v>
      </c>
      <c r="C14" s="64" t="s">
        <v>433</v>
      </c>
      <c r="D14" s="79" t="s">
        <v>434</v>
      </c>
      <c r="E14" s="65"/>
      <c r="F14" s="65"/>
      <c r="G14" s="65"/>
      <c r="H14" s="64" t="s">
        <v>2644</v>
      </c>
    </row>
    <row r="15" spans="1:8" s="62" customFormat="1" ht="28">
      <c r="A15" s="125">
        <v>10</v>
      </c>
      <c r="B15" s="63" t="s">
        <v>494</v>
      </c>
      <c r="C15" s="64" t="s">
        <v>495</v>
      </c>
      <c r="D15" s="79" t="s">
        <v>496</v>
      </c>
      <c r="E15" s="65"/>
      <c r="F15" s="65"/>
      <c r="G15" s="65"/>
      <c r="H15" s="64" t="s">
        <v>497</v>
      </c>
    </row>
    <row r="16" spans="1:8" s="124" customFormat="1" ht="28">
      <c r="A16" s="118">
        <v>11</v>
      </c>
      <c r="B16" s="125" t="s">
        <v>376</v>
      </c>
      <c r="C16" s="126" t="s">
        <v>744</v>
      </c>
      <c r="D16" s="120" t="s">
        <v>378</v>
      </c>
      <c r="E16" s="122"/>
      <c r="F16" s="122" t="s">
        <v>8</v>
      </c>
      <c r="G16" s="137" t="s">
        <v>379</v>
      </c>
      <c r="H16" s="126" t="s">
        <v>746</v>
      </c>
    </row>
    <row r="17" spans="1:8">
      <c r="A17" s="125">
        <v>12</v>
      </c>
      <c r="B17" s="135" t="s">
        <v>380</v>
      </c>
      <c r="C17" s="142" t="s">
        <v>381</v>
      </c>
      <c r="D17" s="120" t="s">
        <v>110</v>
      </c>
      <c r="E17" s="136"/>
      <c r="F17" s="143"/>
      <c r="G17" s="136"/>
      <c r="H17" s="135"/>
    </row>
    <row r="18" spans="1:8">
      <c r="A18" s="118">
        <v>13</v>
      </c>
      <c r="B18" s="135" t="s">
        <v>382</v>
      </c>
      <c r="C18" s="142" t="s">
        <v>383</v>
      </c>
      <c r="D18" s="120" t="s">
        <v>110</v>
      </c>
      <c r="E18" s="136"/>
      <c r="F18" s="143"/>
      <c r="G18" s="136"/>
      <c r="H18" s="136"/>
    </row>
    <row r="19" spans="1:8" ht="28">
      <c r="A19" s="125">
        <v>14</v>
      </c>
      <c r="B19" s="135" t="s">
        <v>384</v>
      </c>
      <c r="C19" s="136" t="s">
        <v>117</v>
      </c>
      <c r="D19" s="109" t="s">
        <v>108</v>
      </c>
      <c r="E19" s="136"/>
      <c r="F19" s="122" t="s">
        <v>8</v>
      </c>
      <c r="G19" s="137" t="s">
        <v>379</v>
      </c>
      <c r="H19" s="138" t="s">
        <v>740</v>
      </c>
    </row>
    <row r="20" spans="1:8">
      <c r="A20" s="118">
        <v>15</v>
      </c>
      <c r="B20" s="135" t="s">
        <v>129</v>
      </c>
      <c r="C20" s="136" t="s">
        <v>118</v>
      </c>
      <c r="D20" s="109" t="s">
        <v>317</v>
      </c>
      <c r="E20" s="136"/>
      <c r="F20" s="136"/>
      <c r="G20" s="136"/>
      <c r="H20" s="134" t="s">
        <v>389</v>
      </c>
    </row>
    <row r="21" spans="1:8">
      <c r="A21" s="125">
        <v>16</v>
      </c>
      <c r="B21" s="135" t="s">
        <v>346</v>
      </c>
      <c r="C21" s="136" t="s">
        <v>10</v>
      </c>
      <c r="D21" s="109" t="s">
        <v>110</v>
      </c>
      <c r="E21" s="136"/>
      <c r="F21" s="122" t="s">
        <v>8</v>
      </c>
      <c r="G21" s="135" t="s">
        <v>387</v>
      </c>
      <c r="H21" s="136"/>
    </row>
    <row r="22" spans="1:8">
      <c r="A22" s="118">
        <v>17</v>
      </c>
      <c r="B22" s="135" t="s">
        <v>131</v>
      </c>
      <c r="C22" s="136" t="s">
        <v>119</v>
      </c>
      <c r="D22" s="109" t="s">
        <v>317</v>
      </c>
      <c r="E22" s="136"/>
      <c r="F22" s="136"/>
      <c r="G22" s="136"/>
      <c r="H22" s="134" t="s">
        <v>389</v>
      </c>
    </row>
    <row r="23" spans="1:8">
      <c r="A23" s="125">
        <v>18</v>
      </c>
      <c r="B23" s="135" t="s">
        <v>351</v>
      </c>
      <c r="C23" s="136" t="s">
        <v>11</v>
      </c>
      <c r="D23" s="109" t="s">
        <v>110</v>
      </c>
      <c r="E23" s="136"/>
      <c r="F23" s="122" t="s">
        <v>8</v>
      </c>
      <c r="G23" s="135" t="s">
        <v>387</v>
      </c>
      <c r="H23" s="136"/>
    </row>
    <row r="24" spans="1:8">
      <c r="A24" s="118">
        <v>19</v>
      </c>
      <c r="B24" s="136" t="s">
        <v>120</v>
      </c>
      <c r="C24" s="136" t="s">
        <v>94</v>
      </c>
      <c r="D24" s="109" t="s">
        <v>388</v>
      </c>
      <c r="E24" s="136"/>
      <c r="F24" s="136"/>
      <c r="G24" s="136"/>
      <c r="H24" s="136"/>
    </row>
    <row r="25" spans="1:8">
      <c r="A25" s="118">
        <v>20</v>
      </c>
      <c r="B25" s="136" t="s">
        <v>2548</v>
      </c>
      <c r="C25" s="136" t="s">
        <v>2547</v>
      </c>
      <c r="D25" s="109" t="s">
        <v>2007</v>
      </c>
      <c r="E25" s="136"/>
      <c r="F25" s="136"/>
      <c r="G25" s="136"/>
      <c r="H2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T829"/>
  <sheetViews>
    <sheetView zoomScale="55" zoomScaleNormal="55" workbookViewId="0">
      <pane ySplit="3" topLeftCell="A4" activePane="bottomLeft" state="frozen"/>
      <selection pane="bottomLeft" activeCell="C24" sqref="C24"/>
    </sheetView>
  </sheetViews>
  <sheetFormatPr defaultColWidth="8.90625" defaultRowHeight="14"/>
  <cols>
    <col min="1" max="1" width="27.90625" customWidth="1"/>
    <col min="2" max="2" width="39.81640625" customWidth="1"/>
    <col min="3" max="3" width="37.36328125" customWidth="1"/>
    <col min="4" max="4" width="15" customWidth="1"/>
    <col min="5" max="5" width="13.453125" style="93" customWidth="1"/>
    <col min="6" max="6" width="22" customWidth="1"/>
    <col min="7" max="7" width="14.90625" customWidth="1"/>
    <col min="8" max="8" width="10.90625" customWidth="1"/>
    <col min="9" max="9" width="29.7265625" customWidth="1"/>
    <col min="10" max="10" width="11.81640625" customWidth="1"/>
    <col min="11" max="11" width="14.08984375" customWidth="1"/>
    <col min="12" max="14" width="18.1796875" bestFit="1" customWidth="1"/>
    <col min="15" max="15" width="15.54296875" customWidth="1"/>
    <col min="17" max="17" width="18.1796875" bestFit="1" customWidth="1"/>
    <col min="19" max="19" width="18.1796875" bestFit="1" customWidth="1"/>
  </cols>
  <sheetData>
    <row r="1" spans="1:20" ht="20.5" customHeight="1">
      <c r="A1" s="74" t="s">
        <v>576</v>
      </c>
      <c r="B1" s="2" t="s">
        <v>2</v>
      </c>
      <c r="C1" s="74"/>
    </row>
    <row r="2" spans="1:20">
      <c r="B2" s="59" t="s">
        <v>498</v>
      </c>
      <c r="C2" s="59" t="s">
        <v>765</v>
      </c>
      <c r="D2" s="59" t="s">
        <v>499</v>
      </c>
      <c r="E2" s="59" t="s">
        <v>500</v>
      </c>
      <c r="F2" s="59" t="s">
        <v>363</v>
      </c>
      <c r="G2" s="59" t="s">
        <v>501</v>
      </c>
      <c r="H2" s="59" t="s">
        <v>502</v>
      </c>
      <c r="I2" s="59" t="s">
        <v>503</v>
      </c>
      <c r="J2" s="59" t="s">
        <v>373</v>
      </c>
      <c r="K2" s="59" t="s">
        <v>375</v>
      </c>
      <c r="L2" s="59" t="s">
        <v>377</v>
      </c>
      <c r="M2" s="59" t="s">
        <v>504</v>
      </c>
      <c r="N2" s="59" t="s">
        <v>505</v>
      </c>
      <c r="O2" s="59" t="s">
        <v>29</v>
      </c>
      <c r="P2" s="59" t="s">
        <v>506</v>
      </c>
      <c r="Q2" s="59" t="s">
        <v>155</v>
      </c>
      <c r="R2" s="59" t="s">
        <v>156</v>
      </c>
      <c r="S2" s="59" t="s">
        <v>507</v>
      </c>
      <c r="T2" s="59" t="s">
        <v>158</v>
      </c>
    </row>
    <row r="3" spans="1:20" s="62" customFormat="1">
      <c r="A3" s="63">
        <v>1</v>
      </c>
      <c r="B3" s="88" t="s">
        <v>358</v>
      </c>
      <c r="C3" s="88" t="s">
        <v>766</v>
      </c>
      <c r="D3" s="88" t="s">
        <v>359</v>
      </c>
      <c r="E3" s="88" t="s">
        <v>174</v>
      </c>
      <c r="F3" s="88" t="s">
        <v>3434</v>
      </c>
      <c r="G3" s="88" t="s">
        <v>364</v>
      </c>
      <c r="H3" s="88" t="s">
        <v>366</v>
      </c>
      <c r="I3" s="88" t="s">
        <v>369</v>
      </c>
      <c r="J3" s="88" t="s">
        <v>372</v>
      </c>
      <c r="K3" s="88" t="s">
        <v>374</v>
      </c>
      <c r="L3" s="88" t="s">
        <v>376</v>
      </c>
      <c r="M3" s="88" t="s">
        <v>380</v>
      </c>
      <c r="N3" s="88" t="s">
        <v>382</v>
      </c>
      <c r="O3" s="88" t="s">
        <v>384</v>
      </c>
      <c r="P3" s="88" t="s">
        <v>129</v>
      </c>
      <c r="Q3" s="88" t="s">
        <v>346</v>
      </c>
      <c r="R3" s="88" t="s">
        <v>131</v>
      </c>
      <c r="S3" s="88" t="s">
        <v>351</v>
      </c>
      <c r="T3" s="88" t="s">
        <v>508</v>
      </c>
    </row>
    <row r="4" spans="1:20" s="15" customFormat="1">
      <c r="A4" s="63" t="s">
        <v>95</v>
      </c>
      <c r="B4" s="83" t="s">
        <v>1985</v>
      </c>
      <c r="C4" s="63" t="s">
        <v>767</v>
      </c>
      <c r="D4" s="144">
        <v>1</v>
      </c>
      <c r="E4" s="78" t="s">
        <v>540</v>
      </c>
      <c r="F4" s="78">
        <v>1</v>
      </c>
      <c r="G4" s="78">
        <v>1</v>
      </c>
      <c r="H4" s="28">
        <v>1</v>
      </c>
      <c r="I4" s="27"/>
      <c r="J4" s="27">
        <v>1</v>
      </c>
      <c r="K4" s="27"/>
      <c r="L4" s="27">
        <v>0</v>
      </c>
      <c r="M4" s="149">
        <v>45526.671099537038</v>
      </c>
      <c r="N4" s="96"/>
      <c r="O4" s="27">
        <v>0</v>
      </c>
      <c r="P4" s="27" t="s">
        <v>509</v>
      </c>
      <c r="Q4" s="149">
        <v>45526.671099537038</v>
      </c>
      <c r="R4" s="27" t="s">
        <v>509</v>
      </c>
      <c r="S4" s="149">
        <v>45526.671099537038</v>
      </c>
      <c r="T4" s="27"/>
    </row>
    <row r="5" spans="1:20" s="15" customFormat="1">
      <c r="A5" s="63" t="s">
        <v>95</v>
      </c>
      <c r="B5" s="83" t="s">
        <v>2106</v>
      </c>
      <c r="C5" s="63" t="s">
        <v>768</v>
      </c>
      <c r="D5" s="144">
        <v>2</v>
      </c>
      <c r="E5" s="78" t="s">
        <v>540</v>
      </c>
      <c r="F5" s="78">
        <v>1</v>
      </c>
      <c r="G5" s="78">
        <v>1</v>
      </c>
      <c r="H5" s="28">
        <v>1</v>
      </c>
      <c r="I5" s="27"/>
      <c r="J5" s="27">
        <v>1</v>
      </c>
      <c r="K5" s="27"/>
      <c r="L5" s="27">
        <v>0</v>
      </c>
      <c r="M5" s="149">
        <v>45526.671099537038</v>
      </c>
      <c r="N5" s="96"/>
      <c r="O5" s="27">
        <v>0</v>
      </c>
      <c r="P5" s="27" t="s">
        <v>509</v>
      </c>
      <c r="Q5" s="149">
        <v>45526.671099537038</v>
      </c>
      <c r="R5" s="27" t="s">
        <v>509</v>
      </c>
      <c r="S5" s="149">
        <v>45526.671099537038</v>
      </c>
      <c r="T5" s="27"/>
    </row>
    <row r="6" spans="1:20" s="15" customFormat="1">
      <c r="A6" s="63" t="s">
        <v>95</v>
      </c>
      <c r="B6" s="83" t="s">
        <v>4213</v>
      </c>
      <c r="C6" s="63" t="s">
        <v>769</v>
      </c>
      <c r="D6" s="144">
        <v>3</v>
      </c>
      <c r="E6" s="78" t="s">
        <v>540</v>
      </c>
      <c r="F6" s="78">
        <v>1</v>
      </c>
      <c r="G6" s="78">
        <v>1</v>
      </c>
      <c r="H6" s="28">
        <v>1</v>
      </c>
      <c r="I6" s="27"/>
      <c r="J6" s="27">
        <v>1</v>
      </c>
      <c r="K6" s="27"/>
      <c r="L6" s="27">
        <v>0</v>
      </c>
      <c r="M6" s="149">
        <v>45526.671099537038</v>
      </c>
      <c r="N6" s="96"/>
      <c r="O6" s="27">
        <v>0</v>
      </c>
      <c r="P6" s="27" t="s">
        <v>509</v>
      </c>
      <c r="Q6" s="149">
        <v>45526.671099537038</v>
      </c>
      <c r="R6" s="27" t="s">
        <v>509</v>
      </c>
      <c r="S6" s="149">
        <v>45526.671099537038</v>
      </c>
      <c r="T6" s="27"/>
    </row>
    <row r="7" spans="1:20" s="29" customFormat="1">
      <c r="A7" s="63" t="s">
        <v>95</v>
      </c>
      <c r="B7" s="86" t="s">
        <v>2411</v>
      </c>
      <c r="C7" s="63" t="s">
        <v>770</v>
      </c>
      <c r="D7" s="144">
        <v>4</v>
      </c>
      <c r="E7" s="78" t="s">
        <v>540</v>
      </c>
      <c r="F7" s="78">
        <v>1</v>
      </c>
      <c r="G7" s="78">
        <v>1</v>
      </c>
      <c r="H7" s="28">
        <v>1</v>
      </c>
      <c r="I7" s="27"/>
      <c r="J7" s="27">
        <v>1</v>
      </c>
      <c r="K7" s="27"/>
      <c r="L7" s="27">
        <v>0</v>
      </c>
      <c r="M7" s="149">
        <v>45526.671099537038</v>
      </c>
      <c r="N7" s="96"/>
      <c r="O7" s="27">
        <v>0</v>
      </c>
      <c r="P7" s="27" t="s">
        <v>509</v>
      </c>
      <c r="Q7" s="149">
        <v>45526.671099537038</v>
      </c>
      <c r="R7" s="27" t="s">
        <v>509</v>
      </c>
      <c r="S7" s="149">
        <v>45526.671099537038</v>
      </c>
      <c r="T7" s="27"/>
    </row>
    <row r="8" spans="1:20" s="29" customFormat="1">
      <c r="A8" s="63" t="s">
        <v>95</v>
      </c>
      <c r="B8" s="86" t="s">
        <v>691</v>
      </c>
      <c r="C8" s="63" t="s">
        <v>771</v>
      </c>
      <c r="D8" s="144">
        <v>5</v>
      </c>
      <c r="E8" s="78" t="s">
        <v>540</v>
      </c>
      <c r="F8" s="78">
        <v>1</v>
      </c>
      <c r="G8" s="78">
        <v>1</v>
      </c>
      <c r="H8" s="28">
        <v>1</v>
      </c>
      <c r="I8" s="27"/>
      <c r="J8" s="27">
        <v>3</v>
      </c>
      <c r="K8" s="27"/>
      <c r="L8" s="27">
        <v>0</v>
      </c>
      <c r="M8" s="149">
        <v>45526.671099537038</v>
      </c>
      <c r="N8" s="96"/>
      <c r="O8" s="27">
        <v>0</v>
      </c>
      <c r="P8" s="27" t="s">
        <v>509</v>
      </c>
      <c r="Q8" s="149">
        <v>45526.671099537038</v>
      </c>
      <c r="R8" s="27" t="s">
        <v>509</v>
      </c>
      <c r="S8" s="149">
        <v>45526.671099537038</v>
      </c>
      <c r="T8" s="27"/>
    </row>
    <row r="9" spans="1:20" s="29" customFormat="1">
      <c r="A9" s="63" t="s">
        <v>95</v>
      </c>
      <c r="B9" s="86" t="s">
        <v>692</v>
      </c>
      <c r="C9" s="63" t="s">
        <v>772</v>
      </c>
      <c r="D9" s="144">
        <v>6</v>
      </c>
      <c r="E9" s="78" t="s">
        <v>540</v>
      </c>
      <c r="F9" s="78">
        <v>1</v>
      </c>
      <c r="G9" s="78">
        <v>1</v>
      </c>
      <c r="H9" s="28">
        <v>1</v>
      </c>
      <c r="I9" s="27"/>
      <c r="J9" s="27">
        <v>3</v>
      </c>
      <c r="K9" s="27"/>
      <c r="L9" s="27">
        <v>0</v>
      </c>
      <c r="M9" s="149">
        <v>45526.671099537038</v>
      </c>
      <c r="N9" s="96"/>
      <c r="O9" s="27">
        <v>0</v>
      </c>
      <c r="P9" s="27" t="s">
        <v>509</v>
      </c>
      <c r="Q9" s="149">
        <v>45526.671099537038</v>
      </c>
      <c r="R9" s="27" t="s">
        <v>509</v>
      </c>
      <c r="S9" s="149">
        <v>45526.671099537038</v>
      </c>
      <c r="T9" s="27"/>
    </row>
    <row r="10" spans="1:20" s="29" customFormat="1">
      <c r="A10" s="63" t="s">
        <v>95</v>
      </c>
      <c r="B10" s="86" t="s">
        <v>3479</v>
      </c>
      <c r="C10" s="63" t="s">
        <v>773</v>
      </c>
      <c r="D10" s="144">
        <v>7</v>
      </c>
      <c r="E10" s="78" t="s">
        <v>540</v>
      </c>
      <c r="F10" s="78">
        <v>1</v>
      </c>
      <c r="G10" s="78">
        <v>1</v>
      </c>
      <c r="H10" s="28">
        <v>1</v>
      </c>
      <c r="I10" s="27"/>
      <c r="J10" s="27">
        <v>1</v>
      </c>
      <c r="K10" s="27"/>
      <c r="L10" s="27">
        <v>0</v>
      </c>
      <c r="M10" s="149">
        <v>45526.671099537038</v>
      </c>
      <c r="N10" s="96"/>
      <c r="O10" s="27">
        <v>0</v>
      </c>
      <c r="P10" s="27" t="s">
        <v>509</v>
      </c>
      <c r="Q10" s="149">
        <v>45526.671099537038</v>
      </c>
      <c r="R10" s="27" t="s">
        <v>509</v>
      </c>
      <c r="S10" s="149">
        <v>45526.671099537038</v>
      </c>
      <c r="T10" s="27"/>
    </row>
    <row r="11" spans="1:20" s="29" customFormat="1">
      <c r="A11" s="63" t="s">
        <v>95</v>
      </c>
      <c r="B11" s="86" t="s">
        <v>852</v>
      </c>
      <c r="C11" s="63" t="s">
        <v>774</v>
      </c>
      <c r="D11" s="144">
        <v>8</v>
      </c>
      <c r="E11" s="78" t="s">
        <v>540</v>
      </c>
      <c r="F11" s="78">
        <v>1</v>
      </c>
      <c r="G11" s="78">
        <v>1</v>
      </c>
      <c r="H11" s="28">
        <v>1</v>
      </c>
      <c r="I11" s="27"/>
      <c r="J11" s="27">
        <v>2</v>
      </c>
      <c r="K11" s="27">
        <v>2</v>
      </c>
      <c r="L11" s="27">
        <v>0</v>
      </c>
      <c r="M11" s="149">
        <v>45526.671099537038</v>
      </c>
      <c r="N11" s="96"/>
      <c r="O11" s="27">
        <v>0</v>
      </c>
      <c r="P11" s="27" t="s">
        <v>509</v>
      </c>
      <c r="Q11" s="149">
        <v>45526.671099537038</v>
      </c>
      <c r="R11" s="27" t="s">
        <v>509</v>
      </c>
      <c r="S11" s="149">
        <v>45526.671099537038</v>
      </c>
      <c r="T11" s="27"/>
    </row>
    <row r="12" spans="1:20" s="29" customFormat="1">
      <c r="A12" s="63" t="s">
        <v>95</v>
      </c>
      <c r="B12" s="86" t="s">
        <v>918</v>
      </c>
      <c r="C12" s="63" t="s">
        <v>775</v>
      </c>
      <c r="D12" s="144">
        <v>9</v>
      </c>
      <c r="E12" s="78" t="s">
        <v>542</v>
      </c>
      <c r="F12" s="78">
        <v>2</v>
      </c>
      <c r="G12" s="78">
        <v>2</v>
      </c>
      <c r="H12" s="28">
        <v>1</v>
      </c>
      <c r="I12" s="27"/>
      <c r="J12" s="27">
        <v>1</v>
      </c>
      <c r="K12" s="27"/>
      <c r="L12" s="27">
        <v>0</v>
      </c>
      <c r="M12" s="149">
        <v>45526.671099537038</v>
      </c>
      <c r="N12" s="96"/>
      <c r="O12" s="27">
        <v>0</v>
      </c>
      <c r="P12" s="27" t="s">
        <v>509</v>
      </c>
      <c r="Q12" s="149">
        <v>45526.671099537038</v>
      </c>
      <c r="R12" s="27" t="s">
        <v>509</v>
      </c>
      <c r="S12" s="149">
        <v>45526.671099537038</v>
      </c>
      <c r="T12" s="27"/>
    </row>
    <row r="13" spans="1:20" s="29" customFormat="1">
      <c r="A13" s="63" t="s">
        <v>95</v>
      </c>
      <c r="B13" s="86" t="s">
        <v>919</v>
      </c>
      <c r="C13" s="63" t="s">
        <v>776</v>
      </c>
      <c r="D13" s="144">
        <v>10</v>
      </c>
      <c r="E13" s="78" t="s">
        <v>542</v>
      </c>
      <c r="F13" s="78">
        <v>2</v>
      </c>
      <c r="G13" s="78">
        <v>2</v>
      </c>
      <c r="H13" s="28">
        <v>1</v>
      </c>
      <c r="I13" s="27"/>
      <c r="J13" s="27">
        <v>2</v>
      </c>
      <c r="K13" s="27">
        <v>2</v>
      </c>
      <c r="L13" s="27">
        <v>0</v>
      </c>
      <c r="M13" s="149">
        <v>45526.671099537038</v>
      </c>
      <c r="N13" s="96"/>
      <c r="O13" s="27">
        <v>0</v>
      </c>
      <c r="P13" s="27" t="s">
        <v>509</v>
      </c>
      <c r="Q13" s="149">
        <v>45526.671099537038</v>
      </c>
      <c r="R13" s="27" t="s">
        <v>509</v>
      </c>
      <c r="S13" s="149">
        <v>45526.671099537038</v>
      </c>
      <c r="T13" s="27"/>
    </row>
    <row r="14" spans="1:20" s="29" customFormat="1">
      <c r="A14" s="63" t="s">
        <v>95</v>
      </c>
      <c r="B14" s="86" t="s">
        <v>2544</v>
      </c>
      <c r="C14" s="63" t="s">
        <v>777</v>
      </c>
      <c r="D14" s="144">
        <v>11</v>
      </c>
      <c r="E14" s="78" t="s">
        <v>542</v>
      </c>
      <c r="F14" s="78">
        <v>2</v>
      </c>
      <c r="G14" s="78">
        <v>2</v>
      </c>
      <c r="H14" s="28">
        <v>1</v>
      </c>
      <c r="I14" s="27"/>
      <c r="J14" s="27">
        <v>1</v>
      </c>
      <c r="K14" s="27"/>
      <c r="L14" s="27">
        <v>0</v>
      </c>
      <c r="M14" s="149">
        <v>45526.671099537038</v>
      </c>
      <c r="N14" s="96"/>
      <c r="O14" s="27">
        <v>0</v>
      </c>
      <c r="P14" s="27" t="s">
        <v>509</v>
      </c>
      <c r="Q14" s="149">
        <v>45526.671099537038</v>
      </c>
      <c r="R14" s="27" t="s">
        <v>509</v>
      </c>
      <c r="S14" s="149">
        <v>45526.671099537038</v>
      </c>
      <c r="T14" s="27"/>
    </row>
    <row r="15" spans="1:20" s="29" customFormat="1">
      <c r="A15" s="63" t="s">
        <v>95</v>
      </c>
      <c r="B15" s="86" t="s">
        <v>927</v>
      </c>
      <c r="C15" s="63" t="s">
        <v>778</v>
      </c>
      <c r="D15" s="144">
        <v>12</v>
      </c>
      <c r="E15" s="78" t="s">
        <v>542</v>
      </c>
      <c r="F15" s="78">
        <v>2</v>
      </c>
      <c r="G15" s="78">
        <v>2</v>
      </c>
      <c r="H15" s="28">
        <v>1</v>
      </c>
      <c r="I15" s="27"/>
      <c r="J15" s="27">
        <v>1</v>
      </c>
      <c r="K15" s="27"/>
      <c r="L15" s="27">
        <v>0</v>
      </c>
      <c r="M15" s="149">
        <v>45526.671099537038</v>
      </c>
      <c r="N15" s="96"/>
      <c r="O15" s="27">
        <v>0</v>
      </c>
      <c r="P15" s="27" t="s">
        <v>509</v>
      </c>
      <c r="Q15" s="149">
        <v>45526.671099537038</v>
      </c>
      <c r="R15" s="27" t="s">
        <v>509</v>
      </c>
      <c r="S15" s="149">
        <v>45526.671099537038</v>
      </c>
      <c r="T15" s="27"/>
    </row>
    <row r="16" spans="1:20" s="29" customFormat="1">
      <c r="A16" s="63" t="s">
        <v>95</v>
      </c>
      <c r="B16" s="86" t="s">
        <v>930</v>
      </c>
      <c r="C16" s="63" t="s">
        <v>779</v>
      </c>
      <c r="D16" s="144">
        <v>13</v>
      </c>
      <c r="E16" s="78" t="s">
        <v>542</v>
      </c>
      <c r="F16" s="78">
        <v>2</v>
      </c>
      <c r="G16" s="78">
        <v>2</v>
      </c>
      <c r="H16" s="28">
        <v>1</v>
      </c>
      <c r="I16" s="27"/>
      <c r="J16" s="27">
        <v>1</v>
      </c>
      <c r="K16" s="27"/>
      <c r="L16" s="27">
        <v>0</v>
      </c>
      <c r="M16" s="149">
        <v>45526.671099537038</v>
      </c>
      <c r="N16" s="96"/>
      <c r="O16" s="27">
        <v>0</v>
      </c>
      <c r="P16" s="27" t="s">
        <v>509</v>
      </c>
      <c r="Q16" s="149">
        <v>45526.671099537038</v>
      </c>
      <c r="R16" s="27" t="s">
        <v>509</v>
      </c>
      <c r="S16" s="149">
        <v>45526.671099537038</v>
      </c>
      <c r="T16" s="27"/>
    </row>
    <row r="17" spans="1:20" s="29" customFormat="1">
      <c r="A17" s="63" t="s">
        <v>95</v>
      </c>
      <c r="B17" s="86" t="s">
        <v>920</v>
      </c>
      <c r="C17" s="63" t="s">
        <v>780</v>
      </c>
      <c r="D17" s="144">
        <v>14</v>
      </c>
      <c r="E17" s="78" t="s">
        <v>542</v>
      </c>
      <c r="F17" s="78">
        <v>2</v>
      </c>
      <c r="G17" s="78">
        <v>2</v>
      </c>
      <c r="H17" s="28">
        <v>1</v>
      </c>
      <c r="I17" s="27"/>
      <c r="J17" s="27">
        <v>1</v>
      </c>
      <c r="K17" s="27"/>
      <c r="L17" s="27">
        <v>0</v>
      </c>
      <c r="M17" s="149">
        <v>45526.671099537038</v>
      </c>
      <c r="N17" s="96"/>
      <c r="O17" s="27">
        <v>0</v>
      </c>
      <c r="P17" s="27" t="s">
        <v>509</v>
      </c>
      <c r="Q17" s="149">
        <v>45526.671099537038</v>
      </c>
      <c r="R17" s="27" t="s">
        <v>509</v>
      </c>
      <c r="S17" s="149">
        <v>45526.671099537038</v>
      </c>
      <c r="T17" s="27"/>
    </row>
    <row r="18" spans="1:20" s="29" customFormat="1">
      <c r="A18" s="63" t="s">
        <v>95</v>
      </c>
      <c r="B18" s="86" t="s">
        <v>4666</v>
      </c>
      <c r="C18" s="63" t="s">
        <v>781</v>
      </c>
      <c r="D18" s="144">
        <v>15</v>
      </c>
      <c r="E18" s="78" t="s">
        <v>542</v>
      </c>
      <c r="F18" s="78">
        <v>2</v>
      </c>
      <c r="G18" s="78">
        <v>2</v>
      </c>
      <c r="H18" s="28">
        <v>1</v>
      </c>
      <c r="I18" s="27"/>
      <c r="J18" s="27">
        <v>1</v>
      </c>
      <c r="K18" s="27"/>
      <c r="L18" s="27">
        <v>0</v>
      </c>
      <c r="M18" s="149">
        <v>45526.671099537038</v>
      </c>
      <c r="N18" s="96"/>
      <c r="O18" s="27">
        <v>0</v>
      </c>
      <c r="P18" s="27" t="s">
        <v>509</v>
      </c>
      <c r="Q18" s="149">
        <v>45526.671099537038</v>
      </c>
      <c r="R18" s="27" t="s">
        <v>509</v>
      </c>
      <c r="S18" s="149">
        <v>45526.671099537038</v>
      </c>
      <c r="T18" s="27"/>
    </row>
    <row r="19" spans="1:20" s="29" customFormat="1">
      <c r="A19" s="63" t="s">
        <v>95</v>
      </c>
      <c r="B19" s="86" t="s">
        <v>654</v>
      </c>
      <c r="C19" s="63" t="s">
        <v>782</v>
      </c>
      <c r="D19" s="144">
        <v>16</v>
      </c>
      <c r="E19" s="78" t="s">
        <v>542</v>
      </c>
      <c r="F19" s="78">
        <v>2</v>
      </c>
      <c r="G19" s="78">
        <v>2</v>
      </c>
      <c r="H19" s="28">
        <v>1</v>
      </c>
      <c r="I19" s="27"/>
      <c r="J19" s="27">
        <v>2</v>
      </c>
      <c r="K19" s="27">
        <v>2</v>
      </c>
      <c r="L19" s="27">
        <v>0</v>
      </c>
      <c r="M19" s="149">
        <v>45526.671099537038</v>
      </c>
      <c r="N19" s="96"/>
      <c r="O19" s="27">
        <v>0</v>
      </c>
      <c r="P19" s="27" t="s">
        <v>509</v>
      </c>
      <c r="Q19" s="149">
        <v>45526.671099537038</v>
      </c>
      <c r="R19" s="27" t="s">
        <v>509</v>
      </c>
      <c r="S19" s="149">
        <v>45526.671099537038</v>
      </c>
      <c r="T19" s="27"/>
    </row>
    <row r="20" spans="1:20" s="29" customFormat="1">
      <c r="A20" s="63" t="s">
        <v>95</v>
      </c>
      <c r="B20" s="86" t="s">
        <v>4665</v>
      </c>
      <c r="C20" s="63" t="s">
        <v>783</v>
      </c>
      <c r="D20" s="144">
        <v>17</v>
      </c>
      <c r="E20" s="78" t="s">
        <v>542</v>
      </c>
      <c r="F20" s="78">
        <v>2</v>
      </c>
      <c r="G20" s="78">
        <v>2</v>
      </c>
      <c r="H20" s="28">
        <v>1</v>
      </c>
      <c r="I20" s="27"/>
      <c r="J20" s="27">
        <v>2</v>
      </c>
      <c r="K20" s="27">
        <v>1</v>
      </c>
      <c r="L20" s="27">
        <v>0</v>
      </c>
      <c r="M20" s="149">
        <v>45526.671099537038</v>
      </c>
      <c r="N20" s="96"/>
      <c r="O20" s="27">
        <v>0</v>
      </c>
      <c r="P20" s="27" t="s">
        <v>509</v>
      </c>
      <c r="Q20" s="149">
        <v>45526.671099537038</v>
      </c>
      <c r="R20" s="27" t="s">
        <v>509</v>
      </c>
      <c r="S20" s="149">
        <v>45526.671099537038</v>
      </c>
      <c r="T20" s="27"/>
    </row>
    <row r="21" spans="1:20" s="29" customFormat="1">
      <c r="A21" s="63" t="s">
        <v>95</v>
      </c>
      <c r="B21" s="86" t="s">
        <v>574</v>
      </c>
      <c r="C21" s="63" t="s">
        <v>784</v>
      </c>
      <c r="D21" s="144">
        <v>18</v>
      </c>
      <c r="E21" s="78" t="s">
        <v>264</v>
      </c>
      <c r="F21" s="78">
        <v>3</v>
      </c>
      <c r="G21" s="78">
        <v>3</v>
      </c>
      <c r="H21" s="28">
        <v>1</v>
      </c>
      <c r="I21" s="27"/>
      <c r="J21" s="27">
        <v>1</v>
      </c>
      <c r="K21" s="27"/>
      <c r="L21" s="27">
        <v>0</v>
      </c>
      <c r="M21" s="149">
        <v>45526.671099537038</v>
      </c>
      <c r="N21" s="96"/>
      <c r="O21" s="27">
        <v>0</v>
      </c>
      <c r="P21" s="27" t="s">
        <v>509</v>
      </c>
      <c r="Q21" s="149">
        <v>45526.671099537038</v>
      </c>
      <c r="R21" s="27" t="s">
        <v>509</v>
      </c>
      <c r="S21" s="149">
        <v>45526.671099537038</v>
      </c>
      <c r="T21" s="27"/>
    </row>
    <row r="22" spans="1:20" s="29" customFormat="1">
      <c r="A22" s="63" t="s">
        <v>95</v>
      </c>
      <c r="B22" s="86" t="s">
        <v>658</v>
      </c>
      <c r="C22" s="63" t="s">
        <v>785</v>
      </c>
      <c r="D22" s="144">
        <v>19</v>
      </c>
      <c r="E22" s="78" t="s">
        <v>264</v>
      </c>
      <c r="F22" s="78">
        <v>3</v>
      </c>
      <c r="G22" s="78">
        <v>3</v>
      </c>
      <c r="H22" s="28">
        <v>1</v>
      </c>
      <c r="I22" s="27"/>
      <c r="J22" s="27">
        <v>2</v>
      </c>
      <c r="K22" s="27">
        <v>2</v>
      </c>
      <c r="L22" s="27">
        <v>0</v>
      </c>
      <c r="M22" s="149">
        <v>45526.671099537038</v>
      </c>
      <c r="N22" s="96"/>
      <c r="O22" s="27">
        <v>0</v>
      </c>
      <c r="P22" s="27" t="s">
        <v>509</v>
      </c>
      <c r="Q22" s="149">
        <v>45526.671099537038</v>
      </c>
      <c r="R22" s="27" t="s">
        <v>509</v>
      </c>
      <c r="S22" s="149">
        <v>45526.671099537038</v>
      </c>
      <c r="T22" s="27"/>
    </row>
    <row r="23" spans="1:20" s="29" customFormat="1">
      <c r="A23" s="63" t="s">
        <v>95</v>
      </c>
      <c r="B23" s="86" t="s">
        <v>661</v>
      </c>
      <c r="C23" s="63" t="s">
        <v>786</v>
      </c>
      <c r="D23" s="144">
        <v>20</v>
      </c>
      <c r="E23" s="78" t="s">
        <v>2650</v>
      </c>
      <c r="F23" s="78">
        <v>4</v>
      </c>
      <c r="G23" s="78">
        <v>4</v>
      </c>
      <c r="H23" s="28">
        <v>1</v>
      </c>
      <c r="I23" s="27"/>
      <c r="J23" s="27">
        <v>1</v>
      </c>
      <c r="K23" s="27"/>
      <c r="L23" s="27">
        <v>0</v>
      </c>
      <c r="M23" s="149">
        <v>45526.671099537038</v>
      </c>
      <c r="N23" s="96"/>
      <c r="O23" s="27">
        <v>0</v>
      </c>
      <c r="P23" s="27" t="s">
        <v>509</v>
      </c>
      <c r="Q23" s="149">
        <v>45526.671099537038</v>
      </c>
      <c r="R23" s="27" t="s">
        <v>509</v>
      </c>
      <c r="S23" s="149">
        <v>45526.671099537038</v>
      </c>
      <c r="T23" s="27"/>
    </row>
    <row r="24" spans="1:20" s="29" customFormat="1">
      <c r="A24" s="63" t="s">
        <v>95</v>
      </c>
      <c r="B24" s="86" t="s">
        <v>662</v>
      </c>
      <c r="C24" s="63" t="s">
        <v>787</v>
      </c>
      <c r="D24" s="144">
        <v>21</v>
      </c>
      <c r="E24" s="78" t="s">
        <v>660</v>
      </c>
      <c r="F24" s="78">
        <v>4</v>
      </c>
      <c r="G24" s="78">
        <v>4</v>
      </c>
      <c r="H24" s="28">
        <v>1</v>
      </c>
      <c r="I24" s="27"/>
      <c r="J24" s="27">
        <v>2</v>
      </c>
      <c r="K24" s="27">
        <v>2</v>
      </c>
      <c r="L24" s="27">
        <v>0</v>
      </c>
      <c r="M24" s="149">
        <v>45526.671099537038</v>
      </c>
      <c r="N24" s="96"/>
      <c r="O24" s="27">
        <v>0</v>
      </c>
      <c r="P24" s="27" t="s">
        <v>509</v>
      </c>
      <c r="Q24" s="149">
        <v>45526.671099537038</v>
      </c>
      <c r="R24" s="27" t="s">
        <v>509</v>
      </c>
      <c r="S24" s="149">
        <v>45526.671099537038</v>
      </c>
      <c r="T24" s="27"/>
    </row>
    <row r="25" spans="1:20" s="29" customFormat="1">
      <c r="A25" s="63" t="s">
        <v>95</v>
      </c>
      <c r="B25" s="86" t="s">
        <v>663</v>
      </c>
      <c r="C25" s="63" t="s">
        <v>788</v>
      </c>
      <c r="D25" s="144">
        <v>22</v>
      </c>
      <c r="E25" s="78" t="s">
        <v>266</v>
      </c>
      <c r="F25" s="78">
        <v>5</v>
      </c>
      <c r="G25" s="78">
        <v>5</v>
      </c>
      <c r="H25" s="28">
        <v>1</v>
      </c>
      <c r="I25" s="27"/>
      <c r="J25" s="27">
        <v>2</v>
      </c>
      <c r="K25" s="27">
        <v>2</v>
      </c>
      <c r="L25" s="27">
        <v>0</v>
      </c>
      <c r="M25" s="149">
        <v>45526.671099537038</v>
      </c>
      <c r="N25" s="96"/>
      <c r="O25" s="27">
        <v>0</v>
      </c>
      <c r="P25" s="27" t="s">
        <v>509</v>
      </c>
      <c r="Q25" s="149">
        <v>45526.671099537038</v>
      </c>
      <c r="R25" s="27" t="s">
        <v>509</v>
      </c>
      <c r="S25" s="149">
        <v>45526.671099537038</v>
      </c>
      <c r="T25" s="27"/>
    </row>
    <row r="26" spans="1:20" s="29" customFormat="1">
      <c r="A26" s="63" t="s">
        <v>95</v>
      </c>
      <c r="B26" s="86" t="s">
        <v>664</v>
      </c>
      <c r="C26" s="63" t="s">
        <v>789</v>
      </c>
      <c r="D26" s="144">
        <v>23</v>
      </c>
      <c r="E26" s="78" t="s">
        <v>266</v>
      </c>
      <c r="F26" s="78">
        <v>5</v>
      </c>
      <c r="G26" s="78">
        <v>5</v>
      </c>
      <c r="H26" s="28">
        <v>1</v>
      </c>
      <c r="I26" s="27"/>
      <c r="J26" s="27">
        <v>2</v>
      </c>
      <c r="K26" s="27">
        <v>2</v>
      </c>
      <c r="L26" s="27">
        <v>0</v>
      </c>
      <c r="M26" s="149">
        <v>45526.671099537038</v>
      </c>
      <c r="N26" s="96"/>
      <c r="O26" s="27">
        <v>0</v>
      </c>
      <c r="P26" s="27" t="s">
        <v>509</v>
      </c>
      <c r="Q26" s="149">
        <v>45526.671099537038</v>
      </c>
      <c r="R26" s="27" t="s">
        <v>509</v>
      </c>
      <c r="S26" s="149">
        <v>45526.671099537038</v>
      </c>
      <c r="T26" s="27"/>
    </row>
    <row r="27" spans="1:20" s="29" customFormat="1">
      <c r="A27" s="63" t="s">
        <v>95</v>
      </c>
      <c r="B27" s="86" t="s">
        <v>665</v>
      </c>
      <c r="C27" s="63" t="s">
        <v>790</v>
      </c>
      <c r="D27" s="144">
        <v>24</v>
      </c>
      <c r="E27" s="78" t="s">
        <v>266</v>
      </c>
      <c r="F27" s="78">
        <v>5</v>
      </c>
      <c r="G27" s="78">
        <v>5</v>
      </c>
      <c r="H27" s="28">
        <v>1</v>
      </c>
      <c r="I27" s="27"/>
      <c r="J27" s="27">
        <v>2</v>
      </c>
      <c r="K27" s="27">
        <v>2</v>
      </c>
      <c r="L27" s="27">
        <v>0</v>
      </c>
      <c r="M27" s="149">
        <v>45526.671099537038</v>
      </c>
      <c r="N27" s="96"/>
      <c r="O27" s="27">
        <v>0</v>
      </c>
      <c r="P27" s="27" t="s">
        <v>509</v>
      </c>
      <c r="Q27" s="149">
        <v>45526.671099537038</v>
      </c>
      <c r="R27" s="27" t="s">
        <v>509</v>
      </c>
      <c r="S27" s="149">
        <v>45526.671099537038</v>
      </c>
      <c r="T27" s="27"/>
    </row>
    <row r="28" spans="1:20" s="29" customFormat="1">
      <c r="A28" s="63" t="s">
        <v>95</v>
      </c>
      <c r="B28" s="86" t="s">
        <v>666</v>
      </c>
      <c r="C28" s="63" t="s">
        <v>791</v>
      </c>
      <c r="D28" s="144">
        <v>25</v>
      </c>
      <c r="E28" s="78" t="s">
        <v>266</v>
      </c>
      <c r="F28" s="78">
        <v>5</v>
      </c>
      <c r="G28" s="78">
        <v>5</v>
      </c>
      <c r="H28" s="28">
        <v>1</v>
      </c>
      <c r="I28" s="27"/>
      <c r="J28" s="27">
        <v>2</v>
      </c>
      <c r="K28" s="27">
        <v>2</v>
      </c>
      <c r="L28" s="27">
        <v>0</v>
      </c>
      <c r="M28" s="149">
        <v>45526.671099537038</v>
      </c>
      <c r="N28" s="96"/>
      <c r="O28" s="27">
        <v>0</v>
      </c>
      <c r="P28" s="27" t="s">
        <v>509</v>
      </c>
      <c r="Q28" s="149">
        <v>45526.671099537038</v>
      </c>
      <c r="R28" s="27" t="s">
        <v>509</v>
      </c>
      <c r="S28" s="149">
        <v>45526.671099537038</v>
      </c>
      <c r="T28" s="27"/>
    </row>
    <row r="29" spans="1:20" s="29" customFormat="1">
      <c r="A29" s="63" t="s">
        <v>95</v>
      </c>
      <c r="B29" s="86" t="s">
        <v>667</v>
      </c>
      <c r="C29" s="63" t="s">
        <v>792</v>
      </c>
      <c r="D29" s="144">
        <v>26</v>
      </c>
      <c r="E29" s="78" t="s">
        <v>266</v>
      </c>
      <c r="F29" s="78">
        <v>5</v>
      </c>
      <c r="G29" s="78">
        <v>5</v>
      </c>
      <c r="H29" s="28">
        <v>1</v>
      </c>
      <c r="I29" s="27"/>
      <c r="J29" s="27">
        <v>2</v>
      </c>
      <c r="K29" s="27">
        <v>2</v>
      </c>
      <c r="L29" s="27">
        <v>0</v>
      </c>
      <c r="M29" s="149">
        <v>45526.671099537038</v>
      </c>
      <c r="N29" s="96"/>
      <c r="O29" s="27">
        <v>0</v>
      </c>
      <c r="P29" s="27" t="s">
        <v>509</v>
      </c>
      <c r="Q29" s="149">
        <v>45526.671099537038</v>
      </c>
      <c r="R29" s="27" t="s">
        <v>509</v>
      </c>
      <c r="S29" s="149">
        <v>45526.671099537038</v>
      </c>
      <c r="T29" s="27"/>
    </row>
    <row r="30" spans="1:20" s="29" customFormat="1">
      <c r="A30" s="63" t="s">
        <v>95</v>
      </c>
      <c r="B30" s="86" t="s">
        <v>668</v>
      </c>
      <c r="C30" s="63" t="s">
        <v>793</v>
      </c>
      <c r="D30" s="144">
        <v>27</v>
      </c>
      <c r="E30" s="78" t="s">
        <v>266</v>
      </c>
      <c r="F30" s="78">
        <v>5</v>
      </c>
      <c r="G30" s="78">
        <v>5</v>
      </c>
      <c r="H30" s="28">
        <v>1</v>
      </c>
      <c r="I30" s="27"/>
      <c r="J30" s="27">
        <v>1</v>
      </c>
      <c r="K30" s="27"/>
      <c r="L30" s="27">
        <v>0</v>
      </c>
      <c r="M30" s="149">
        <v>45526.671099537038</v>
      </c>
      <c r="N30" s="96"/>
      <c r="O30" s="27">
        <v>0</v>
      </c>
      <c r="P30" s="27" t="s">
        <v>509</v>
      </c>
      <c r="Q30" s="149">
        <v>45526.671099537038</v>
      </c>
      <c r="R30" s="27" t="s">
        <v>509</v>
      </c>
      <c r="S30" s="149">
        <v>45526.671099537038</v>
      </c>
      <c r="T30" s="27"/>
    </row>
    <row r="31" spans="1:20" s="29" customFormat="1">
      <c r="A31" s="63" t="s">
        <v>95</v>
      </c>
      <c r="B31" s="86" t="s">
        <v>670</v>
      </c>
      <c r="C31" s="63" t="s">
        <v>794</v>
      </c>
      <c r="D31" s="144">
        <v>28</v>
      </c>
      <c r="E31" s="78" t="s">
        <v>2652</v>
      </c>
      <c r="F31" s="78">
        <v>5</v>
      </c>
      <c r="G31" s="78">
        <v>5</v>
      </c>
      <c r="H31" s="28">
        <v>1</v>
      </c>
      <c r="I31" s="27"/>
      <c r="J31" s="27">
        <v>1</v>
      </c>
      <c r="K31" s="27"/>
      <c r="L31" s="27">
        <v>0</v>
      </c>
      <c r="M31" s="149">
        <v>45526.671099537038</v>
      </c>
      <c r="N31" s="96"/>
      <c r="O31" s="27">
        <v>0</v>
      </c>
      <c r="P31" s="27" t="s">
        <v>509</v>
      </c>
      <c r="Q31" s="149">
        <v>45526.671099537038</v>
      </c>
      <c r="R31" s="27" t="s">
        <v>509</v>
      </c>
      <c r="S31" s="149">
        <v>45526.671099537038</v>
      </c>
      <c r="T31" s="27"/>
    </row>
    <row r="32" spans="1:20" s="29" customFormat="1">
      <c r="A32" s="63" t="s">
        <v>95</v>
      </c>
      <c r="B32" s="86" t="s">
        <v>669</v>
      </c>
      <c r="C32" s="63" t="s">
        <v>795</v>
      </c>
      <c r="D32" s="144">
        <v>29</v>
      </c>
      <c r="E32" s="78" t="s">
        <v>266</v>
      </c>
      <c r="F32" s="78">
        <v>5</v>
      </c>
      <c r="G32" s="78">
        <v>5</v>
      </c>
      <c r="H32" s="28">
        <v>1</v>
      </c>
      <c r="I32" s="27"/>
      <c r="J32" s="27">
        <v>1</v>
      </c>
      <c r="K32" s="27"/>
      <c r="L32" s="27">
        <v>0</v>
      </c>
      <c r="M32" s="149">
        <v>45526.671099537038</v>
      </c>
      <c r="N32" s="96"/>
      <c r="O32" s="27">
        <v>0</v>
      </c>
      <c r="P32" s="27" t="s">
        <v>509</v>
      </c>
      <c r="Q32" s="149">
        <v>45526.671099537038</v>
      </c>
      <c r="R32" s="27" t="s">
        <v>509</v>
      </c>
      <c r="S32" s="149">
        <v>45526.671099537038</v>
      </c>
      <c r="T32" s="27"/>
    </row>
    <row r="33" spans="1:20" s="29" customFormat="1">
      <c r="A33" s="63" t="s">
        <v>95</v>
      </c>
      <c r="B33" s="86" t="s">
        <v>4074</v>
      </c>
      <c r="C33" s="63" t="s">
        <v>796</v>
      </c>
      <c r="D33" s="144">
        <v>30</v>
      </c>
      <c r="E33" s="78" t="s">
        <v>266</v>
      </c>
      <c r="F33" s="78">
        <v>5</v>
      </c>
      <c r="G33" s="78">
        <v>5</v>
      </c>
      <c r="H33" s="28">
        <v>1</v>
      </c>
      <c r="I33" s="27"/>
      <c r="J33" s="27">
        <v>1</v>
      </c>
      <c r="K33" s="27"/>
      <c r="L33" s="27">
        <v>0</v>
      </c>
      <c r="M33" s="149">
        <v>45526.671099537038</v>
      </c>
      <c r="N33" s="96"/>
      <c r="O33" s="27">
        <v>0</v>
      </c>
      <c r="P33" s="27" t="s">
        <v>509</v>
      </c>
      <c r="Q33" s="149">
        <v>45526.671099537038</v>
      </c>
      <c r="R33" s="27" t="s">
        <v>509</v>
      </c>
      <c r="S33" s="149">
        <v>45526.671099537038</v>
      </c>
      <c r="T33" s="27"/>
    </row>
    <row r="34" spans="1:20">
      <c r="A34" s="63" t="s">
        <v>95</v>
      </c>
      <c r="B34" s="84" t="s">
        <v>575</v>
      </c>
      <c r="C34" s="63" t="s">
        <v>797</v>
      </c>
      <c r="D34" s="144">
        <v>31</v>
      </c>
      <c r="E34" s="78" t="s">
        <v>259</v>
      </c>
      <c r="F34" s="78">
        <v>6</v>
      </c>
      <c r="G34" s="92">
        <v>6</v>
      </c>
      <c r="H34" s="75">
        <v>1</v>
      </c>
      <c r="I34" s="75"/>
      <c r="J34" s="75">
        <v>2</v>
      </c>
      <c r="K34" s="27">
        <v>2</v>
      </c>
      <c r="L34" s="27">
        <v>0</v>
      </c>
      <c r="M34" s="149">
        <v>45526.671099537038</v>
      </c>
      <c r="N34" s="96"/>
      <c r="O34" s="27">
        <v>0</v>
      </c>
      <c r="P34" s="27" t="s">
        <v>509</v>
      </c>
      <c r="Q34" s="149">
        <v>45526.671099537038</v>
      </c>
      <c r="R34" s="27" t="s">
        <v>509</v>
      </c>
      <c r="S34" s="149">
        <v>45526.671099537038</v>
      </c>
      <c r="T34" s="75"/>
    </row>
    <row r="35" spans="1:20" s="29" customFormat="1">
      <c r="A35" s="63" t="s">
        <v>95</v>
      </c>
      <c r="B35" s="86" t="s">
        <v>671</v>
      </c>
      <c r="C35" s="63" t="s">
        <v>798</v>
      </c>
      <c r="D35" s="144">
        <v>32</v>
      </c>
      <c r="E35" s="78" t="s">
        <v>2657</v>
      </c>
      <c r="F35" s="78">
        <v>7</v>
      </c>
      <c r="G35" s="78">
        <v>7</v>
      </c>
      <c r="H35" s="28">
        <v>1</v>
      </c>
      <c r="I35" s="27"/>
      <c r="J35" s="27">
        <v>1</v>
      </c>
      <c r="K35" s="27"/>
      <c r="L35" s="27">
        <v>0</v>
      </c>
      <c r="M35" s="149">
        <v>45526.671099537038</v>
      </c>
      <c r="N35" s="96"/>
      <c r="O35" s="27">
        <v>0</v>
      </c>
      <c r="P35" s="27" t="s">
        <v>509</v>
      </c>
      <c r="Q35" s="149">
        <v>45526.671099537038</v>
      </c>
      <c r="R35" s="27" t="s">
        <v>509</v>
      </c>
      <c r="S35" s="149">
        <v>45526.671099537038</v>
      </c>
      <c r="T35" s="75"/>
    </row>
    <row r="36" spans="1:20" s="29" customFormat="1">
      <c r="A36" s="63" t="s">
        <v>95</v>
      </c>
      <c r="B36" s="86" t="s">
        <v>674</v>
      </c>
      <c r="C36" s="63" t="s">
        <v>799</v>
      </c>
      <c r="D36" s="144">
        <v>33</v>
      </c>
      <c r="E36" s="78" t="s">
        <v>673</v>
      </c>
      <c r="F36" s="78">
        <v>7</v>
      </c>
      <c r="G36" s="78">
        <v>7</v>
      </c>
      <c r="H36" s="28">
        <v>1</v>
      </c>
      <c r="I36" s="27"/>
      <c r="J36" s="27">
        <v>1</v>
      </c>
      <c r="K36" s="27"/>
      <c r="L36" s="27">
        <v>0</v>
      </c>
      <c r="M36" s="149">
        <v>45526.671099537038</v>
      </c>
      <c r="N36" s="96"/>
      <c r="O36" s="27">
        <v>0</v>
      </c>
      <c r="P36" s="27" t="s">
        <v>509</v>
      </c>
      <c r="Q36" s="149">
        <v>45526.671099537038</v>
      </c>
      <c r="R36" s="27" t="s">
        <v>509</v>
      </c>
      <c r="S36" s="149">
        <v>45526.671099537038</v>
      </c>
      <c r="T36" s="75"/>
    </row>
    <row r="37" spans="1:20" s="29" customFormat="1">
      <c r="A37" s="63" t="s">
        <v>95</v>
      </c>
      <c r="B37" s="86" t="s">
        <v>675</v>
      </c>
      <c r="C37" s="63" t="s">
        <v>800</v>
      </c>
      <c r="D37" s="144">
        <v>34</v>
      </c>
      <c r="E37" s="78" t="s">
        <v>673</v>
      </c>
      <c r="F37" s="78">
        <v>7</v>
      </c>
      <c r="G37" s="78">
        <v>7</v>
      </c>
      <c r="H37" s="28">
        <v>1</v>
      </c>
      <c r="I37" s="27"/>
      <c r="J37" s="27">
        <v>2</v>
      </c>
      <c r="K37" s="27">
        <v>1</v>
      </c>
      <c r="L37" s="27">
        <v>0</v>
      </c>
      <c r="M37" s="149">
        <v>45526.671099537038</v>
      </c>
      <c r="N37" s="96"/>
      <c r="O37" s="27">
        <v>0</v>
      </c>
      <c r="P37" s="27" t="s">
        <v>509</v>
      </c>
      <c r="Q37" s="149">
        <v>45526.671099537038</v>
      </c>
      <c r="R37" s="27" t="s">
        <v>509</v>
      </c>
      <c r="S37" s="149">
        <v>45526.671099537038</v>
      </c>
      <c r="T37" s="75"/>
    </row>
    <row r="38" spans="1:20" s="29" customFormat="1">
      <c r="A38" s="63" t="s">
        <v>95</v>
      </c>
      <c r="B38" s="86" t="s">
        <v>3431</v>
      </c>
      <c r="C38" s="63" t="s">
        <v>3430</v>
      </c>
      <c r="D38" s="144">
        <v>35</v>
      </c>
      <c r="E38" s="78" t="s">
        <v>2660</v>
      </c>
      <c r="F38" s="78">
        <v>8</v>
      </c>
      <c r="G38" s="78">
        <v>8</v>
      </c>
      <c r="H38" s="28">
        <v>1</v>
      </c>
      <c r="I38" s="27"/>
      <c r="J38" s="27">
        <v>1</v>
      </c>
      <c r="K38" s="27"/>
      <c r="L38" s="27">
        <v>0</v>
      </c>
      <c r="M38" s="149">
        <v>45526.671099537038</v>
      </c>
      <c r="N38" s="96"/>
      <c r="O38" s="27">
        <v>0</v>
      </c>
      <c r="P38" s="27" t="s">
        <v>509</v>
      </c>
      <c r="Q38" s="149">
        <v>45526.671099537038</v>
      </c>
      <c r="R38" s="27" t="s">
        <v>509</v>
      </c>
      <c r="S38" s="149">
        <v>45526.671099537038</v>
      </c>
      <c r="T38" s="27"/>
    </row>
    <row r="39" spans="1:20" s="29" customFormat="1">
      <c r="A39" s="63" t="s">
        <v>95</v>
      </c>
      <c r="B39" s="86" t="s">
        <v>3433</v>
      </c>
      <c r="C39" s="63" t="s">
        <v>3432</v>
      </c>
      <c r="D39" s="144">
        <v>36</v>
      </c>
      <c r="E39" s="78" t="s">
        <v>677</v>
      </c>
      <c r="F39" s="78">
        <v>8</v>
      </c>
      <c r="G39" s="78">
        <v>8</v>
      </c>
      <c r="H39" s="28">
        <v>1</v>
      </c>
      <c r="I39" s="27"/>
      <c r="J39" s="27">
        <v>2</v>
      </c>
      <c r="K39" s="27">
        <v>2</v>
      </c>
      <c r="L39" s="27">
        <v>0</v>
      </c>
      <c r="M39" s="149">
        <v>45526.671099537038</v>
      </c>
      <c r="N39" s="96"/>
      <c r="O39" s="27">
        <v>0</v>
      </c>
      <c r="P39" s="27" t="s">
        <v>509</v>
      </c>
      <c r="Q39" s="149">
        <v>45526.671099537038</v>
      </c>
      <c r="R39" s="27" t="s">
        <v>509</v>
      </c>
      <c r="S39" s="149">
        <v>45526.671099537038</v>
      </c>
      <c r="T39" s="27"/>
    </row>
    <row r="40" spans="1:20" s="29" customFormat="1">
      <c r="A40" s="63" t="s">
        <v>95</v>
      </c>
      <c r="B40" s="86" t="s">
        <v>679</v>
      </c>
      <c r="C40" s="63" t="s">
        <v>801</v>
      </c>
      <c r="D40" s="144">
        <v>37</v>
      </c>
      <c r="E40" s="78" t="s">
        <v>2662</v>
      </c>
      <c r="F40" s="78">
        <v>9</v>
      </c>
      <c r="G40" s="78">
        <v>9</v>
      </c>
      <c r="H40" s="28">
        <v>1</v>
      </c>
      <c r="I40" s="27"/>
      <c r="J40" s="27">
        <v>1</v>
      </c>
      <c r="K40" s="27"/>
      <c r="L40" s="27">
        <v>0</v>
      </c>
      <c r="M40" s="149">
        <v>45526.671099537038</v>
      </c>
      <c r="N40" s="96"/>
      <c r="O40" s="27">
        <v>0</v>
      </c>
      <c r="P40" s="27" t="s">
        <v>509</v>
      </c>
      <c r="Q40" s="149">
        <v>45526.671099537038</v>
      </c>
      <c r="R40" s="27" t="s">
        <v>509</v>
      </c>
      <c r="S40" s="149">
        <v>45526.671099537038</v>
      </c>
      <c r="T40" s="27"/>
    </row>
    <row r="41" spans="1:20" s="29" customFormat="1">
      <c r="A41" s="63" t="s">
        <v>95</v>
      </c>
      <c r="B41" s="86" t="s">
        <v>680</v>
      </c>
      <c r="C41" s="63" t="s">
        <v>802</v>
      </c>
      <c r="D41" s="144">
        <v>38</v>
      </c>
      <c r="E41" s="78" t="s">
        <v>678</v>
      </c>
      <c r="F41" s="78">
        <v>9</v>
      </c>
      <c r="G41" s="78">
        <v>9</v>
      </c>
      <c r="H41" s="28">
        <v>1</v>
      </c>
      <c r="I41" s="27"/>
      <c r="J41" s="27">
        <v>2</v>
      </c>
      <c r="K41" s="27">
        <v>1</v>
      </c>
      <c r="L41" s="27">
        <v>0</v>
      </c>
      <c r="M41" s="149">
        <v>45526.671099537038</v>
      </c>
      <c r="N41" s="96"/>
      <c r="O41" s="27">
        <v>0</v>
      </c>
      <c r="P41" s="27" t="s">
        <v>509</v>
      </c>
      <c r="Q41" s="149">
        <v>45526.671099537038</v>
      </c>
      <c r="R41" s="27" t="s">
        <v>509</v>
      </c>
      <c r="S41" s="149">
        <v>45526.671099537038</v>
      </c>
      <c r="T41" s="27"/>
    </row>
    <row r="42" spans="1:20" s="29" customFormat="1">
      <c r="A42" s="63" t="s">
        <v>95</v>
      </c>
      <c r="B42" s="86" t="s">
        <v>683</v>
      </c>
      <c r="C42" s="63" t="s">
        <v>803</v>
      </c>
      <c r="D42" s="144">
        <v>39</v>
      </c>
      <c r="E42" s="78" t="s">
        <v>682</v>
      </c>
      <c r="F42" s="78">
        <v>10</v>
      </c>
      <c r="G42" s="78">
        <v>10</v>
      </c>
      <c r="H42" s="28">
        <v>1</v>
      </c>
      <c r="I42" s="27"/>
      <c r="J42" s="27">
        <v>2</v>
      </c>
      <c r="K42" s="27">
        <v>1</v>
      </c>
      <c r="L42" s="27">
        <v>0</v>
      </c>
      <c r="M42" s="149">
        <v>45526.671099537038</v>
      </c>
      <c r="N42" s="96"/>
      <c r="O42" s="27">
        <v>0</v>
      </c>
      <c r="P42" s="27" t="s">
        <v>509</v>
      </c>
      <c r="Q42" s="149">
        <v>45526.671099537038</v>
      </c>
      <c r="R42" s="27" t="s">
        <v>509</v>
      </c>
      <c r="S42" s="149">
        <v>45526.671099537038</v>
      </c>
      <c r="T42" s="27"/>
    </row>
    <row r="43" spans="1:20" s="29" customFormat="1">
      <c r="A43" s="63" t="s">
        <v>95</v>
      </c>
      <c r="B43" s="86" t="s">
        <v>684</v>
      </c>
      <c r="C43" s="63" t="s">
        <v>804</v>
      </c>
      <c r="D43" s="144">
        <v>40</v>
      </c>
      <c r="E43" s="78" t="s">
        <v>682</v>
      </c>
      <c r="F43" s="78">
        <v>10</v>
      </c>
      <c r="G43" s="78">
        <v>10</v>
      </c>
      <c r="H43" s="28">
        <v>1</v>
      </c>
      <c r="I43" s="27"/>
      <c r="J43" s="27">
        <v>2</v>
      </c>
      <c r="K43" s="27">
        <v>1</v>
      </c>
      <c r="L43" s="27">
        <v>0</v>
      </c>
      <c r="M43" s="149">
        <v>45526.671099537038</v>
      </c>
      <c r="N43" s="96"/>
      <c r="O43" s="27">
        <v>0</v>
      </c>
      <c r="P43" s="27" t="s">
        <v>509</v>
      </c>
      <c r="Q43" s="149">
        <v>45526.671099537038</v>
      </c>
      <c r="R43" s="27" t="s">
        <v>509</v>
      </c>
      <c r="S43" s="149">
        <v>45526.671099537038</v>
      </c>
      <c r="T43" s="27"/>
    </row>
    <row r="44" spans="1:20" s="29" customFormat="1">
      <c r="A44" s="63" t="s">
        <v>95</v>
      </c>
      <c r="B44" s="86" t="s">
        <v>685</v>
      </c>
      <c r="C44" s="63" t="s">
        <v>805</v>
      </c>
      <c r="D44" s="144">
        <v>41</v>
      </c>
      <c r="E44" s="78" t="s">
        <v>682</v>
      </c>
      <c r="F44" s="78">
        <v>10</v>
      </c>
      <c r="G44" s="78">
        <v>10</v>
      </c>
      <c r="H44" s="28">
        <v>1</v>
      </c>
      <c r="I44" s="27"/>
      <c r="J44" s="27">
        <v>1</v>
      </c>
      <c r="K44" s="27"/>
      <c r="L44" s="27">
        <v>0</v>
      </c>
      <c r="M44" s="149">
        <v>45526.671099537038</v>
      </c>
      <c r="N44" s="96"/>
      <c r="O44" s="27">
        <v>0</v>
      </c>
      <c r="P44" s="27" t="s">
        <v>509</v>
      </c>
      <c r="Q44" s="149">
        <v>45526.671099537038</v>
      </c>
      <c r="R44" s="27" t="s">
        <v>509</v>
      </c>
      <c r="S44" s="149">
        <v>45526.671099537038</v>
      </c>
      <c r="T44" s="27"/>
    </row>
    <row r="45" spans="1:20" s="29" customFormat="1">
      <c r="A45" s="63" t="s">
        <v>95</v>
      </c>
      <c r="B45" s="86" t="s">
        <v>686</v>
      </c>
      <c r="C45" s="63" t="s">
        <v>806</v>
      </c>
      <c r="D45" s="144">
        <v>42</v>
      </c>
      <c r="E45" s="78" t="s">
        <v>682</v>
      </c>
      <c r="F45" s="78">
        <v>10</v>
      </c>
      <c r="G45" s="78">
        <v>10</v>
      </c>
      <c r="H45" s="28">
        <v>1</v>
      </c>
      <c r="I45" s="27"/>
      <c r="J45" s="27">
        <v>1</v>
      </c>
      <c r="K45" s="27"/>
      <c r="L45" s="27">
        <v>0</v>
      </c>
      <c r="M45" s="149">
        <v>45526.671099537038</v>
      </c>
      <c r="N45" s="96"/>
      <c r="O45" s="27">
        <v>0</v>
      </c>
      <c r="P45" s="27" t="s">
        <v>509</v>
      </c>
      <c r="Q45" s="149">
        <v>45526.671099537038</v>
      </c>
      <c r="R45" s="27" t="s">
        <v>509</v>
      </c>
      <c r="S45" s="149">
        <v>45526.671099537038</v>
      </c>
      <c r="T45" s="27"/>
    </row>
    <row r="46" spans="1:20" s="29" customFormat="1">
      <c r="A46" s="63" t="s">
        <v>95</v>
      </c>
      <c r="B46" s="86" t="s">
        <v>687</v>
      </c>
      <c r="C46" s="63" t="s">
        <v>807</v>
      </c>
      <c r="D46" s="144">
        <v>43</v>
      </c>
      <c r="E46" s="78" t="s">
        <v>682</v>
      </c>
      <c r="F46" s="78">
        <v>10</v>
      </c>
      <c r="G46" s="78">
        <v>10</v>
      </c>
      <c r="H46" s="28">
        <v>1</v>
      </c>
      <c r="I46" s="27"/>
      <c r="J46" s="27">
        <v>1</v>
      </c>
      <c r="K46" s="27"/>
      <c r="L46" s="27">
        <v>0</v>
      </c>
      <c r="M46" s="149">
        <v>45526.671099537038</v>
      </c>
      <c r="N46" s="96"/>
      <c r="O46" s="27">
        <v>0</v>
      </c>
      <c r="P46" s="27" t="s">
        <v>509</v>
      </c>
      <c r="Q46" s="149">
        <v>45526.671099537038</v>
      </c>
      <c r="R46" s="27" t="s">
        <v>509</v>
      </c>
      <c r="S46" s="149">
        <v>45526.671099537038</v>
      </c>
      <c r="T46" s="27"/>
    </row>
    <row r="47" spans="1:20" s="29" customFormat="1">
      <c r="A47" s="63" t="s">
        <v>95</v>
      </c>
      <c r="B47" s="86" t="s">
        <v>688</v>
      </c>
      <c r="C47" s="63" t="s">
        <v>808</v>
      </c>
      <c r="D47" s="144">
        <v>44</v>
      </c>
      <c r="E47" s="78" t="s">
        <v>682</v>
      </c>
      <c r="F47" s="78">
        <v>10</v>
      </c>
      <c r="G47" s="78">
        <v>10</v>
      </c>
      <c r="H47" s="28">
        <v>1</v>
      </c>
      <c r="I47" s="27"/>
      <c r="J47" s="27">
        <v>1</v>
      </c>
      <c r="K47" s="27"/>
      <c r="L47" s="27">
        <v>0</v>
      </c>
      <c r="M47" s="149">
        <v>45526.671099537038</v>
      </c>
      <c r="N47" s="96"/>
      <c r="O47" s="27">
        <v>0</v>
      </c>
      <c r="P47" s="27" t="s">
        <v>509</v>
      </c>
      <c r="Q47" s="149">
        <v>45526.671099537038</v>
      </c>
      <c r="R47" s="27" t="s">
        <v>509</v>
      </c>
      <c r="S47" s="149">
        <v>45526.671099537038</v>
      </c>
      <c r="T47" s="27"/>
    </row>
    <row r="48" spans="1:20" s="29" customFormat="1">
      <c r="A48" s="63" t="s">
        <v>95</v>
      </c>
      <c r="B48" s="86" t="s">
        <v>689</v>
      </c>
      <c r="C48" s="63" t="s">
        <v>809</v>
      </c>
      <c r="D48" s="144">
        <v>45</v>
      </c>
      <c r="E48" s="78" t="s">
        <v>682</v>
      </c>
      <c r="F48" s="78">
        <v>10</v>
      </c>
      <c r="G48" s="78">
        <v>10</v>
      </c>
      <c r="H48" s="28">
        <v>1</v>
      </c>
      <c r="I48" s="27"/>
      <c r="J48" s="27">
        <v>1</v>
      </c>
      <c r="K48" s="27"/>
      <c r="L48" s="27">
        <v>0</v>
      </c>
      <c r="M48" s="149">
        <v>45526.671099537038</v>
      </c>
      <c r="N48" s="96"/>
      <c r="O48" s="27">
        <v>0</v>
      </c>
      <c r="P48" s="27" t="s">
        <v>509</v>
      </c>
      <c r="Q48" s="149">
        <v>45526.671099537038</v>
      </c>
      <c r="R48" s="27" t="s">
        <v>509</v>
      </c>
      <c r="S48" s="149">
        <v>45526.671099537038</v>
      </c>
      <c r="T48" s="27"/>
    </row>
    <row r="49" spans="1:20" s="29" customFormat="1">
      <c r="A49" s="63" t="s">
        <v>95</v>
      </c>
      <c r="B49" s="86" t="s">
        <v>690</v>
      </c>
      <c r="C49" s="63" t="s">
        <v>810</v>
      </c>
      <c r="D49" s="144">
        <v>46</v>
      </c>
      <c r="E49" s="78" t="s">
        <v>682</v>
      </c>
      <c r="F49" s="78">
        <v>10</v>
      </c>
      <c r="G49" s="78">
        <v>10</v>
      </c>
      <c r="H49" s="28">
        <v>1</v>
      </c>
      <c r="I49" s="27"/>
      <c r="J49" s="27">
        <v>1</v>
      </c>
      <c r="K49" s="27"/>
      <c r="L49" s="27">
        <v>0</v>
      </c>
      <c r="M49" s="149">
        <v>45526.671099537038</v>
      </c>
      <c r="N49" s="96"/>
      <c r="O49" s="27">
        <v>0</v>
      </c>
      <c r="P49" s="27" t="s">
        <v>509</v>
      </c>
      <c r="Q49" s="149">
        <v>45526.671099537038</v>
      </c>
      <c r="R49" s="27" t="s">
        <v>509</v>
      </c>
      <c r="S49" s="149">
        <v>45526.671099537038</v>
      </c>
      <c r="T49" s="27"/>
    </row>
    <row r="50" spans="1:20" s="29" customFormat="1">
      <c r="A50" s="63" t="s">
        <v>95</v>
      </c>
      <c r="B50" s="86" t="s">
        <v>573</v>
      </c>
      <c r="C50" s="63" t="s">
        <v>811</v>
      </c>
      <c r="D50" s="144">
        <v>47</v>
      </c>
      <c r="E50" s="78" t="s">
        <v>682</v>
      </c>
      <c r="F50" s="78">
        <v>10</v>
      </c>
      <c r="G50" s="78">
        <v>10</v>
      </c>
      <c r="H50" s="28">
        <v>1</v>
      </c>
      <c r="I50" s="27"/>
      <c r="J50" s="27">
        <v>2</v>
      </c>
      <c r="K50" s="27">
        <v>2</v>
      </c>
      <c r="L50" s="27">
        <v>0</v>
      </c>
      <c r="M50" s="149">
        <v>45526.671099537038</v>
      </c>
      <c r="N50" s="96"/>
      <c r="O50" s="27">
        <v>0</v>
      </c>
      <c r="P50" s="27" t="s">
        <v>509</v>
      </c>
      <c r="Q50" s="149">
        <v>45526.671099537038</v>
      </c>
      <c r="R50" s="27" t="s">
        <v>509</v>
      </c>
      <c r="S50" s="149">
        <v>45526.671099537038</v>
      </c>
      <c r="T50" s="27"/>
    </row>
    <row r="51" spans="1:20" s="29" customFormat="1">
      <c r="A51" s="63" t="s">
        <v>95</v>
      </c>
      <c r="B51" s="86" t="s">
        <v>543</v>
      </c>
      <c r="C51" s="63" t="s">
        <v>812</v>
      </c>
      <c r="D51" s="144">
        <v>48</v>
      </c>
      <c r="E51" s="78" t="s">
        <v>682</v>
      </c>
      <c r="F51" s="78">
        <v>10</v>
      </c>
      <c r="G51" s="78">
        <v>10</v>
      </c>
      <c r="H51" s="28">
        <v>1</v>
      </c>
      <c r="I51" s="27"/>
      <c r="J51" s="27">
        <v>1</v>
      </c>
      <c r="K51" s="27"/>
      <c r="L51" s="27">
        <v>0</v>
      </c>
      <c r="M51" s="149">
        <v>45526.671099537038</v>
      </c>
      <c r="N51" s="96"/>
      <c r="O51" s="27">
        <v>0</v>
      </c>
      <c r="P51" s="27" t="s">
        <v>509</v>
      </c>
      <c r="Q51" s="149">
        <v>45526.671099537038</v>
      </c>
      <c r="R51" s="27" t="s">
        <v>509</v>
      </c>
      <c r="S51" s="149">
        <v>45526.671099537038</v>
      </c>
      <c r="T51" s="27"/>
    </row>
    <row r="52" spans="1:20" s="29" customFormat="1">
      <c r="A52" s="63" t="s">
        <v>95</v>
      </c>
      <c r="B52" s="86" t="s">
        <v>572</v>
      </c>
      <c r="C52" s="63" t="s">
        <v>813</v>
      </c>
      <c r="D52" s="144">
        <v>49</v>
      </c>
      <c r="E52" s="78" t="s">
        <v>682</v>
      </c>
      <c r="F52" s="78">
        <v>10</v>
      </c>
      <c r="G52" s="78">
        <v>10</v>
      </c>
      <c r="H52" s="28">
        <v>1</v>
      </c>
      <c r="I52" s="27"/>
      <c r="J52" s="27">
        <v>1</v>
      </c>
      <c r="K52" s="27"/>
      <c r="L52" s="27">
        <v>0</v>
      </c>
      <c r="M52" s="149">
        <v>45526.671099537038</v>
      </c>
      <c r="N52" s="96"/>
      <c r="O52" s="27">
        <v>0</v>
      </c>
      <c r="P52" s="27" t="s">
        <v>509</v>
      </c>
      <c r="Q52" s="149">
        <v>45526.671099537038</v>
      </c>
      <c r="R52" s="27" t="s">
        <v>509</v>
      </c>
      <c r="S52" s="149">
        <v>45526.671099537038</v>
      </c>
      <c r="T52" s="27"/>
    </row>
    <row r="53" spans="1:20" s="15" customFormat="1">
      <c r="A53" s="63" t="s">
        <v>95</v>
      </c>
      <c r="B53" s="83" t="s">
        <v>3482</v>
      </c>
      <c r="C53" s="63" t="s">
        <v>3483</v>
      </c>
      <c r="D53" s="144">
        <v>50</v>
      </c>
      <c r="E53" s="78" t="s">
        <v>537</v>
      </c>
      <c r="F53" s="78">
        <v>12</v>
      </c>
      <c r="G53" s="78">
        <v>12</v>
      </c>
      <c r="H53" s="28">
        <v>1</v>
      </c>
      <c r="I53" s="27"/>
      <c r="J53" s="27">
        <v>1</v>
      </c>
      <c r="K53" s="27"/>
      <c r="L53" s="27">
        <v>0</v>
      </c>
      <c r="M53" s="149">
        <v>45526.671099537038</v>
      </c>
      <c r="N53" s="96"/>
      <c r="O53" s="27">
        <v>0</v>
      </c>
      <c r="P53" s="27" t="s">
        <v>509</v>
      </c>
      <c r="Q53" s="149">
        <v>45526.671099537038</v>
      </c>
      <c r="R53" s="27" t="s">
        <v>509</v>
      </c>
      <c r="S53" s="149">
        <v>45526.671099537038</v>
      </c>
      <c r="T53" s="27"/>
    </row>
    <row r="54" spans="1:20" s="15" customFormat="1">
      <c r="A54" s="63" t="s">
        <v>95</v>
      </c>
      <c r="B54" s="83" t="s">
        <v>2124</v>
      </c>
      <c r="C54" s="63" t="s">
        <v>2545</v>
      </c>
      <c r="D54" s="144">
        <v>51</v>
      </c>
      <c r="E54" s="78" t="s">
        <v>537</v>
      </c>
      <c r="F54" s="78">
        <v>12</v>
      </c>
      <c r="G54" s="78">
        <v>12</v>
      </c>
      <c r="H54" s="28">
        <v>1</v>
      </c>
      <c r="I54" s="27"/>
      <c r="J54" s="27">
        <v>1</v>
      </c>
      <c r="K54" s="27"/>
      <c r="L54" s="27">
        <v>0</v>
      </c>
      <c r="M54" s="149">
        <v>45526.671099537038</v>
      </c>
      <c r="N54" s="96"/>
      <c r="O54" s="27">
        <v>0</v>
      </c>
      <c r="P54" s="27" t="s">
        <v>509</v>
      </c>
      <c r="Q54" s="149">
        <v>45526.671099537038</v>
      </c>
      <c r="R54" s="27" t="s">
        <v>509</v>
      </c>
      <c r="S54" s="149">
        <v>45526.671099537038</v>
      </c>
      <c r="T54" s="27"/>
    </row>
    <row r="55" spans="1:20" s="29" customFormat="1">
      <c r="A55" s="63" t="s">
        <v>95</v>
      </c>
      <c r="B55" s="86" t="s">
        <v>2570</v>
      </c>
      <c r="C55" s="63" t="s">
        <v>2571</v>
      </c>
      <c r="D55" s="144">
        <v>52</v>
      </c>
      <c r="E55" s="78" t="s">
        <v>542</v>
      </c>
      <c r="F55" s="78">
        <v>2</v>
      </c>
      <c r="G55" s="78">
        <v>2</v>
      </c>
      <c r="H55" s="28">
        <v>1</v>
      </c>
      <c r="I55" s="27"/>
      <c r="J55" s="27">
        <v>1</v>
      </c>
      <c r="K55" s="27"/>
      <c r="L55" s="27">
        <v>0</v>
      </c>
      <c r="M55" s="149">
        <v>45526.671099537038</v>
      </c>
      <c r="N55" s="96"/>
      <c r="O55" s="27">
        <v>0</v>
      </c>
      <c r="P55" s="27" t="s">
        <v>509</v>
      </c>
      <c r="Q55" s="149">
        <v>45526.671099537038</v>
      </c>
      <c r="R55" s="27" t="s">
        <v>509</v>
      </c>
      <c r="S55" s="149">
        <v>45526.671099537038</v>
      </c>
      <c r="T55" s="27"/>
    </row>
    <row r="56" spans="1:20" s="29" customFormat="1">
      <c r="A56" s="63" t="s">
        <v>95</v>
      </c>
      <c r="B56" s="86" t="s">
        <v>2647</v>
      </c>
      <c r="C56" s="63" t="s">
        <v>3435</v>
      </c>
      <c r="D56" s="144">
        <v>53</v>
      </c>
      <c r="E56" s="78" t="s">
        <v>540</v>
      </c>
      <c r="F56" s="78">
        <v>1</v>
      </c>
      <c r="G56" s="78">
        <v>1</v>
      </c>
      <c r="H56" s="28">
        <v>1</v>
      </c>
      <c r="I56" s="27"/>
      <c r="J56" s="27">
        <v>4</v>
      </c>
      <c r="K56" s="27"/>
      <c r="L56" s="27">
        <v>0</v>
      </c>
      <c r="M56" s="149">
        <v>45526.671099537038</v>
      </c>
      <c r="N56" s="96"/>
      <c r="O56" s="27">
        <v>0</v>
      </c>
      <c r="P56" s="27" t="s">
        <v>509</v>
      </c>
      <c r="Q56" s="149">
        <v>45526.671099537038</v>
      </c>
      <c r="R56" s="27" t="s">
        <v>509</v>
      </c>
      <c r="S56" s="149">
        <v>45526.671099537038</v>
      </c>
      <c r="T56" s="27"/>
    </row>
    <row r="57" spans="1:20" s="29" customFormat="1">
      <c r="A57" s="63" t="s">
        <v>95</v>
      </c>
      <c r="B57" s="86" t="s">
        <v>2648</v>
      </c>
      <c r="C57" s="63" t="s">
        <v>3436</v>
      </c>
      <c r="D57" s="144">
        <v>54</v>
      </c>
      <c r="E57" s="78" t="s">
        <v>542</v>
      </c>
      <c r="F57" s="78">
        <v>2</v>
      </c>
      <c r="G57" s="78">
        <v>2</v>
      </c>
      <c r="H57" s="28">
        <v>1</v>
      </c>
      <c r="I57" s="27"/>
      <c r="J57" s="27">
        <v>4</v>
      </c>
      <c r="K57" s="27"/>
      <c r="L57" s="27">
        <v>0</v>
      </c>
      <c r="M57" s="149">
        <v>45526.671099537038</v>
      </c>
      <c r="N57" s="96"/>
      <c r="O57" s="27">
        <v>0</v>
      </c>
      <c r="P57" s="27" t="s">
        <v>509</v>
      </c>
      <c r="Q57" s="149">
        <v>45526.671099537038</v>
      </c>
      <c r="R57" s="27" t="s">
        <v>509</v>
      </c>
      <c r="S57" s="149">
        <v>45526.671099537038</v>
      </c>
      <c r="T57" s="27"/>
    </row>
    <row r="58" spans="1:20" s="29" customFormat="1">
      <c r="A58" s="63" t="s">
        <v>95</v>
      </c>
      <c r="B58" s="86" t="s">
        <v>2649</v>
      </c>
      <c r="C58" s="63" t="s">
        <v>3437</v>
      </c>
      <c r="D58" s="144">
        <v>55</v>
      </c>
      <c r="E58" s="78" t="s">
        <v>264</v>
      </c>
      <c r="F58" s="78">
        <v>3</v>
      </c>
      <c r="G58" s="78">
        <v>3</v>
      </c>
      <c r="H58" s="28">
        <v>1</v>
      </c>
      <c r="I58" s="27"/>
      <c r="J58" s="27">
        <v>4</v>
      </c>
      <c r="K58" s="27"/>
      <c r="L58" s="27">
        <v>0</v>
      </c>
      <c r="M58" s="149">
        <v>45526.671099537038</v>
      </c>
      <c r="N58" s="96"/>
      <c r="O58" s="27">
        <v>0</v>
      </c>
      <c r="P58" s="27" t="s">
        <v>509</v>
      </c>
      <c r="Q58" s="149">
        <v>45526.671099537038</v>
      </c>
      <c r="R58" s="27" t="s">
        <v>509</v>
      </c>
      <c r="S58" s="149">
        <v>45526.671099537038</v>
      </c>
      <c r="T58" s="27"/>
    </row>
    <row r="59" spans="1:20" s="29" customFormat="1">
      <c r="A59" s="63" t="s">
        <v>95</v>
      </c>
      <c r="B59" s="86" t="s">
        <v>2651</v>
      </c>
      <c r="C59" s="63" t="s">
        <v>3438</v>
      </c>
      <c r="D59" s="144">
        <v>56</v>
      </c>
      <c r="E59" s="78" t="s">
        <v>2650</v>
      </c>
      <c r="F59" s="78">
        <v>4</v>
      </c>
      <c r="G59" s="78">
        <v>4</v>
      </c>
      <c r="H59" s="28">
        <v>1</v>
      </c>
      <c r="I59" s="27"/>
      <c r="J59" s="27">
        <v>4</v>
      </c>
      <c r="K59" s="27"/>
      <c r="L59" s="27">
        <v>0</v>
      </c>
      <c r="M59" s="149">
        <v>45526.671099537038</v>
      </c>
      <c r="N59" s="96"/>
      <c r="O59" s="27">
        <v>0</v>
      </c>
      <c r="P59" s="27" t="s">
        <v>509</v>
      </c>
      <c r="Q59" s="149">
        <v>45526.671099537038</v>
      </c>
      <c r="R59" s="27" t="s">
        <v>509</v>
      </c>
      <c r="S59" s="149">
        <v>45526.671099537038</v>
      </c>
      <c r="T59" s="27"/>
    </row>
    <row r="60" spans="1:20" s="29" customFormat="1">
      <c r="A60" s="63" t="s">
        <v>95</v>
      </c>
      <c r="B60" s="86" t="s">
        <v>2654</v>
      </c>
      <c r="C60" s="63" t="s">
        <v>3439</v>
      </c>
      <c r="D60" s="144">
        <v>57</v>
      </c>
      <c r="E60" s="78" t="s">
        <v>2653</v>
      </c>
      <c r="F60" s="78">
        <v>5</v>
      </c>
      <c r="G60" s="78">
        <v>5</v>
      </c>
      <c r="H60" s="28">
        <v>1</v>
      </c>
      <c r="I60" s="27"/>
      <c r="J60" s="27">
        <v>4</v>
      </c>
      <c r="K60" s="27"/>
      <c r="L60" s="27">
        <v>0</v>
      </c>
      <c r="M60" s="149">
        <v>45526.671099537038</v>
      </c>
      <c r="N60" s="96"/>
      <c r="O60" s="27">
        <v>0</v>
      </c>
      <c r="P60" s="27" t="s">
        <v>509</v>
      </c>
      <c r="Q60" s="149">
        <v>45526.671099537038</v>
      </c>
      <c r="R60" s="27" t="s">
        <v>509</v>
      </c>
      <c r="S60" s="149">
        <v>45526.671099537038</v>
      </c>
      <c r="T60" s="27"/>
    </row>
    <row r="61" spans="1:20" s="29" customFormat="1">
      <c r="A61" s="63" t="s">
        <v>95</v>
      </c>
      <c r="B61" s="86" t="s">
        <v>2656</v>
      </c>
      <c r="C61" s="63" t="s">
        <v>3440</v>
      </c>
      <c r="D61" s="144">
        <v>58</v>
      </c>
      <c r="E61" s="78" t="s">
        <v>2655</v>
      </c>
      <c r="F61" s="78">
        <v>6</v>
      </c>
      <c r="G61" s="92">
        <v>6</v>
      </c>
      <c r="H61" s="28">
        <v>1</v>
      </c>
      <c r="I61" s="27"/>
      <c r="J61" s="27">
        <v>4</v>
      </c>
      <c r="K61" s="27"/>
      <c r="L61" s="27">
        <v>0</v>
      </c>
      <c r="M61" s="149">
        <v>45526.671099537038</v>
      </c>
      <c r="N61" s="96"/>
      <c r="O61" s="27">
        <v>0</v>
      </c>
      <c r="P61" s="27" t="s">
        <v>509</v>
      </c>
      <c r="Q61" s="149">
        <v>45526.671099537038</v>
      </c>
      <c r="R61" s="27" t="s">
        <v>509</v>
      </c>
      <c r="S61" s="149">
        <v>45526.671099537038</v>
      </c>
      <c r="T61" s="27"/>
    </row>
    <row r="62" spans="1:20" s="29" customFormat="1">
      <c r="A62" s="63" t="s">
        <v>95</v>
      </c>
      <c r="B62" s="86" t="s">
        <v>2659</v>
      </c>
      <c r="C62" s="63" t="s">
        <v>3441</v>
      </c>
      <c r="D62" s="144">
        <v>59</v>
      </c>
      <c r="E62" s="78" t="s">
        <v>2658</v>
      </c>
      <c r="F62" s="78">
        <v>7</v>
      </c>
      <c r="G62" s="78">
        <v>7</v>
      </c>
      <c r="H62" s="28">
        <v>1</v>
      </c>
      <c r="I62" s="27"/>
      <c r="J62" s="27">
        <v>4</v>
      </c>
      <c r="K62" s="27"/>
      <c r="L62" s="27">
        <v>0</v>
      </c>
      <c r="M62" s="149">
        <v>45526.671099537038</v>
      </c>
      <c r="N62" s="96"/>
      <c r="O62" s="27">
        <v>0</v>
      </c>
      <c r="P62" s="27" t="s">
        <v>509</v>
      </c>
      <c r="Q62" s="149">
        <v>45526.671099537038</v>
      </c>
      <c r="R62" s="27" t="s">
        <v>509</v>
      </c>
      <c r="S62" s="149">
        <v>45526.671099537038</v>
      </c>
      <c r="T62" s="27"/>
    </row>
    <row r="63" spans="1:20" s="29" customFormat="1">
      <c r="A63" s="63" t="s">
        <v>95</v>
      </c>
      <c r="B63" s="86" t="s">
        <v>3429</v>
      </c>
      <c r="C63" s="63" t="s">
        <v>3442</v>
      </c>
      <c r="D63" s="144">
        <v>60</v>
      </c>
      <c r="E63" s="78" t="s">
        <v>2661</v>
      </c>
      <c r="F63" s="78">
        <v>8</v>
      </c>
      <c r="G63" s="78">
        <v>8</v>
      </c>
      <c r="H63" s="28">
        <v>1</v>
      </c>
      <c r="I63" s="27"/>
      <c r="J63" s="27">
        <v>4</v>
      </c>
      <c r="K63" s="27"/>
      <c r="L63" s="27">
        <v>0</v>
      </c>
      <c r="M63" s="149">
        <v>45526.671099537038</v>
      </c>
      <c r="N63" s="96"/>
      <c r="O63" s="27">
        <v>0</v>
      </c>
      <c r="P63" s="27" t="s">
        <v>509</v>
      </c>
      <c r="Q63" s="149">
        <v>45526.671099537038</v>
      </c>
      <c r="R63" s="27" t="s">
        <v>509</v>
      </c>
      <c r="S63" s="149">
        <v>45526.671099537038</v>
      </c>
      <c r="T63" s="27"/>
    </row>
    <row r="64" spans="1:20" s="29" customFormat="1">
      <c r="A64" s="63" t="s">
        <v>95</v>
      </c>
      <c r="B64" s="86" t="s">
        <v>2664</v>
      </c>
      <c r="C64" s="63" t="s">
        <v>3443</v>
      </c>
      <c r="D64" s="144">
        <v>61</v>
      </c>
      <c r="E64" s="78" t="s">
        <v>2663</v>
      </c>
      <c r="F64" s="78">
        <v>8</v>
      </c>
      <c r="G64" s="78">
        <v>8</v>
      </c>
      <c r="H64" s="28">
        <v>1</v>
      </c>
      <c r="I64" s="27"/>
      <c r="J64" s="27">
        <v>4</v>
      </c>
      <c r="K64" s="27"/>
      <c r="L64" s="27">
        <v>0</v>
      </c>
      <c r="M64" s="149">
        <v>45526.671099537038</v>
      </c>
      <c r="N64" s="96"/>
      <c r="O64" s="27">
        <v>0</v>
      </c>
      <c r="P64" s="27" t="s">
        <v>509</v>
      </c>
      <c r="Q64" s="149">
        <v>45526.671099537038</v>
      </c>
      <c r="R64" s="27" t="s">
        <v>509</v>
      </c>
      <c r="S64" s="149">
        <v>45526.671099537038</v>
      </c>
      <c r="T64" s="27"/>
    </row>
    <row r="65" spans="1:20" s="29" customFormat="1">
      <c r="A65" s="63" t="s">
        <v>95</v>
      </c>
      <c r="B65" s="86" t="s">
        <v>3425</v>
      </c>
      <c r="C65" s="63" t="s">
        <v>3444</v>
      </c>
      <c r="D65" s="144">
        <v>62</v>
      </c>
      <c r="E65" s="78" t="s">
        <v>264</v>
      </c>
      <c r="F65" s="78">
        <v>3</v>
      </c>
      <c r="G65" s="78">
        <v>3</v>
      </c>
      <c r="H65" s="28">
        <v>1</v>
      </c>
      <c r="I65" s="27"/>
      <c r="J65" s="27">
        <v>3</v>
      </c>
      <c r="K65" s="27"/>
      <c r="L65" s="27">
        <v>0</v>
      </c>
      <c r="M65" s="149">
        <v>45526.671099537038</v>
      </c>
      <c r="N65" s="96"/>
      <c r="O65" s="27">
        <v>0</v>
      </c>
      <c r="P65" s="27" t="s">
        <v>509</v>
      </c>
      <c r="Q65" s="149">
        <v>45526.671099537038</v>
      </c>
      <c r="R65" s="27" t="s">
        <v>509</v>
      </c>
      <c r="S65" s="149">
        <v>45526.671099537038</v>
      </c>
      <c r="T65" s="27"/>
    </row>
    <row r="66" spans="1:20" s="29" customFormat="1">
      <c r="A66" s="63" t="s">
        <v>95</v>
      </c>
      <c r="B66" s="86" t="s">
        <v>3426</v>
      </c>
      <c r="C66" s="63" t="s">
        <v>3445</v>
      </c>
      <c r="D66" s="144">
        <v>63</v>
      </c>
      <c r="E66" s="78" t="s">
        <v>540</v>
      </c>
      <c r="F66" s="78">
        <v>1</v>
      </c>
      <c r="G66" s="78">
        <v>1</v>
      </c>
      <c r="H66" s="28">
        <v>1</v>
      </c>
      <c r="I66" s="27"/>
      <c r="J66" s="27">
        <v>3</v>
      </c>
      <c r="K66" s="27"/>
      <c r="L66" s="27">
        <v>0</v>
      </c>
      <c r="M66" s="149">
        <v>45526.671099537038</v>
      </c>
      <c r="N66" s="96"/>
      <c r="O66" s="27">
        <v>0</v>
      </c>
      <c r="P66" s="27" t="s">
        <v>509</v>
      </c>
      <c r="Q66" s="149">
        <v>45526.671099537038</v>
      </c>
      <c r="R66" s="27" t="s">
        <v>509</v>
      </c>
      <c r="S66" s="149">
        <v>45526.671099537038</v>
      </c>
      <c r="T66" s="27"/>
    </row>
    <row r="67" spans="1:20" s="29" customFormat="1">
      <c r="A67" s="63" t="s">
        <v>95</v>
      </c>
      <c r="B67" s="86" t="s">
        <v>3427</v>
      </c>
      <c r="C67" s="63" t="s">
        <v>3446</v>
      </c>
      <c r="D67" s="144">
        <v>64</v>
      </c>
      <c r="E67" s="78" t="s">
        <v>540</v>
      </c>
      <c r="F67" s="78">
        <v>1</v>
      </c>
      <c r="G67" s="78">
        <v>1</v>
      </c>
      <c r="H67" s="28">
        <v>1</v>
      </c>
      <c r="I67" s="27"/>
      <c r="J67" s="27">
        <v>3</v>
      </c>
      <c r="K67" s="27"/>
      <c r="L67" s="27">
        <v>0</v>
      </c>
      <c r="M67" s="149">
        <v>45526.671099537038</v>
      </c>
      <c r="N67" s="96"/>
      <c r="O67" s="27">
        <v>0</v>
      </c>
      <c r="P67" s="27" t="s">
        <v>509</v>
      </c>
      <c r="Q67" s="149">
        <v>45526.671099537038</v>
      </c>
      <c r="R67" s="27" t="s">
        <v>509</v>
      </c>
      <c r="S67" s="149">
        <v>45526.671099537038</v>
      </c>
      <c r="T67" s="27"/>
    </row>
    <row r="68" spans="1:20" s="29" customFormat="1" ht="18" customHeight="1">
      <c r="A68" s="63" t="s">
        <v>95</v>
      </c>
      <c r="B68" s="86" t="s">
        <v>3428</v>
      </c>
      <c r="C68" s="63" t="s">
        <v>3447</v>
      </c>
      <c r="D68" s="144">
        <v>65</v>
      </c>
      <c r="E68" s="78" t="s">
        <v>2653</v>
      </c>
      <c r="F68" s="78">
        <v>5</v>
      </c>
      <c r="G68" s="78">
        <v>5</v>
      </c>
      <c r="H68" s="28">
        <v>1</v>
      </c>
      <c r="I68" s="27"/>
      <c r="J68" s="27">
        <v>3</v>
      </c>
      <c r="K68" s="27"/>
      <c r="L68" s="27">
        <v>0</v>
      </c>
      <c r="M68" s="149">
        <v>45526.671099537038</v>
      </c>
      <c r="N68" s="96"/>
      <c r="O68" s="27">
        <v>0</v>
      </c>
      <c r="P68" s="27" t="s">
        <v>509</v>
      </c>
      <c r="Q68" s="149">
        <v>45526.671099537038</v>
      </c>
      <c r="R68" s="27" t="s">
        <v>509</v>
      </c>
      <c r="S68" s="149">
        <v>45526.671099537038</v>
      </c>
      <c r="T68" s="27"/>
    </row>
    <row r="69" spans="1:20">
      <c r="A69" s="63"/>
      <c r="B69" s="75"/>
      <c r="C69" s="63"/>
      <c r="D69" s="151"/>
      <c r="E69" s="92"/>
      <c r="F69" s="78"/>
      <c r="G69" s="92"/>
      <c r="H69" s="75"/>
      <c r="I69" s="75"/>
      <c r="J69" s="75"/>
      <c r="K69" s="27"/>
      <c r="L69" s="27"/>
      <c r="M69" s="149"/>
      <c r="N69" s="96"/>
      <c r="O69" s="75"/>
      <c r="P69" s="75"/>
      <c r="Q69" s="150"/>
      <c r="R69" s="75"/>
      <c r="S69" s="150"/>
      <c r="T69" s="75"/>
    </row>
    <row r="70" spans="1:20">
      <c r="A70" s="63"/>
      <c r="B70" s="75"/>
      <c r="C70" s="63"/>
      <c r="D70" s="151"/>
      <c r="E70" s="92"/>
      <c r="F70" s="78"/>
      <c r="G70" s="92"/>
      <c r="H70" s="75"/>
      <c r="I70" s="75"/>
      <c r="J70" s="75"/>
      <c r="K70" s="27"/>
      <c r="L70" s="27"/>
      <c r="M70" s="149"/>
      <c r="N70" s="96"/>
      <c r="O70" s="75"/>
      <c r="P70" s="75"/>
      <c r="Q70" s="150"/>
      <c r="R70" s="75"/>
      <c r="S70" s="150"/>
      <c r="T70" s="75"/>
    </row>
    <row r="71" spans="1:20">
      <c r="A71" s="63"/>
      <c r="B71" s="75"/>
      <c r="C71" s="63"/>
      <c r="D71" s="151"/>
      <c r="E71" s="92"/>
      <c r="F71" s="78"/>
      <c r="G71" s="92"/>
      <c r="H71" s="75"/>
      <c r="I71" s="75"/>
      <c r="J71" s="75"/>
      <c r="K71" s="27"/>
      <c r="L71" s="27"/>
      <c r="M71" s="149"/>
      <c r="N71" s="96"/>
      <c r="O71" s="75"/>
      <c r="P71" s="75"/>
      <c r="Q71" s="150"/>
      <c r="R71" s="75"/>
      <c r="S71" s="150"/>
      <c r="T71" s="75"/>
    </row>
    <row r="72" spans="1:20">
      <c r="A72" s="63"/>
      <c r="B72" s="75"/>
      <c r="C72" s="63"/>
      <c r="D72" s="151"/>
      <c r="E72" s="92"/>
      <c r="F72" s="78"/>
      <c r="G72" s="92"/>
      <c r="H72" s="75"/>
      <c r="I72" s="75"/>
      <c r="J72" s="75"/>
      <c r="K72" s="27"/>
      <c r="L72" s="27"/>
      <c r="M72" s="149"/>
      <c r="N72" s="96"/>
      <c r="O72" s="75"/>
      <c r="P72" s="75"/>
      <c r="Q72" s="150"/>
      <c r="R72" s="75"/>
      <c r="S72" s="150"/>
      <c r="T72" s="75"/>
    </row>
    <row r="73" spans="1:20">
      <c r="A73" s="63"/>
      <c r="B73" s="75"/>
      <c r="C73" s="63"/>
      <c r="D73" s="151"/>
      <c r="E73" s="92"/>
      <c r="F73" s="78"/>
      <c r="G73" s="92"/>
      <c r="H73" s="75"/>
      <c r="I73" s="75"/>
      <c r="J73" s="75"/>
      <c r="K73" s="27"/>
      <c r="L73" s="27"/>
      <c r="M73" s="149"/>
      <c r="N73" s="96"/>
      <c r="O73" s="75"/>
      <c r="P73" s="75"/>
      <c r="Q73" s="150"/>
      <c r="R73" s="75"/>
      <c r="S73" s="150"/>
      <c r="T73" s="75"/>
    </row>
    <row r="74" spans="1:20">
      <c r="A74" s="63"/>
      <c r="B74" s="75"/>
      <c r="C74" s="63"/>
      <c r="D74" s="151"/>
      <c r="E74" s="92"/>
      <c r="F74" s="78"/>
      <c r="G74" s="92"/>
      <c r="H74" s="75"/>
      <c r="I74" s="75"/>
      <c r="J74" s="75"/>
      <c r="K74" s="27"/>
      <c r="L74" s="27"/>
      <c r="M74" s="149"/>
      <c r="N74" s="96"/>
      <c r="O74" s="75"/>
      <c r="P74" s="75"/>
      <c r="Q74" s="150"/>
      <c r="R74" s="75"/>
      <c r="S74" s="150"/>
      <c r="T74" s="75"/>
    </row>
    <row r="75" spans="1:20">
      <c r="A75" s="63"/>
      <c r="B75" s="75"/>
      <c r="C75" s="63"/>
      <c r="D75" s="151"/>
      <c r="E75" s="92"/>
      <c r="F75" s="78"/>
      <c r="G75" s="92"/>
      <c r="H75" s="75"/>
      <c r="I75" s="75"/>
      <c r="J75" s="75"/>
      <c r="K75" s="27"/>
      <c r="L75" s="27"/>
      <c r="M75" s="149"/>
      <c r="N75" s="96"/>
      <c r="O75" s="75"/>
      <c r="P75" s="75"/>
      <c r="Q75" s="150"/>
      <c r="R75" s="75"/>
      <c r="S75" s="150"/>
      <c r="T75" s="75"/>
    </row>
    <row r="76" spans="1:20">
      <c r="A76" s="63"/>
      <c r="B76" s="75"/>
      <c r="C76" s="63"/>
      <c r="D76" s="151"/>
      <c r="E76" s="92"/>
      <c r="F76" s="78"/>
      <c r="G76" s="92"/>
      <c r="H76" s="75"/>
      <c r="I76" s="75"/>
      <c r="J76" s="75"/>
      <c r="K76" s="27"/>
      <c r="L76" s="27"/>
      <c r="M76" s="149"/>
      <c r="N76" s="96"/>
      <c r="O76" s="75"/>
      <c r="P76" s="75"/>
      <c r="Q76" s="150"/>
      <c r="R76" s="75"/>
      <c r="S76" s="150"/>
      <c r="T76" s="75"/>
    </row>
    <row r="77" spans="1:20">
      <c r="A77" s="63"/>
      <c r="B77" s="75"/>
      <c r="C77" s="63"/>
      <c r="D77" s="151"/>
      <c r="E77" s="92"/>
      <c r="F77" s="78"/>
      <c r="G77" s="92"/>
      <c r="H77" s="75"/>
      <c r="I77" s="75"/>
      <c r="J77" s="75"/>
      <c r="K77" s="27"/>
      <c r="L77" s="27"/>
      <c r="M77" s="149"/>
      <c r="N77" s="96"/>
      <c r="O77" s="75"/>
      <c r="P77" s="75"/>
      <c r="Q77" s="150"/>
      <c r="R77" s="75"/>
      <c r="S77" s="150"/>
      <c r="T77" s="75"/>
    </row>
    <row r="78" spans="1:20">
      <c r="A78" s="63"/>
      <c r="B78" s="75"/>
      <c r="C78" s="63"/>
      <c r="D78" s="151"/>
      <c r="E78" s="92"/>
      <c r="F78" s="78"/>
      <c r="G78" s="92"/>
      <c r="H78" s="75"/>
      <c r="I78" s="75"/>
      <c r="J78" s="75"/>
      <c r="K78" s="27"/>
      <c r="L78" s="27"/>
      <c r="M78" s="149"/>
      <c r="N78" s="96"/>
      <c r="O78" s="75"/>
      <c r="P78" s="75"/>
      <c r="Q78" s="150"/>
      <c r="R78" s="75"/>
      <c r="S78" s="150"/>
      <c r="T78" s="75"/>
    </row>
    <row r="79" spans="1:20">
      <c r="A79" s="63"/>
      <c r="B79" s="75"/>
      <c r="C79" s="63"/>
      <c r="D79" s="151"/>
      <c r="E79" s="92"/>
      <c r="F79" s="78"/>
      <c r="G79" s="92"/>
      <c r="H79" s="75"/>
      <c r="I79" s="75"/>
      <c r="J79" s="75"/>
      <c r="K79" s="27"/>
      <c r="L79" s="27"/>
      <c r="M79" s="149"/>
      <c r="N79" s="96"/>
      <c r="O79" s="75"/>
      <c r="P79" s="75"/>
      <c r="Q79" s="150"/>
      <c r="R79" s="75"/>
      <c r="S79" s="150"/>
      <c r="T79" s="75"/>
    </row>
    <row r="80" spans="1:20">
      <c r="A80" s="63"/>
      <c r="B80" s="75"/>
      <c r="C80" s="63"/>
      <c r="D80" s="151"/>
      <c r="E80" s="92"/>
      <c r="F80" s="78"/>
      <c r="G80" s="92"/>
      <c r="H80" s="75"/>
      <c r="I80" s="75"/>
      <c r="J80" s="75"/>
      <c r="K80" s="27"/>
      <c r="L80" s="27"/>
      <c r="M80" s="149"/>
      <c r="N80" s="96"/>
      <c r="O80" s="75"/>
      <c r="P80" s="75"/>
      <c r="Q80" s="150"/>
      <c r="R80" s="75"/>
      <c r="S80" s="150"/>
      <c r="T80" s="75"/>
    </row>
    <row r="81" spans="1:20">
      <c r="A81" s="63"/>
      <c r="B81" s="75"/>
      <c r="C81" s="63"/>
      <c r="D81" s="151"/>
      <c r="E81" s="92"/>
      <c r="F81" s="78"/>
      <c r="G81" s="92"/>
      <c r="H81" s="75"/>
      <c r="I81" s="75"/>
      <c r="J81" s="75"/>
      <c r="K81" s="27"/>
      <c r="L81" s="27"/>
      <c r="M81" s="149"/>
      <c r="N81" s="96"/>
      <c r="O81" s="75"/>
      <c r="P81" s="75"/>
      <c r="Q81" s="150"/>
      <c r="R81" s="75"/>
      <c r="S81" s="150"/>
      <c r="T81" s="75"/>
    </row>
    <row r="82" spans="1:20">
      <c r="A82" s="63"/>
      <c r="B82" s="75"/>
      <c r="C82" s="63"/>
      <c r="D82" s="151"/>
      <c r="E82" s="92"/>
      <c r="F82" s="78"/>
      <c r="G82" s="92"/>
      <c r="H82" s="75"/>
      <c r="I82" s="75"/>
      <c r="J82" s="75"/>
      <c r="K82" s="27"/>
      <c r="L82" s="27"/>
      <c r="M82" s="149"/>
      <c r="N82" s="96"/>
      <c r="O82" s="75"/>
      <c r="P82" s="75"/>
      <c r="Q82" s="150"/>
      <c r="R82" s="75"/>
      <c r="S82" s="150"/>
      <c r="T82" s="75"/>
    </row>
    <row r="83" spans="1:20">
      <c r="A83" s="63"/>
      <c r="B83" s="75"/>
      <c r="C83" s="63"/>
      <c r="D83" s="151"/>
      <c r="E83" s="92"/>
      <c r="F83" s="78"/>
      <c r="G83" s="92"/>
      <c r="H83" s="75"/>
      <c r="I83" s="75"/>
      <c r="J83" s="75"/>
      <c r="K83" s="27"/>
      <c r="L83" s="27"/>
      <c r="M83" s="149"/>
      <c r="N83" s="96"/>
      <c r="O83" s="75"/>
      <c r="P83" s="75"/>
      <c r="Q83" s="150"/>
      <c r="R83" s="75"/>
      <c r="S83" s="150"/>
      <c r="T83" s="75"/>
    </row>
    <row r="84" spans="1:20">
      <c r="A84" s="63"/>
      <c r="B84" s="75"/>
      <c r="C84" s="63"/>
      <c r="D84" s="151"/>
      <c r="E84" s="92"/>
      <c r="F84" s="78"/>
      <c r="G84" s="92"/>
      <c r="H84" s="75"/>
      <c r="I84" s="75"/>
      <c r="J84" s="75"/>
      <c r="K84" s="27"/>
      <c r="L84" s="27"/>
      <c r="M84" s="149"/>
      <c r="N84" s="96"/>
      <c r="O84" s="75"/>
      <c r="P84" s="75"/>
      <c r="Q84" s="150"/>
      <c r="R84" s="75"/>
      <c r="S84" s="150"/>
      <c r="T84" s="75"/>
    </row>
    <row r="85" spans="1:20">
      <c r="A85" s="63"/>
      <c r="B85" s="75"/>
      <c r="C85" s="63"/>
      <c r="D85" s="151"/>
      <c r="E85" s="92"/>
      <c r="F85" s="78"/>
      <c r="G85" s="92"/>
      <c r="H85" s="75"/>
      <c r="I85" s="75"/>
      <c r="J85" s="75"/>
      <c r="K85" s="27"/>
      <c r="L85" s="27"/>
      <c r="M85" s="149"/>
      <c r="N85" s="96"/>
      <c r="O85" s="75"/>
      <c r="P85" s="75"/>
      <c r="Q85" s="150"/>
      <c r="R85" s="75"/>
      <c r="S85" s="150"/>
      <c r="T85" s="75"/>
    </row>
    <row r="86" spans="1:20">
      <c r="A86" s="63"/>
      <c r="B86" s="75"/>
      <c r="C86" s="63"/>
      <c r="D86" s="75"/>
      <c r="E86" s="92"/>
      <c r="F86" s="92"/>
      <c r="G86" s="75"/>
      <c r="H86" s="75"/>
      <c r="I86" s="75"/>
      <c r="J86" s="75"/>
      <c r="K86" s="27"/>
      <c r="L86" s="96"/>
      <c r="M86" s="27"/>
      <c r="N86" s="96"/>
      <c r="O86" s="75"/>
      <c r="P86" s="75"/>
      <c r="Q86" s="75"/>
      <c r="R86" s="75"/>
      <c r="S86" s="75"/>
      <c r="T86" s="75"/>
    </row>
    <row r="87" spans="1:20">
      <c r="A87" s="63"/>
      <c r="B87" s="75"/>
      <c r="C87" s="63"/>
      <c r="D87" s="75"/>
      <c r="E87" s="92"/>
      <c r="F87" s="92"/>
      <c r="G87" s="75"/>
      <c r="H87" s="75"/>
      <c r="I87" s="75"/>
      <c r="J87" s="75"/>
      <c r="K87" s="27"/>
      <c r="L87" s="96"/>
      <c r="M87" s="27"/>
      <c r="N87" s="96"/>
      <c r="O87" s="75"/>
      <c r="P87" s="75"/>
      <c r="Q87" s="75"/>
      <c r="R87" s="75"/>
      <c r="S87" s="75"/>
      <c r="T87" s="75"/>
    </row>
    <row r="88" spans="1:20">
      <c r="A88" s="63"/>
      <c r="B88" s="75"/>
      <c r="C88" s="63"/>
      <c r="D88" s="75"/>
      <c r="E88" s="92"/>
      <c r="F88" s="92"/>
      <c r="G88" s="75"/>
      <c r="H88" s="75"/>
      <c r="I88" s="75"/>
      <c r="J88" s="75"/>
      <c r="K88" s="27"/>
      <c r="L88" s="96"/>
      <c r="M88" s="27"/>
      <c r="N88" s="96"/>
      <c r="O88" s="75"/>
      <c r="P88" s="75"/>
      <c r="Q88" s="75"/>
      <c r="R88" s="75"/>
      <c r="S88" s="75"/>
      <c r="T88" s="75"/>
    </row>
    <row r="89" spans="1:20">
      <c r="A89" s="63"/>
      <c r="B89" s="75"/>
      <c r="C89" s="63"/>
      <c r="D89" s="75"/>
      <c r="E89" s="92"/>
      <c r="F89" s="92"/>
      <c r="G89" s="75"/>
      <c r="H89" s="75"/>
      <c r="I89" s="75"/>
      <c r="J89" s="75"/>
      <c r="K89" s="27"/>
      <c r="L89" s="96"/>
      <c r="M89" s="27"/>
      <c r="N89" s="96"/>
      <c r="O89" s="75"/>
      <c r="P89" s="75"/>
      <c r="Q89" s="75"/>
      <c r="R89" s="75"/>
      <c r="S89" s="75"/>
      <c r="T89" s="75"/>
    </row>
    <row r="90" spans="1:20">
      <c r="A90" s="63"/>
      <c r="B90" s="75"/>
      <c r="C90" s="63"/>
      <c r="D90" s="75"/>
      <c r="E90" s="92"/>
      <c r="F90" s="92"/>
      <c r="G90" s="75"/>
      <c r="H90" s="75"/>
      <c r="I90" s="75"/>
      <c r="J90" s="75"/>
      <c r="K90" s="27"/>
      <c r="L90" s="96"/>
      <c r="M90" s="27"/>
      <c r="N90" s="96"/>
      <c r="O90" s="75"/>
      <c r="P90" s="75"/>
      <c r="Q90" s="75"/>
      <c r="R90" s="75"/>
      <c r="S90" s="75"/>
      <c r="T90" s="75"/>
    </row>
    <row r="91" spans="1:20">
      <c r="A91" s="63"/>
      <c r="B91" s="75"/>
      <c r="C91" s="63"/>
      <c r="D91" s="75"/>
      <c r="E91" s="92"/>
      <c r="F91" s="92"/>
      <c r="G91" s="75"/>
      <c r="H91" s="75"/>
      <c r="I91" s="75"/>
      <c r="J91" s="75"/>
      <c r="K91" s="27"/>
      <c r="L91" s="96"/>
      <c r="M91" s="27"/>
      <c r="N91" s="96"/>
      <c r="O91" s="75"/>
      <c r="P91" s="75"/>
      <c r="Q91" s="75"/>
      <c r="R91" s="75"/>
      <c r="S91" s="75"/>
      <c r="T91" s="75"/>
    </row>
    <row r="92" spans="1:20">
      <c r="A92" s="63"/>
      <c r="B92" s="75"/>
      <c r="C92" s="63"/>
      <c r="D92" s="75"/>
      <c r="E92" s="92"/>
      <c r="F92" s="92"/>
      <c r="G92" s="75"/>
      <c r="H92" s="75"/>
      <c r="I92" s="75"/>
      <c r="J92" s="75"/>
      <c r="K92" s="27"/>
      <c r="L92" s="96"/>
      <c r="M92" s="27"/>
      <c r="N92" s="96"/>
      <c r="O92" s="75"/>
      <c r="P92" s="75"/>
      <c r="Q92" s="75"/>
      <c r="R92" s="75"/>
      <c r="S92" s="75"/>
      <c r="T92" s="75"/>
    </row>
    <row r="93" spans="1:20">
      <c r="A93" s="63"/>
      <c r="B93" s="75"/>
      <c r="C93" s="63"/>
      <c r="D93" s="75"/>
      <c r="E93" s="92"/>
      <c r="F93" s="92"/>
      <c r="G93" s="75"/>
      <c r="H93" s="75"/>
      <c r="I93" s="75"/>
      <c r="J93" s="75"/>
      <c r="K93" s="27"/>
      <c r="L93" s="96"/>
      <c r="M93" s="27"/>
      <c r="N93" s="96"/>
      <c r="O93" s="75"/>
      <c r="P93" s="75"/>
      <c r="Q93" s="75"/>
      <c r="R93" s="75"/>
      <c r="S93" s="75"/>
      <c r="T93" s="75"/>
    </row>
    <row r="94" spans="1:20">
      <c r="A94" s="63"/>
      <c r="B94" s="75"/>
      <c r="C94" s="63"/>
      <c r="D94" s="75"/>
      <c r="E94" s="92"/>
      <c r="F94" s="92"/>
      <c r="G94" s="75"/>
      <c r="H94" s="75"/>
      <c r="I94" s="75"/>
      <c r="J94" s="75"/>
      <c r="K94" s="27"/>
      <c r="L94" s="96"/>
      <c r="M94" s="27"/>
      <c r="N94" s="96"/>
      <c r="O94" s="75"/>
      <c r="P94" s="75"/>
      <c r="Q94" s="75"/>
      <c r="R94" s="75"/>
      <c r="S94" s="75"/>
      <c r="T94" s="75"/>
    </row>
    <row r="95" spans="1:20">
      <c r="A95" s="63"/>
      <c r="B95" s="75"/>
      <c r="C95" s="63"/>
      <c r="D95" s="75"/>
      <c r="E95" s="92"/>
      <c r="F95" s="92"/>
      <c r="G95" s="75"/>
      <c r="H95" s="75"/>
      <c r="I95" s="75"/>
      <c r="J95" s="75"/>
      <c r="K95" s="27"/>
      <c r="L95" s="96"/>
      <c r="M95" s="27"/>
      <c r="N95" s="96"/>
      <c r="O95" s="75"/>
      <c r="P95" s="75"/>
      <c r="Q95" s="75"/>
      <c r="R95" s="75"/>
      <c r="S95" s="75"/>
      <c r="T95" s="75"/>
    </row>
    <row r="96" spans="1:20">
      <c r="A96" s="63"/>
      <c r="B96" s="75"/>
      <c r="C96" s="63"/>
      <c r="D96" s="75"/>
      <c r="E96" s="92"/>
      <c r="F96" s="92"/>
      <c r="G96" s="75"/>
      <c r="H96" s="75"/>
      <c r="I96" s="75"/>
      <c r="J96" s="75"/>
      <c r="K96" s="27"/>
      <c r="L96" s="96"/>
      <c r="M96" s="27"/>
      <c r="N96" s="96"/>
      <c r="O96" s="75"/>
      <c r="P96" s="75"/>
      <c r="Q96" s="75"/>
      <c r="R96" s="75"/>
      <c r="S96" s="75"/>
      <c r="T96" s="75"/>
    </row>
    <row r="97" spans="1:20">
      <c r="A97" s="63"/>
      <c r="B97" s="75"/>
      <c r="C97" s="63"/>
      <c r="D97" s="75"/>
      <c r="E97" s="92"/>
      <c r="F97" s="92"/>
      <c r="G97" s="75"/>
      <c r="H97" s="75"/>
      <c r="I97" s="75"/>
      <c r="J97" s="75"/>
      <c r="K97" s="27"/>
      <c r="L97" s="96"/>
      <c r="M97" s="27"/>
      <c r="N97" s="96"/>
      <c r="O97" s="75"/>
      <c r="P97" s="75"/>
      <c r="Q97" s="75"/>
      <c r="R97" s="75"/>
      <c r="S97" s="75"/>
      <c r="T97" s="75"/>
    </row>
    <row r="98" spans="1:20">
      <c r="A98" s="63"/>
      <c r="B98" s="75"/>
      <c r="C98" s="63"/>
      <c r="D98" s="75"/>
      <c r="E98" s="92"/>
      <c r="F98" s="92"/>
      <c r="G98" s="75"/>
      <c r="H98" s="75"/>
      <c r="I98" s="75"/>
      <c r="J98" s="75"/>
      <c r="K98" s="27"/>
      <c r="L98" s="96"/>
      <c r="M98" s="27"/>
      <c r="N98" s="96"/>
      <c r="O98" s="75"/>
      <c r="P98" s="75"/>
      <c r="Q98" s="75"/>
      <c r="R98" s="75"/>
      <c r="S98" s="75"/>
      <c r="T98" s="75"/>
    </row>
    <row r="99" spans="1:20">
      <c r="A99" s="63"/>
      <c r="B99" s="75"/>
      <c r="C99" s="63"/>
      <c r="D99" s="75"/>
      <c r="E99" s="92"/>
      <c r="F99" s="92"/>
      <c r="G99" s="75"/>
      <c r="H99" s="75"/>
      <c r="I99" s="75"/>
      <c r="J99" s="75"/>
      <c r="K99" s="27"/>
      <c r="L99" s="96"/>
      <c r="M99" s="27"/>
      <c r="N99" s="96"/>
      <c r="O99" s="75"/>
      <c r="P99" s="75"/>
      <c r="Q99" s="75"/>
      <c r="R99" s="75"/>
      <c r="S99" s="75"/>
      <c r="T99" s="75"/>
    </row>
    <row r="100" spans="1:20">
      <c r="A100" s="63"/>
      <c r="B100" s="75"/>
      <c r="C100" s="63"/>
      <c r="D100" s="75"/>
      <c r="E100" s="92"/>
      <c r="F100" s="92"/>
      <c r="G100" s="75"/>
      <c r="H100" s="75"/>
      <c r="I100" s="75"/>
      <c r="J100" s="75"/>
      <c r="K100" s="27"/>
      <c r="L100" s="96"/>
      <c r="M100" s="27"/>
      <c r="N100" s="96"/>
      <c r="O100" s="75"/>
      <c r="P100" s="75"/>
      <c r="Q100" s="75"/>
      <c r="R100" s="75"/>
      <c r="S100" s="75"/>
      <c r="T100" s="75"/>
    </row>
    <row r="101" spans="1:20">
      <c r="A101" s="63"/>
      <c r="B101" s="75"/>
      <c r="C101" s="63"/>
      <c r="D101" s="75"/>
      <c r="E101" s="92"/>
      <c r="F101" s="92"/>
      <c r="G101" s="75"/>
      <c r="H101" s="75"/>
      <c r="I101" s="75"/>
      <c r="J101" s="75"/>
      <c r="K101" s="27"/>
      <c r="L101" s="96"/>
      <c r="M101" s="27"/>
      <c r="N101" s="96"/>
      <c r="O101" s="75"/>
      <c r="P101" s="75"/>
      <c r="Q101" s="75"/>
      <c r="R101" s="75"/>
      <c r="S101" s="75"/>
      <c r="T101" s="75"/>
    </row>
    <row r="102" spans="1:20">
      <c r="A102" s="63"/>
      <c r="B102" s="75"/>
      <c r="C102" s="63"/>
      <c r="D102" s="75"/>
      <c r="E102" s="92"/>
      <c r="F102" s="92"/>
      <c r="G102" s="75"/>
      <c r="H102" s="75"/>
      <c r="I102" s="75"/>
      <c r="J102" s="75"/>
      <c r="K102" s="27"/>
      <c r="L102" s="96"/>
      <c r="M102" s="27"/>
      <c r="N102" s="96"/>
      <c r="O102" s="75"/>
      <c r="P102" s="75"/>
      <c r="Q102" s="75"/>
      <c r="R102" s="75"/>
      <c r="S102" s="75"/>
      <c r="T102" s="75"/>
    </row>
    <row r="103" spans="1:20">
      <c r="A103" s="63"/>
      <c r="B103" s="75"/>
      <c r="C103" s="63"/>
      <c r="D103" s="75"/>
      <c r="E103" s="92"/>
      <c r="F103" s="92"/>
      <c r="G103" s="75"/>
      <c r="H103" s="75"/>
      <c r="I103" s="75"/>
      <c r="J103" s="75"/>
      <c r="K103" s="27"/>
      <c r="L103" s="96"/>
      <c r="M103" s="27"/>
      <c r="N103" s="96"/>
      <c r="O103" s="75"/>
      <c r="P103" s="75"/>
      <c r="Q103" s="75"/>
      <c r="R103" s="75"/>
      <c r="S103" s="75"/>
      <c r="T103" s="75"/>
    </row>
    <row r="104" spans="1:20">
      <c r="A104" s="63"/>
      <c r="B104" s="75"/>
      <c r="C104" s="63"/>
      <c r="D104" s="75"/>
      <c r="E104" s="92"/>
      <c r="F104" s="92"/>
      <c r="G104" s="75"/>
      <c r="H104" s="75"/>
      <c r="I104" s="75"/>
      <c r="J104" s="75"/>
      <c r="K104" s="27"/>
      <c r="L104" s="96"/>
      <c r="M104" s="27"/>
      <c r="N104" s="96"/>
      <c r="O104" s="75"/>
      <c r="P104" s="75"/>
      <c r="Q104" s="75"/>
      <c r="R104" s="75"/>
      <c r="S104" s="75"/>
      <c r="T104" s="75"/>
    </row>
    <row r="105" spans="1:20">
      <c r="A105" s="63"/>
      <c r="B105" s="75"/>
      <c r="C105" s="63"/>
      <c r="D105" s="75"/>
      <c r="E105" s="92"/>
      <c r="F105" s="92"/>
      <c r="G105" s="75"/>
      <c r="H105" s="75"/>
      <c r="I105" s="75"/>
      <c r="J105" s="75"/>
      <c r="K105" s="27"/>
      <c r="L105" s="96"/>
      <c r="M105" s="27"/>
      <c r="N105" s="96"/>
      <c r="O105" s="75"/>
      <c r="P105" s="75"/>
      <c r="Q105" s="75"/>
      <c r="R105" s="75"/>
      <c r="S105" s="75"/>
      <c r="T105" s="75"/>
    </row>
    <row r="106" spans="1:20">
      <c r="A106" s="63"/>
      <c r="B106" s="75"/>
      <c r="C106" s="63"/>
      <c r="D106" s="75"/>
      <c r="E106" s="92"/>
      <c r="F106" s="92"/>
      <c r="G106" s="75"/>
      <c r="H106" s="75"/>
      <c r="I106" s="75"/>
      <c r="J106" s="75"/>
      <c r="K106" s="27"/>
      <c r="L106" s="96"/>
      <c r="M106" s="27"/>
      <c r="N106" s="96"/>
      <c r="O106" s="75"/>
      <c r="P106" s="75"/>
      <c r="Q106" s="75"/>
      <c r="R106" s="75"/>
      <c r="S106" s="75"/>
      <c r="T106" s="75"/>
    </row>
    <row r="107" spans="1:20">
      <c r="A107" s="63"/>
      <c r="B107" s="75"/>
      <c r="C107" s="63"/>
      <c r="D107" s="75"/>
      <c r="E107" s="92"/>
      <c r="F107" s="92"/>
      <c r="G107" s="75"/>
      <c r="H107" s="75"/>
      <c r="I107" s="75"/>
      <c r="J107" s="75"/>
      <c r="K107" s="27"/>
      <c r="L107" s="96"/>
      <c r="M107" s="27"/>
      <c r="N107" s="96"/>
      <c r="O107" s="75"/>
      <c r="P107" s="75"/>
      <c r="Q107" s="75"/>
      <c r="R107" s="75"/>
      <c r="S107" s="75"/>
      <c r="T107" s="75"/>
    </row>
    <row r="108" spans="1:20">
      <c r="A108" s="63"/>
      <c r="B108" s="75"/>
      <c r="C108" s="63"/>
      <c r="D108" s="75"/>
      <c r="E108" s="92"/>
      <c r="F108" s="92"/>
      <c r="G108" s="75"/>
      <c r="H108" s="75"/>
      <c r="I108" s="75"/>
      <c r="J108" s="75"/>
      <c r="K108" s="27"/>
      <c r="L108" s="96"/>
      <c r="M108" s="27"/>
      <c r="N108" s="96"/>
      <c r="O108" s="75"/>
      <c r="P108" s="75"/>
      <c r="Q108" s="75"/>
      <c r="R108" s="75"/>
      <c r="S108" s="75"/>
      <c r="T108" s="75"/>
    </row>
    <row r="109" spans="1:20">
      <c r="A109" s="63"/>
      <c r="B109" s="75"/>
      <c r="C109" s="63"/>
      <c r="D109" s="75"/>
      <c r="E109" s="92"/>
      <c r="F109" s="92"/>
      <c r="G109" s="75"/>
      <c r="H109" s="75"/>
      <c r="I109" s="75"/>
      <c r="J109" s="75"/>
      <c r="K109" s="27"/>
      <c r="L109" s="96"/>
      <c r="M109" s="27"/>
      <c r="N109" s="96"/>
      <c r="O109" s="75"/>
      <c r="P109" s="75"/>
      <c r="Q109" s="75"/>
      <c r="R109" s="75"/>
      <c r="S109" s="75"/>
      <c r="T109" s="75"/>
    </row>
    <row r="110" spans="1:20">
      <c r="A110" s="63"/>
      <c r="B110" s="75"/>
      <c r="C110" s="63"/>
      <c r="D110" s="75"/>
      <c r="E110" s="92"/>
      <c r="F110" s="92"/>
      <c r="G110" s="75"/>
      <c r="H110" s="75"/>
      <c r="I110" s="75"/>
      <c r="J110" s="75"/>
      <c r="K110" s="27"/>
      <c r="L110" s="96"/>
      <c r="M110" s="27"/>
      <c r="N110" s="96"/>
      <c r="O110" s="75"/>
      <c r="P110" s="75"/>
      <c r="Q110" s="75"/>
      <c r="R110" s="75"/>
      <c r="S110" s="75"/>
      <c r="T110" s="75"/>
    </row>
    <row r="111" spans="1:20">
      <c r="A111" s="63"/>
      <c r="B111" s="75"/>
      <c r="C111" s="63"/>
      <c r="D111" s="75"/>
      <c r="E111" s="92"/>
      <c r="F111" s="92"/>
      <c r="G111" s="75"/>
      <c r="H111" s="75"/>
      <c r="I111" s="75"/>
      <c r="J111" s="75"/>
      <c r="K111" s="27"/>
      <c r="L111" s="96"/>
      <c r="M111" s="27"/>
      <c r="N111" s="96"/>
      <c r="O111" s="75"/>
      <c r="P111" s="75"/>
      <c r="Q111" s="75"/>
      <c r="R111" s="75"/>
      <c r="S111" s="75"/>
      <c r="T111" s="75"/>
    </row>
    <row r="112" spans="1:20">
      <c r="A112" s="63"/>
      <c r="B112" s="75"/>
      <c r="C112" s="63"/>
      <c r="D112" s="75"/>
      <c r="E112" s="92"/>
      <c r="F112" s="92"/>
      <c r="G112" s="75"/>
      <c r="H112" s="75"/>
      <c r="I112" s="75"/>
      <c r="J112" s="75"/>
      <c r="K112" s="27"/>
      <c r="L112" s="96"/>
      <c r="M112" s="27"/>
      <c r="N112" s="96"/>
      <c r="O112" s="75"/>
      <c r="P112" s="75"/>
      <c r="Q112" s="75"/>
      <c r="R112" s="75"/>
      <c r="S112" s="75"/>
      <c r="T112" s="75"/>
    </row>
    <row r="113" spans="1:20">
      <c r="A113" s="63"/>
      <c r="B113" s="75"/>
      <c r="C113" s="63"/>
      <c r="D113" s="75"/>
      <c r="E113" s="92"/>
      <c r="F113" s="92"/>
      <c r="G113" s="75"/>
      <c r="H113" s="75"/>
      <c r="I113" s="75"/>
      <c r="J113" s="75"/>
      <c r="K113" s="27"/>
      <c r="L113" s="96"/>
      <c r="M113" s="27"/>
      <c r="N113" s="96"/>
      <c r="O113" s="75"/>
      <c r="P113" s="75"/>
      <c r="Q113" s="75"/>
      <c r="R113" s="75"/>
      <c r="S113" s="75"/>
      <c r="T113" s="75"/>
    </row>
    <row r="114" spans="1:20">
      <c r="A114" s="63"/>
      <c r="B114" s="75"/>
      <c r="C114" s="63"/>
      <c r="D114" s="75"/>
      <c r="E114" s="92"/>
      <c r="F114" s="92"/>
      <c r="G114" s="75"/>
      <c r="H114" s="75"/>
      <c r="I114" s="75"/>
      <c r="J114" s="75"/>
      <c r="K114" s="27"/>
      <c r="L114" s="96"/>
      <c r="M114" s="27"/>
      <c r="N114" s="96"/>
      <c r="O114" s="75"/>
      <c r="P114" s="75"/>
      <c r="Q114" s="75"/>
      <c r="R114" s="75"/>
      <c r="S114" s="75"/>
      <c r="T114" s="75"/>
    </row>
    <row r="115" spans="1:20">
      <c r="A115" s="63"/>
      <c r="B115" s="75"/>
      <c r="C115" s="63"/>
      <c r="D115" s="75"/>
      <c r="E115" s="92"/>
      <c r="F115" s="92"/>
      <c r="G115" s="75"/>
      <c r="H115" s="75"/>
      <c r="I115" s="75"/>
      <c r="J115" s="75"/>
      <c r="K115" s="27"/>
      <c r="L115" s="96"/>
      <c r="M115" s="27"/>
      <c r="N115" s="96"/>
      <c r="O115" s="75"/>
      <c r="P115" s="75"/>
      <c r="Q115" s="75"/>
      <c r="R115" s="75"/>
      <c r="S115" s="75"/>
      <c r="T115" s="75"/>
    </row>
    <row r="116" spans="1:20">
      <c r="A116" s="63"/>
      <c r="B116" s="75"/>
      <c r="C116" s="63"/>
      <c r="D116" s="75"/>
      <c r="E116" s="92"/>
      <c r="F116" s="92"/>
      <c r="G116" s="75"/>
      <c r="H116" s="75"/>
      <c r="I116" s="75"/>
      <c r="J116" s="75"/>
      <c r="K116" s="27"/>
      <c r="L116" s="96"/>
      <c r="M116" s="27"/>
      <c r="N116" s="96"/>
      <c r="O116" s="75"/>
      <c r="P116" s="75"/>
      <c r="Q116" s="75"/>
      <c r="R116" s="75"/>
      <c r="S116" s="75"/>
      <c r="T116" s="75"/>
    </row>
    <row r="117" spans="1:20">
      <c r="A117" s="63"/>
      <c r="B117" s="75"/>
      <c r="C117" s="63"/>
      <c r="D117" s="75"/>
      <c r="E117" s="92"/>
      <c r="F117" s="92"/>
      <c r="G117" s="75"/>
      <c r="H117" s="75"/>
      <c r="I117" s="75"/>
      <c r="J117" s="75"/>
      <c r="K117" s="27"/>
      <c r="L117" s="96"/>
      <c r="M117" s="27"/>
      <c r="N117" s="96"/>
      <c r="O117" s="75"/>
      <c r="P117" s="75"/>
      <c r="Q117" s="75"/>
      <c r="R117" s="75"/>
      <c r="S117" s="75"/>
      <c r="T117" s="75"/>
    </row>
    <row r="118" spans="1:20">
      <c r="A118" s="63"/>
      <c r="B118" s="75"/>
      <c r="C118" s="63"/>
      <c r="D118" s="75"/>
      <c r="E118" s="92"/>
      <c r="F118" s="92"/>
      <c r="G118" s="75"/>
      <c r="H118" s="75"/>
      <c r="I118" s="75"/>
      <c r="J118" s="75"/>
      <c r="K118" s="27"/>
      <c r="L118" s="96"/>
      <c r="M118" s="27"/>
      <c r="N118" s="96"/>
      <c r="O118" s="75"/>
      <c r="P118" s="75"/>
      <c r="Q118" s="75"/>
      <c r="R118" s="75"/>
      <c r="S118" s="75"/>
      <c r="T118" s="75"/>
    </row>
    <row r="119" spans="1:20">
      <c r="A119" s="63"/>
      <c r="B119" s="75"/>
      <c r="C119" s="63"/>
      <c r="D119" s="75"/>
      <c r="E119" s="92"/>
      <c r="F119" s="92"/>
      <c r="G119" s="75"/>
      <c r="H119" s="75"/>
      <c r="I119" s="75"/>
      <c r="J119" s="75"/>
      <c r="K119" s="27"/>
      <c r="L119" s="96"/>
      <c r="M119" s="27"/>
      <c r="N119" s="96"/>
      <c r="O119" s="75"/>
      <c r="P119" s="75"/>
      <c r="Q119" s="75"/>
      <c r="R119" s="75"/>
      <c r="S119" s="75"/>
      <c r="T119" s="75"/>
    </row>
    <row r="120" spans="1:20">
      <c r="A120" s="63"/>
      <c r="B120" s="75"/>
      <c r="C120" s="63"/>
      <c r="D120" s="75"/>
      <c r="E120" s="92"/>
      <c r="F120" s="92"/>
      <c r="G120" s="75"/>
      <c r="H120" s="75"/>
      <c r="I120" s="75"/>
      <c r="J120" s="75"/>
      <c r="K120" s="27"/>
      <c r="L120" s="96"/>
      <c r="M120" s="27"/>
      <c r="N120" s="96"/>
      <c r="O120" s="75"/>
      <c r="P120" s="75"/>
      <c r="Q120" s="75"/>
      <c r="R120" s="75"/>
      <c r="S120" s="75"/>
      <c r="T120" s="75"/>
    </row>
    <row r="121" spans="1:20">
      <c r="A121" s="63"/>
      <c r="B121" s="75"/>
      <c r="C121" s="63"/>
      <c r="D121" s="75"/>
      <c r="E121" s="92"/>
      <c r="F121" s="92"/>
      <c r="G121" s="75"/>
      <c r="H121" s="75"/>
      <c r="I121" s="75"/>
      <c r="J121" s="75"/>
      <c r="K121" s="27"/>
      <c r="L121" s="96"/>
      <c r="M121" s="27"/>
      <c r="N121" s="96"/>
      <c r="O121" s="75"/>
      <c r="P121" s="75"/>
      <c r="Q121" s="75"/>
      <c r="R121" s="75"/>
      <c r="S121" s="75"/>
      <c r="T121" s="75"/>
    </row>
    <row r="122" spans="1:20">
      <c r="A122" s="63"/>
      <c r="B122" s="75"/>
      <c r="C122" s="63"/>
      <c r="D122" s="75"/>
      <c r="E122" s="92"/>
      <c r="F122" s="92"/>
      <c r="G122" s="75"/>
      <c r="H122" s="75"/>
      <c r="I122" s="75"/>
      <c r="J122" s="75"/>
      <c r="K122" s="27"/>
      <c r="L122" s="96"/>
      <c r="M122" s="27"/>
      <c r="N122" s="96"/>
      <c r="O122" s="75"/>
      <c r="P122" s="75"/>
      <c r="Q122" s="75"/>
      <c r="R122" s="75"/>
      <c r="S122" s="75"/>
      <c r="T122" s="75"/>
    </row>
    <row r="123" spans="1:20">
      <c r="A123" s="63"/>
      <c r="B123" s="75"/>
      <c r="C123" s="63"/>
      <c r="D123" s="75"/>
      <c r="E123" s="92"/>
      <c r="F123" s="92"/>
      <c r="G123" s="75"/>
      <c r="H123" s="75"/>
      <c r="I123" s="75"/>
      <c r="J123" s="75"/>
      <c r="K123" s="27"/>
      <c r="L123" s="96"/>
      <c r="M123" s="27"/>
      <c r="N123" s="96"/>
      <c r="O123" s="75"/>
      <c r="P123" s="75"/>
      <c r="Q123" s="75"/>
      <c r="R123" s="75"/>
      <c r="S123" s="75"/>
      <c r="T123" s="75"/>
    </row>
    <row r="124" spans="1:20">
      <c r="A124" s="63"/>
      <c r="B124" s="75"/>
      <c r="C124" s="63"/>
      <c r="D124" s="75"/>
      <c r="E124" s="92"/>
      <c r="F124" s="92"/>
      <c r="G124" s="75"/>
      <c r="H124" s="75"/>
      <c r="I124" s="75"/>
      <c r="J124" s="75"/>
      <c r="K124" s="27"/>
      <c r="L124" s="96"/>
      <c r="M124" s="27"/>
      <c r="N124" s="96"/>
      <c r="O124" s="75"/>
      <c r="P124" s="75"/>
      <c r="Q124" s="75"/>
      <c r="R124" s="75"/>
      <c r="S124" s="75"/>
      <c r="T124" s="75"/>
    </row>
    <row r="125" spans="1:20">
      <c r="A125" s="63"/>
      <c r="B125" s="75"/>
      <c r="C125" s="63"/>
      <c r="D125" s="75"/>
      <c r="E125" s="92"/>
      <c r="F125" s="92"/>
      <c r="G125" s="75"/>
      <c r="H125" s="75"/>
      <c r="I125" s="75"/>
      <c r="J125" s="75"/>
      <c r="K125" s="27"/>
      <c r="L125" s="96"/>
      <c r="M125" s="27"/>
      <c r="N125" s="96"/>
      <c r="O125" s="75"/>
      <c r="P125" s="75"/>
      <c r="Q125" s="75"/>
      <c r="R125" s="75"/>
      <c r="S125" s="75"/>
      <c r="T125" s="75"/>
    </row>
    <row r="126" spans="1:20">
      <c r="A126" s="63"/>
      <c r="B126" s="75"/>
      <c r="C126" s="63"/>
      <c r="D126" s="75"/>
      <c r="E126" s="92"/>
      <c r="F126" s="92"/>
      <c r="G126" s="75"/>
      <c r="H126" s="75"/>
      <c r="I126" s="75"/>
      <c r="J126" s="75"/>
      <c r="K126" s="27"/>
      <c r="L126" s="96"/>
      <c r="M126" s="27"/>
      <c r="N126" s="96"/>
      <c r="O126" s="75"/>
      <c r="P126" s="75"/>
      <c r="Q126" s="75"/>
      <c r="R126" s="75"/>
      <c r="S126" s="75"/>
      <c r="T126" s="75"/>
    </row>
    <row r="127" spans="1:20">
      <c r="A127" s="63"/>
      <c r="B127" s="75"/>
      <c r="C127" s="63"/>
      <c r="D127" s="75"/>
      <c r="E127" s="92"/>
      <c r="F127" s="92"/>
      <c r="G127" s="75"/>
      <c r="H127" s="75"/>
      <c r="I127" s="75"/>
      <c r="J127" s="75"/>
      <c r="K127" s="27"/>
      <c r="L127" s="96"/>
      <c r="M127" s="27"/>
      <c r="N127" s="96"/>
      <c r="O127" s="75"/>
      <c r="P127" s="75"/>
      <c r="Q127" s="75"/>
      <c r="R127" s="75"/>
      <c r="S127" s="75"/>
      <c r="T127" s="75"/>
    </row>
    <row r="128" spans="1:20">
      <c r="A128" s="63"/>
      <c r="B128" s="75"/>
      <c r="C128" s="63"/>
      <c r="D128" s="75"/>
      <c r="E128" s="92"/>
      <c r="F128" s="92"/>
      <c r="G128" s="75"/>
      <c r="H128" s="75"/>
      <c r="I128" s="75"/>
      <c r="J128" s="75"/>
      <c r="K128" s="27"/>
      <c r="L128" s="96"/>
      <c r="M128" s="27"/>
      <c r="N128" s="96"/>
      <c r="O128" s="75"/>
      <c r="P128" s="75"/>
      <c r="Q128" s="75"/>
      <c r="R128" s="75"/>
      <c r="S128" s="75"/>
      <c r="T128" s="75"/>
    </row>
    <row r="129" spans="1:20">
      <c r="A129" s="63"/>
      <c r="B129" s="75"/>
      <c r="C129" s="63"/>
      <c r="D129" s="75"/>
      <c r="E129" s="92"/>
      <c r="F129" s="92"/>
      <c r="G129" s="75"/>
      <c r="H129" s="75"/>
      <c r="I129" s="75"/>
      <c r="J129" s="75"/>
      <c r="K129" s="27"/>
      <c r="L129" s="96"/>
      <c r="M129" s="27"/>
      <c r="N129" s="96"/>
      <c r="O129" s="75"/>
      <c r="P129" s="75"/>
      <c r="Q129" s="75"/>
      <c r="R129" s="75"/>
      <c r="S129" s="75"/>
      <c r="T129" s="75"/>
    </row>
    <row r="130" spans="1:20">
      <c r="A130" s="63"/>
      <c r="B130" s="75"/>
      <c r="C130" s="63"/>
      <c r="D130" s="75"/>
      <c r="E130" s="92"/>
      <c r="F130" s="92"/>
      <c r="G130" s="75"/>
      <c r="H130" s="75"/>
      <c r="I130" s="75"/>
      <c r="J130" s="75"/>
      <c r="K130" s="27"/>
      <c r="L130" s="96"/>
      <c r="M130" s="27"/>
      <c r="N130" s="96"/>
      <c r="O130" s="75"/>
      <c r="P130" s="75"/>
      <c r="Q130" s="75"/>
      <c r="R130" s="75"/>
      <c r="S130" s="75"/>
      <c r="T130" s="75"/>
    </row>
    <row r="131" spans="1:20">
      <c r="A131" s="63"/>
      <c r="B131" s="75"/>
      <c r="C131" s="63"/>
      <c r="D131" s="75"/>
      <c r="E131" s="92"/>
      <c r="F131" s="92"/>
      <c r="G131" s="75"/>
      <c r="H131" s="75"/>
      <c r="I131" s="75"/>
      <c r="J131" s="75"/>
      <c r="K131" s="27"/>
      <c r="L131" s="96"/>
      <c r="M131" s="27"/>
      <c r="N131" s="96"/>
      <c r="O131" s="75"/>
      <c r="P131" s="75"/>
      <c r="Q131" s="75"/>
      <c r="R131" s="75"/>
      <c r="S131" s="75"/>
      <c r="T131" s="75"/>
    </row>
    <row r="132" spans="1:20">
      <c r="A132" s="63"/>
      <c r="B132" s="75"/>
      <c r="C132" s="63"/>
      <c r="D132" s="75"/>
      <c r="E132" s="92"/>
      <c r="F132" s="92"/>
      <c r="G132" s="75"/>
      <c r="H132" s="75"/>
      <c r="I132" s="75"/>
      <c r="J132" s="75"/>
      <c r="K132" s="27"/>
      <c r="L132" s="96"/>
      <c r="M132" s="27"/>
      <c r="N132" s="96"/>
      <c r="O132" s="75"/>
      <c r="P132" s="75"/>
      <c r="Q132" s="75"/>
      <c r="R132" s="75"/>
      <c r="S132" s="75"/>
      <c r="T132" s="75"/>
    </row>
    <row r="133" spans="1:20">
      <c r="A133" s="63"/>
      <c r="B133" s="75"/>
      <c r="C133" s="63"/>
      <c r="D133" s="75"/>
      <c r="E133" s="92"/>
      <c r="F133" s="92"/>
      <c r="G133" s="75"/>
      <c r="H133" s="75"/>
      <c r="I133" s="75"/>
      <c r="J133" s="75"/>
      <c r="K133" s="27"/>
      <c r="L133" s="96"/>
      <c r="M133" s="27"/>
      <c r="N133" s="96"/>
      <c r="O133" s="75"/>
      <c r="P133" s="75"/>
      <c r="Q133" s="75"/>
      <c r="R133" s="75"/>
      <c r="S133" s="75"/>
      <c r="T133" s="75"/>
    </row>
    <row r="134" spans="1:20">
      <c r="A134" s="63"/>
      <c r="B134" s="75"/>
      <c r="C134" s="63"/>
      <c r="D134" s="75"/>
      <c r="E134" s="92"/>
      <c r="F134" s="92"/>
      <c r="G134" s="75"/>
      <c r="H134" s="75"/>
      <c r="I134" s="75"/>
      <c r="J134" s="75"/>
      <c r="K134" s="27"/>
      <c r="L134" s="96"/>
      <c r="M134" s="27"/>
      <c r="N134" s="96"/>
      <c r="O134" s="75"/>
      <c r="P134" s="75"/>
      <c r="Q134" s="75"/>
      <c r="R134" s="75"/>
      <c r="S134" s="75"/>
      <c r="T134" s="75"/>
    </row>
    <row r="135" spans="1:20">
      <c r="A135" s="63"/>
      <c r="B135" s="75"/>
      <c r="C135" s="63"/>
      <c r="D135" s="75"/>
      <c r="E135" s="92"/>
      <c r="F135" s="92"/>
      <c r="G135" s="75"/>
      <c r="H135" s="75"/>
      <c r="I135" s="75"/>
      <c r="J135" s="75"/>
      <c r="K135" s="27"/>
      <c r="L135" s="96"/>
      <c r="M135" s="27"/>
      <c r="N135" s="96"/>
      <c r="O135" s="75"/>
      <c r="P135" s="75"/>
      <c r="Q135" s="75"/>
      <c r="R135" s="75"/>
      <c r="S135" s="75"/>
      <c r="T135" s="75"/>
    </row>
    <row r="136" spans="1:20">
      <c r="A136" s="63"/>
      <c r="B136" s="75"/>
      <c r="C136" s="63"/>
      <c r="D136" s="75"/>
      <c r="E136" s="92"/>
      <c r="F136" s="92"/>
      <c r="G136" s="75"/>
      <c r="H136" s="75"/>
      <c r="I136" s="75"/>
      <c r="J136" s="75"/>
      <c r="K136" s="27"/>
      <c r="L136" s="96"/>
      <c r="M136" s="27"/>
      <c r="N136" s="96"/>
      <c r="O136" s="75"/>
      <c r="P136" s="75"/>
      <c r="Q136" s="75"/>
      <c r="R136" s="75"/>
      <c r="S136" s="75"/>
      <c r="T136" s="75"/>
    </row>
    <row r="137" spans="1:20">
      <c r="A137" s="63"/>
      <c r="B137" s="75"/>
      <c r="C137" s="63"/>
      <c r="D137" s="75"/>
      <c r="E137" s="92"/>
      <c r="F137" s="92"/>
      <c r="G137" s="75"/>
      <c r="H137" s="75"/>
      <c r="I137" s="75"/>
      <c r="J137" s="75"/>
      <c r="K137" s="27"/>
      <c r="L137" s="96"/>
      <c r="M137" s="27"/>
      <c r="N137" s="96"/>
      <c r="O137" s="75"/>
      <c r="P137" s="75"/>
      <c r="Q137" s="75"/>
      <c r="R137" s="75"/>
      <c r="S137" s="75"/>
      <c r="T137" s="75"/>
    </row>
    <row r="138" spans="1:20">
      <c r="A138" s="63"/>
      <c r="B138" s="75"/>
      <c r="C138" s="63"/>
      <c r="D138" s="75"/>
      <c r="E138" s="92"/>
      <c r="F138" s="92"/>
      <c r="G138" s="75"/>
      <c r="H138" s="75"/>
      <c r="I138" s="75"/>
      <c r="J138" s="75"/>
      <c r="K138" s="27"/>
      <c r="L138" s="96"/>
      <c r="M138" s="27"/>
      <c r="N138" s="96"/>
      <c r="O138" s="75"/>
      <c r="P138" s="75"/>
      <c r="Q138" s="75"/>
      <c r="R138" s="75"/>
      <c r="S138" s="75"/>
      <c r="T138" s="75"/>
    </row>
    <row r="139" spans="1:20">
      <c r="A139" s="63"/>
      <c r="B139" s="75"/>
      <c r="C139" s="63"/>
      <c r="D139" s="75"/>
      <c r="E139" s="92"/>
      <c r="F139" s="92"/>
      <c r="G139" s="75"/>
      <c r="H139" s="75"/>
      <c r="I139" s="75"/>
      <c r="J139" s="75"/>
      <c r="K139" s="27"/>
      <c r="L139" s="96"/>
      <c r="M139" s="27"/>
      <c r="N139" s="96"/>
      <c r="O139" s="75"/>
      <c r="P139" s="75"/>
      <c r="Q139" s="75"/>
      <c r="R139" s="75"/>
      <c r="S139" s="75"/>
      <c r="T139" s="75"/>
    </row>
    <row r="140" spans="1:20">
      <c r="A140" s="63"/>
      <c r="B140" s="75"/>
      <c r="C140" s="63"/>
      <c r="D140" s="75"/>
      <c r="E140" s="92"/>
      <c r="F140" s="92"/>
      <c r="G140" s="75"/>
      <c r="H140" s="75"/>
      <c r="I140" s="75"/>
      <c r="J140" s="75"/>
      <c r="K140" s="27"/>
      <c r="L140" s="96"/>
      <c r="M140" s="27"/>
      <c r="N140" s="96"/>
      <c r="O140" s="75"/>
      <c r="P140" s="75"/>
      <c r="Q140" s="75"/>
      <c r="R140" s="75"/>
      <c r="S140" s="75"/>
      <c r="T140" s="75"/>
    </row>
    <row r="141" spans="1:20">
      <c r="A141" s="63"/>
      <c r="B141" s="75"/>
      <c r="C141" s="63"/>
      <c r="D141" s="75"/>
      <c r="E141" s="92"/>
      <c r="F141" s="92"/>
      <c r="G141" s="75"/>
      <c r="H141" s="75"/>
      <c r="I141" s="75"/>
      <c r="J141" s="75"/>
      <c r="K141" s="27"/>
      <c r="L141" s="96"/>
      <c r="M141" s="27"/>
      <c r="N141" s="96"/>
      <c r="O141" s="75"/>
      <c r="P141" s="75"/>
      <c r="Q141" s="75"/>
      <c r="R141" s="75"/>
      <c r="S141" s="75"/>
      <c r="T141" s="75"/>
    </row>
    <row r="142" spans="1:20">
      <c r="A142" s="63"/>
      <c r="B142" s="75"/>
      <c r="C142" s="63"/>
      <c r="D142" s="75"/>
      <c r="E142" s="92"/>
      <c r="F142" s="92"/>
      <c r="G142" s="75"/>
      <c r="H142" s="75"/>
      <c r="I142" s="75"/>
      <c r="J142" s="75"/>
      <c r="K142" s="27"/>
      <c r="L142" s="96"/>
      <c r="M142" s="27"/>
      <c r="N142" s="96"/>
      <c r="O142" s="75"/>
      <c r="P142" s="75"/>
      <c r="Q142" s="75"/>
      <c r="R142" s="75"/>
      <c r="S142" s="75"/>
      <c r="T142" s="75"/>
    </row>
    <row r="143" spans="1:20">
      <c r="A143" s="63"/>
      <c r="B143" s="75"/>
      <c r="C143" s="63"/>
      <c r="D143" s="75"/>
      <c r="E143" s="92"/>
      <c r="F143" s="92"/>
      <c r="G143" s="75"/>
      <c r="H143" s="75"/>
      <c r="I143" s="75"/>
      <c r="J143" s="75"/>
      <c r="K143" s="27"/>
      <c r="L143" s="96"/>
      <c r="M143" s="27"/>
      <c r="N143" s="96"/>
      <c r="O143" s="75"/>
      <c r="P143" s="75"/>
      <c r="Q143" s="75"/>
      <c r="R143" s="75"/>
      <c r="S143" s="75"/>
      <c r="T143" s="75"/>
    </row>
    <row r="144" spans="1:20">
      <c r="A144" s="63"/>
      <c r="B144" s="75"/>
      <c r="C144" s="63"/>
      <c r="D144" s="75"/>
      <c r="E144" s="92"/>
      <c r="F144" s="92"/>
      <c r="G144" s="75"/>
      <c r="H144" s="75"/>
      <c r="I144" s="75"/>
      <c r="J144" s="75"/>
      <c r="K144" s="27"/>
      <c r="L144" s="96"/>
      <c r="M144" s="27"/>
      <c r="N144" s="96"/>
      <c r="O144" s="75"/>
      <c r="P144" s="75"/>
      <c r="Q144" s="75"/>
      <c r="R144" s="75"/>
      <c r="S144" s="75"/>
      <c r="T144" s="75"/>
    </row>
    <row r="145" spans="1:20">
      <c r="A145" s="63"/>
      <c r="B145" s="75"/>
      <c r="C145" s="63"/>
      <c r="D145" s="75"/>
      <c r="E145" s="92"/>
      <c r="F145" s="92"/>
      <c r="G145" s="75"/>
      <c r="H145" s="75"/>
      <c r="I145" s="75"/>
      <c r="J145" s="75"/>
      <c r="K145" s="27"/>
      <c r="L145" s="96"/>
      <c r="M145" s="27"/>
      <c r="N145" s="96"/>
      <c r="O145" s="75"/>
      <c r="P145" s="75"/>
      <c r="Q145" s="75"/>
      <c r="R145" s="75"/>
      <c r="S145" s="75"/>
      <c r="T145" s="75"/>
    </row>
    <row r="146" spans="1:20">
      <c r="A146" s="63"/>
      <c r="B146" s="75"/>
      <c r="C146" s="63"/>
      <c r="D146" s="75"/>
      <c r="E146" s="92"/>
      <c r="F146" s="92"/>
      <c r="G146" s="75"/>
      <c r="H146" s="75"/>
      <c r="I146" s="75"/>
      <c r="J146" s="75"/>
      <c r="K146" s="27"/>
      <c r="L146" s="96"/>
      <c r="M146" s="27"/>
      <c r="N146" s="96"/>
      <c r="O146" s="75"/>
      <c r="P146" s="75"/>
      <c r="Q146" s="75"/>
      <c r="R146" s="75"/>
      <c r="S146" s="75"/>
      <c r="T146" s="75"/>
    </row>
    <row r="147" spans="1:20">
      <c r="A147" s="63"/>
      <c r="B147" s="75"/>
      <c r="C147" s="63"/>
      <c r="D147" s="75"/>
      <c r="E147" s="92"/>
      <c r="F147" s="92"/>
      <c r="G147" s="75"/>
      <c r="H147" s="75"/>
      <c r="I147" s="75"/>
      <c r="J147" s="75"/>
      <c r="K147" s="27"/>
      <c r="L147" s="96"/>
      <c r="M147" s="27"/>
      <c r="N147" s="96"/>
      <c r="O147" s="75"/>
      <c r="P147" s="75"/>
      <c r="Q147" s="75"/>
      <c r="R147" s="75"/>
      <c r="S147" s="75"/>
      <c r="T147" s="75"/>
    </row>
    <row r="148" spans="1:20">
      <c r="A148" s="63"/>
      <c r="B148" s="75"/>
      <c r="C148" s="63"/>
      <c r="D148" s="75"/>
      <c r="E148" s="92"/>
      <c r="F148" s="92"/>
      <c r="G148" s="75"/>
      <c r="H148" s="75"/>
      <c r="I148" s="75"/>
      <c r="J148" s="75"/>
      <c r="K148" s="27"/>
      <c r="L148" s="96"/>
      <c r="M148" s="27"/>
      <c r="N148" s="96"/>
      <c r="O148" s="75"/>
      <c r="P148" s="75"/>
      <c r="Q148" s="75"/>
      <c r="R148" s="75"/>
      <c r="S148" s="75"/>
      <c r="T148" s="75"/>
    </row>
    <row r="149" spans="1:20">
      <c r="A149" s="63"/>
      <c r="B149" s="75"/>
      <c r="C149" s="63"/>
      <c r="D149" s="75"/>
      <c r="E149" s="92"/>
      <c r="F149" s="92"/>
      <c r="G149" s="75"/>
      <c r="H149" s="75"/>
      <c r="I149" s="75"/>
      <c r="J149" s="75"/>
      <c r="K149" s="27"/>
      <c r="L149" s="96"/>
      <c r="M149" s="27"/>
      <c r="N149" s="96"/>
      <c r="O149" s="75"/>
      <c r="P149" s="75"/>
      <c r="Q149" s="75"/>
      <c r="R149" s="75"/>
      <c r="S149" s="75"/>
      <c r="T149" s="75"/>
    </row>
    <row r="150" spans="1:20">
      <c r="A150" s="63"/>
      <c r="B150" s="75"/>
      <c r="C150" s="63"/>
      <c r="D150" s="75"/>
      <c r="E150" s="92"/>
      <c r="F150" s="92"/>
      <c r="G150" s="75"/>
      <c r="H150" s="75"/>
      <c r="I150" s="75"/>
      <c r="J150" s="75"/>
      <c r="K150" s="27"/>
      <c r="L150" s="96"/>
      <c r="M150" s="27"/>
      <c r="N150" s="96"/>
      <c r="O150" s="75"/>
      <c r="P150" s="75"/>
      <c r="Q150" s="75"/>
      <c r="R150" s="75"/>
      <c r="S150" s="75"/>
      <c r="T150" s="75"/>
    </row>
    <row r="151" spans="1:20">
      <c r="A151" s="63"/>
      <c r="B151" s="75"/>
      <c r="C151" s="63"/>
      <c r="D151" s="75"/>
      <c r="E151" s="92"/>
      <c r="F151" s="92"/>
      <c r="G151" s="75"/>
      <c r="H151" s="75"/>
      <c r="I151" s="75"/>
      <c r="J151" s="75"/>
      <c r="K151" s="27"/>
      <c r="L151" s="96"/>
      <c r="M151" s="27"/>
      <c r="N151" s="96"/>
      <c r="O151" s="75"/>
      <c r="P151" s="75"/>
      <c r="Q151" s="75"/>
      <c r="R151" s="75"/>
      <c r="S151" s="75"/>
      <c r="T151" s="75"/>
    </row>
    <row r="152" spans="1:20">
      <c r="A152" s="63"/>
      <c r="B152" s="75"/>
      <c r="C152" s="63"/>
      <c r="D152" s="75"/>
      <c r="E152" s="92"/>
      <c r="F152" s="92"/>
      <c r="G152" s="75"/>
      <c r="H152" s="75"/>
      <c r="I152" s="75"/>
      <c r="J152" s="75"/>
      <c r="K152" s="27"/>
      <c r="L152" s="96"/>
      <c r="M152" s="27"/>
      <c r="N152" s="96"/>
      <c r="O152" s="75"/>
      <c r="P152" s="75"/>
      <c r="Q152" s="75"/>
      <c r="R152" s="75"/>
      <c r="S152" s="75"/>
      <c r="T152" s="75"/>
    </row>
    <row r="153" spans="1:20">
      <c r="A153" s="63"/>
      <c r="B153" s="75"/>
      <c r="C153" s="63"/>
      <c r="D153" s="75"/>
      <c r="E153" s="92"/>
      <c r="F153" s="92"/>
      <c r="G153" s="75"/>
      <c r="H153" s="75"/>
      <c r="I153" s="75"/>
      <c r="J153" s="75"/>
      <c r="K153" s="27"/>
      <c r="L153" s="96"/>
      <c r="M153" s="27"/>
      <c r="N153" s="96"/>
      <c r="O153" s="75"/>
      <c r="P153" s="75"/>
      <c r="Q153" s="75"/>
      <c r="R153" s="75"/>
      <c r="S153" s="75"/>
      <c r="T153" s="75"/>
    </row>
    <row r="154" spans="1:20">
      <c r="A154" s="63"/>
      <c r="B154" s="75"/>
      <c r="C154" s="63"/>
      <c r="D154" s="75"/>
      <c r="E154" s="92"/>
      <c r="F154" s="92"/>
      <c r="G154" s="75"/>
      <c r="H154" s="75"/>
      <c r="I154" s="75"/>
      <c r="J154" s="75"/>
      <c r="K154" s="27"/>
      <c r="L154" s="96"/>
      <c r="M154" s="27"/>
      <c r="N154" s="96"/>
      <c r="O154" s="75"/>
      <c r="P154" s="75"/>
      <c r="Q154" s="75"/>
      <c r="R154" s="75"/>
      <c r="S154" s="75"/>
      <c r="T154" s="75"/>
    </row>
    <row r="155" spans="1:20">
      <c r="A155" s="63"/>
      <c r="B155" s="75"/>
      <c r="C155" s="63"/>
      <c r="D155" s="75"/>
      <c r="E155" s="92"/>
      <c r="F155" s="92"/>
      <c r="G155" s="75"/>
      <c r="H155" s="75"/>
      <c r="I155" s="75"/>
      <c r="J155" s="75"/>
      <c r="K155" s="27"/>
      <c r="L155" s="96"/>
      <c r="M155" s="27"/>
      <c r="N155" s="96"/>
      <c r="O155" s="75"/>
      <c r="P155" s="75"/>
      <c r="Q155" s="75"/>
      <c r="R155" s="75"/>
      <c r="S155" s="75"/>
      <c r="T155" s="75"/>
    </row>
    <row r="156" spans="1:20">
      <c r="A156" s="63"/>
      <c r="B156" s="75"/>
      <c r="C156" s="63"/>
      <c r="D156" s="75"/>
      <c r="E156" s="92"/>
      <c r="F156" s="92"/>
      <c r="G156" s="75"/>
      <c r="H156" s="75"/>
      <c r="I156" s="75"/>
      <c r="J156" s="75"/>
      <c r="K156" s="27"/>
      <c r="L156" s="96"/>
      <c r="M156" s="27"/>
      <c r="N156" s="96"/>
      <c r="O156" s="75"/>
      <c r="P156" s="75"/>
      <c r="Q156" s="75"/>
      <c r="R156" s="75"/>
      <c r="S156" s="75"/>
      <c r="T156" s="75"/>
    </row>
    <row r="157" spans="1:20">
      <c r="A157" s="63"/>
      <c r="B157" s="75"/>
      <c r="C157" s="63"/>
      <c r="D157" s="75"/>
      <c r="E157" s="92"/>
      <c r="F157" s="92"/>
      <c r="G157" s="75"/>
      <c r="H157" s="75"/>
      <c r="I157" s="75"/>
      <c r="J157" s="75"/>
      <c r="K157" s="27"/>
      <c r="L157" s="96"/>
      <c r="M157" s="27"/>
      <c r="N157" s="96"/>
      <c r="O157" s="75"/>
      <c r="P157" s="75"/>
      <c r="Q157" s="75"/>
      <c r="R157" s="75"/>
      <c r="S157" s="75"/>
      <c r="T157" s="75"/>
    </row>
    <row r="158" spans="1:20">
      <c r="A158" s="63"/>
      <c r="B158" s="75"/>
      <c r="C158" s="63"/>
      <c r="D158" s="75"/>
      <c r="E158" s="92"/>
      <c r="F158" s="92"/>
      <c r="G158" s="75"/>
      <c r="H158" s="75"/>
      <c r="I158" s="75"/>
      <c r="J158" s="75"/>
      <c r="K158" s="27"/>
      <c r="L158" s="96"/>
      <c r="M158" s="27"/>
      <c r="N158" s="96"/>
      <c r="O158" s="75"/>
      <c r="P158" s="75"/>
      <c r="Q158" s="75"/>
      <c r="R158" s="75"/>
      <c r="S158" s="75"/>
      <c r="T158" s="75"/>
    </row>
    <row r="159" spans="1:20">
      <c r="A159" s="63"/>
      <c r="B159" s="75"/>
      <c r="C159" s="63"/>
      <c r="D159" s="75"/>
      <c r="E159" s="92"/>
      <c r="F159" s="92"/>
      <c r="G159" s="75"/>
      <c r="H159" s="75"/>
      <c r="I159" s="75"/>
      <c r="J159" s="75"/>
      <c r="K159" s="27"/>
      <c r="L159" s="96"/>
      <c r="M159" s="27"/>
      <c r="N159" s="96"/>
      <c r="O159" s="75"/>
      <c r="P159" s="75"/>
      <c r="Q159" s="75"/>
      <c r="R159" s="75"/>
      <c r="S159" s="75"/>
      <c r="T159" s="75"/>
    </row>
    <row r="160" spans="1:20">
      <c r="A160" s="63"/>
      <c r="B160" s="75"/>
      <c r="C160" s="63"/>
      <c r="D160" s="75"/>
      <c r="E160" s="92"/>
      <c r="F160" s="92"/>
      <c r="G160" s="75"/>
      <c r="H160" s="75"/>
      <c r="I160" s="75"/>
      <c r="J160" s="75"/>
      <c r="K160" s="27"/>
      <c r="L160" s="96"/>
      <c r="M160" s="27"/>
      <c r="N160" s="96"/>
      <c r="O160" s="75"/>
      <c r="P160" s="75"/>
      <c r="Q160" s="75"/>
      <c r="R160" s="75"/>
      <c r="S160" s="75"/>
      <c r="T160" s="75"/>
    </row>
    <row r="161" spans="1:20">
      <c r="A161" s="63"/>
      <c r="B161" s="75"/>
      <c r="C161" s="63"/>
      <c r="D161" s="75"/>
      <c r="E161" s="92"/>
      <c r="F161" s="92"/>
      <c r="G161" s="75"/>
      <c r="H161" s="75"/>
      <c r="I161" s="75"/>
      <c r="J161" s="75"/>
      <c r="K161" s="27"/>
      <c r="L161" s="96"/>
      <c r="M161" s="27"/>
      <c r="N161" s="96"/>
      <c r="O161" s="75"/>
      <c r="P161" s="75"/>
      <c r="Q161" s="75"/>
      <c r="R161" s="75"/>
      <c r="S161" s="75"/>
      <c r="T161" s="75"/>
    </row>
    <row r="162" spans="1:20">
      <c r="A162" s="63"/>
      <c r="B162" s="75"/>
      <c r="C162" s="63"/>
      <c r="D162" s="75"/>
      <c r="E162" s="92"/>
      <c r="F162" s="92"/>
      <c r="G162" s="75"/>
      <c r="H162" s="75"/>
      <c r="I162" s="75"/>
      <c r="J162" s="75"/>
      <c r="K162" s="27"/>
      <c r="L162" s="96"/>
      <c r="M162" s="27"/>
      <c r="N162" s="96"/>
      <c r="O162" s="75"/>
      <c r="P162" s="75"/>
      <c r="Q162" s="75"/>
      <c r="R162" s="75"/>
      <c r="S162" s="75"/>
      <c r="T162" s="75"/>
    </row>
    <row r="163" spans="1:20">
      <c r="A163" s="63"/>
      <c r="B163" s="75"/>
      <c r="C163" s="63"/>
      <c r="D163" s="75"/>
      <c r="E163" s="92"/>
      <c r="F163" s="92"/>
      <c r="G163" s="75"/>
      <c r="H163" s="75"/>
      <c r="I163" s="75"/>
      <c r="J163" s="75"/>
      <c r="K163" s="27"/>
      <c r="L163" s="96"/>
      <c r="M163" s="27"/>
      <c r="N163" s="96"/>
      <c r="O163" s="75"/>
      <c r="P163" s="75"/>
      <c r="Q163" s="75"/>
      <c r="R163" s="75"/>
      <c r="S163" s="75"/>
      <c r="T163" s="75"/>
    </row>
    <row r="164" spans="1:20">
      <c r="A164" s="63"/>
      <c r="B164" s="75"/>
      <c r="C164" s="63"/>
      <c r="D164" s="75"/>
      <c r="E164" s="92"/>
      <c r="F164" s="92"/>
      <c r="G164" s="75"/>
      <c r="H164" s="75"/>
      <c r="I164" s="75"/>
      <c r="J164" s="75"/>
      <c r="K164" s="27"/>
      <c r="L164" s="96"/>
      <c r="M164" s="27"/>
      <c r="N164" s="96"/>
      <c r="O164" s="75"/>
      <c r="P164" s="75"/>
      <c r="Q164" s="75"/>
      <c r="R164" s="75"/>
      <c r="S164" s="75"/>
      <c r="T164" s="75"/>
    </row>
    <row r="165" spans="1:20">
      <c r="A165" s="63"/>
      <c r="B165" s="75"/>
      <c r="C165" s="63"/>
      <c r="D165" s="75"/>
      <c r="E165" s="92"/>
      <c r="F165" s="92"/>
      <c r="G165" s="75"/>
      <c r="H165" s="75"/>
      <c r="I165" s="75"/>
      <c r="J165" s="75"/>
      <c r="K165" s="27"/>
      <c r="L165" s="96"/>
      <c r="M165" s="27"/>
      <c r="N165" s="96"/>
      <c r="O165" s="75"/>
      <c r="P165" s="75"/>
      <c r="Q165" s="75"/>
      <c r="R165" s="75"/>
      <c r="S165" s="75"/>
      <c r="T165" s="75"/>
    </row>
    <row r="166" spans="1:20">
      <c r="A166" s="63"/>
      <c r="B166" s="75"/>
      <c r="C166" s="63"/>
      <c r="D166" s="75"/>
      <c r="E166" s="92"/>
      <c r="F166" s="92"/>
      <c r="G166" s="75"/>
      <c r="H166" s="75"/>
      <c r="I166" s="75"/>
      <c r="J166" s="75"/>
      <c r="K166" s="27"/>
      <c r="L166" s="96"/>
      <c r="M166" s="27"/>
      <c r="N166" s="96"/>
      <c r="O166" s="75"/>
      <c r="P166" s="75"/>
      <c r="Q166" s="75"/>
      <c r="R166" s="75"/>
      <c r="S166" s="75"/>
      <c r="T166" s="75"/>
    </row>
    <row r="167" spans="1:20">
      <c r="A167" s="63"/>
      <c r="B167" s="75"/>
      <c r="C167" s="63"/>
      <c r="D167" s="75"/>
      <c r="E167" s="92"/>
      <c r="F167" s="92"/>
      <c r="G167" s="75"/>
      <c r="H167" s="75"/>
      <c r="I167" s="75"/>
      <c r="J167" s="75"/>
      <c r="K167" s="27"/>
      <c r="L167" s="96"/>
      <c r="M167" s="27"/>
      <c r="N167" s="96"/>
      <c r="O167" s="75"/>
      <c r="P167" s="75"/>
      <c r="Q167" s="75"/>
      <c r="R167" s="75"/>
      <c r="S167" s="75"/>
      <c r="T167" s="75"/>
    </row>
    <row r="168" spans="1:20">
      <c r="A168" s="63"/>
      <c r="B168" s="75"/>
      <c r="C168" s="63"/>
      <c r="D168" s="75"/>
      <c r="E168" s="92"/>
      <c r="F168" s="92"/>
      <c r="G168" s="75"/>
      <c r="H168" s="75"/>
      <c r="I168" s="75"/>
      <c r="J168" s="75"/>
      <c r="K168" s="27"/>
      <c r="L168" s="96"/>
      <c r="M168" s="27"/>
      <c r="N168" s="96"/>
      <c r="O168" s="75"/>
      <c r="P168" s="75"/>
      <c r="Q168" s="75"/>
      <c r="R168" s="75"/>
      <c r="S168" s="75"/>
      <c r="T168" s="75"/>
    </row>
    <row r="169" spans="1:20">
      <c r="A169" s="63"/>
      <c r="B169" s="75"/>
      <c r="C169" s="63"/>
      <c r="D169" s="75"/>
      <c r="E169" s="92"/>
      <c r="F169" s="92"/>
      <c r="G169" s="75"/>
      <c r="H169" s="75"/>
      <c r="I169" s="75"/>
      <c r="J169" s="75"/>
      <c r="K169" s="27"/>
      <c r="L169" s="96"/>
      <c r="M169" s="27"/>
      <c r="N169" s="96"/>
      <c r="O169" s="75"/>
      <c r="P169" s="75"/>
      <c r="Q169" s="75"/>
      <c r="R169" s="75"/>
      <c r="S169" s="75"/>
      <c r="T169" s="75"/>
    </row>
    <row r="170" spans="1:20">
      <c r="A170" s="63"/>
      <c r="B170" s="75"/>
      <c r="C170" s="63"/>
      <c r="D170" s="75"/>
      <c r="E170" s="92"/>
      <c r="F170" s="92"/>
      <c r="G170" s="75"/>
      <c r="H170" s="75"/>
      <c r="I170" s="75"/>
      <c r="J170" s="75"/>
      <c r="K170" s="27"/>
      <c r="L170" s="96"/>
      <c r="M170" s="27"/>
      <c r="N170" s="96"/>
      <c r="O170" s="75"/>
      <c r="P170" s="75"/>
      <c r="Q170" s="75"/>
      <c r="R170" s="75"/>
      <c r="S170" s="75"/>
      <c r="T170" s="75"/>
    </row>
    <row r="171" spans="1:20">
      <c r="A171" s="63"/>
      <c r="B171" s="75"/>
      <c r="C171" s="63"/>
      <c r="D171" s="75"/>
      <c r="E171" s="92"/>
      <c r="F171" s="92"/>
      <c r="G171" s="75"/>
      <c r="H171" s="75"/>
      <c r="I171" s="75"/>
      <c r="J171" s="75"/>
      <c r="K171" s="27"/>
      <c r="L171" s="96"/>
      <c r="M171" s="27"/>
      <c r="N171" s="96"/>
      <c r="O171" s="75"/>
      <c r="P171" s="75"/>
      <c r="Q171" s="75"/>
      <c r="R171" s="75"/>
      <c r="S171" s="75"/>
      <c r="T171" s="75"/>
    </row>
    <row r="172" spans="1:20">
      <c r="A172" s="63"/>
      <c r="B172" s="75"/>
      <c r="C172" s="63"/>
      <c r="D172" s="75"/>
      <c r="E172" s="92"/>
      <c r="F172" s="92"/>
      <c r="G172" s="75"/>
      <c r="H172" s="75"/>
      <c r="I172" s="75"/>
      <c r="J172" s="75"/>
      <c r="K172" s="27"/>
      <c r="L172" s="96"/>
      <c r="M172" s="27"/>
      <c r="N172" s="96"/>
      <c r="O172" s="75"/>
      <c r="P172" s="75"/>
      <c r="Q172" s="75"/>
      <c r="R172" s="75"/>
      <c r="S172" s="75"/>
      <c r="T172" s="75"/>
    </row>
    <row r="173" spans="1:20">
      <c r="A173" s="63"/>
      <c r="B173" s="75"/>
      <c r="C173" s="63"/>
      <c r="D173" s="75"/>
      <c r="E173" s="92"/>
      <c r="F173" s="92"/>
      <c r="G173" s="75"/>
      <c r="H173" s="75"/>
      <c r="I173" s="75"/>
      <c r="J173" s="75"/>
      <c r="K173" s="27"/>
      <c r="L173" s="96"/>
      <c r="M173" s="27"/>
      <c r="N173" s="96"/>
      <c r="O173" s="75"/>
      <c r="P173" s="75"/>
      <c r="Q173" s="75"/>
      <c r="R173" s="75"/>
      <c r="S173" s="75"/>
      <c r="T173" s="75"/>
    </row>
    <row r="174" spans="1:20">
      <c r="A174" s="63"/>
      <c r="B174" s="75"/>
      <c r="C174" s="63"/>
      <c r="D174" s="75"/>
      <c r="E174" s="92"/>
      <c r="F174" s="92"/>
      <c r="G174" s="75"/>
      <c r="H174" s="75"/>
      <c r="I174" s="75"/>
      <c r="J174" s="75"/>
      <c r="K174" s="27"/>
      <c r="L174" s="96"/>
      <c r="M174" s="27"/>
      <c r="N174" s="96"/>
      <c r="O174" s="75"/>
      <c r="P174" s="75"/>
      <c r="Q174" s="75"/>
      <c r="R174" s="75"/>
      <c r="S174" s="75"/>
      <c r="T174" s="75"/>
    </row>
    <row r="175" spans="1:20">
      <c r="A175" s="63"/>
      <c r="B175" s="75"/>
      <c r="C175" s="63"/>
      <c r="D175" s="75"/>
      <c r="E175" s="92"/>
      <c r="F175" s="92"/>
      <c r="G175" s="75"/>
      <c r="H175" s="75"/>
      <c r="I175" s="75"/>
      <c r="J175" s="75"/>
      <c r="K175" s="27"/>
      <c r="L175" s="96"/>
      <c r="M175" s="27"/>
      <c r="N175" s="96"/>
      <c r="O175" s="75"/>
      <c r="P175" s="75"/>
      <c r="Q175" s="75"/>
      <c r="R175" s="75"/>
      <c r="S175" s="75"/>
      <c r="T175" s="75"/>
    </row>
    <row r="176" spans="1:20">
      <c r="A176" s="63"/>
      <c r="B176" s="75"/>
      <c r="C176" s="63"/>
      <c r="D176" s="75"/>
      <c r="E176" s="92"/>
      <c r="F176" s="92"/>
      <c r="G176" s="75"/>
      <c r="H176" s="75"/>
      <c r="I176" s="75"/>
      <c r="J176" s="75"/>
      <c r="K176" s="27"/>
      <c r="L176" s="96"/>
      <c r="M176" s="27"/>
      <c r="N176" s="96"/>
      <c r="O176" s="75"/>
      <c r="P176" s="75"/>
      <c r="Q176" s="75"/>
      <c r="R176" s="75"/>
      <c r="S176" s="75"/>
      <c r="T176" s="75"/>
    </row>
    <row r="177" spans="1:20">
      <c r="A177" s="63"/>
      <c r="B177" s="75"/>
      <c r="C177" s="63"/>
      <c r="D177" s="75"/>
      <c r="E177" s="92"/>
      <c r="F177" s="92"/>
      <c r="G177" s="75"/>
      <c r="H177" s="75"/>
      <c r="I177" s="75"/>
      <c r="J177" s="75"/>
      <c r="K177" s="27"/>
      <c r="L177" s="96"/>
      <c r="M177" s="27"/>
      <c r="N177" s="96"/>
      <c r="O177" s="75"/>
      <c r="P177" s="75"/>
      <c r="Q177" s="75"/>
      <c r="R177" s="75"/>
      <c r="S177" s="75"/>
      <c r="T177" s="75"/>
    </row>
    <row r="178" spans="1:20">
      <c r="A178" s="63"/>
      <c r="B178" s="75"/>
      <c r="C178" s="63"/>
      <c r="D178" s="75"/>
      <c r="E178" s="92"/>
      <c r="F178" s="92"/>
      <c r="G178" s="75"/>
      <c r="H178" s="75"/>
      <c r="I178" s="75"/>
      <c r="J178" s="75"/>
      <c r="K178" s="27"/>
      <c r="L178" s="96"/>
      <c r="M178" s="27"/>
      <c r="N178" s="96"/>
      <c r="O178" s="75"/>
      <c r="P178" s="75"/>
      <c r="Q178" s="75"/>
      <c r="R178" s="75"/>
      <c r="S178" s="75"/>
      <c r="T178" s="75"/>
    </row>
    <row r="179" spans="1:20">
      <c r="A179" s="63"/>
      <c r="B179" s="75"/>
      <c r="C179" s="63"/>
      <c r="D179" s="75"/>
      <c r="E179" s="92"/>
      <c r="F179" s="92"/>
      <c r="G179" s="75"/>
      <c r="H179" s="75"/>
      <c r="I179" s="75"/>
      <c r="J179" s="75"/>
      <c r="K179" s="27"/>
      <c r="L179" s="96"/>
      <c r="M179" s="27"/>
      <c r="N179" s="96"/>
      <c r="O179" s="75"/>
      <c r="P179" s="75"/>
      <c r="Q179" s="75"/>
      <c r="R179" s="75"/>
      <c r="S179" s="75"/>
      <c r="T179" s="75"/>
    </row>
    <row r="180" spans="1:20">
      <c r="A180" s="63"/>
      <c r="B180" s="75"/>
      <c r="C180" s="63"/>
      <c r="D180" s="75"/>
      <c r="E180" s="92"/>
      <c r="F180" s="92"/>
      <c r="G180" s="75"/>
      <c r="H180" s="75"/>
      <c r="I180" s="75"/>
      <c r="J180" s="75"/>
      <c r="K180" s="27"/>
      <c r="L180" s="96"/>
      <c r="M180" s="27"/>
      <c r="N180" s="96"/>
      <c r="O180" s="75"/>
      <c r="P180" s="75"/>
      <c r="Q180" s="75"/>
      <c r="R180" s="75"/>
      <c r="S180" s="75"/>
      <c r="T180" s="75"/>
    </row>
    <row r="181" spans="1:20">
      <c r="A181" s="63"/>
      <c r="B181" s="75"/>
      <c r="C181" s="63"/>
      <c r="D181" s="75"/>
      <c r="E181" s="92"/>
      <c r="F181" s="92"/>
      <c r="G181" s="75"/>
      <c r="H181" s="75"/>
      <c r="I181" s="75"/>
      <c r="J181" s="75"/>
      <c r="K181" s="27"/>
      <c r="L181" s="96"/>
      <c r="M181" s="27"/>
      <c r="N181" s="96"/>
      <c r="O181" s="75"/>
      <c r="P181" s="75"/>
      <c r="Q181" s="75"/>
      <c r="R181" s="75"/>
      <c r="S181" s="75"/>
      <c r="T181" s="75"/>
    </row>
    <row r="182" spans="1:20">
      <c r="A182" s="63"/>
      <c r="B182" s="75"/>
      <c r="C182" s="63"/>
      <c r="D182" s="75"/>
      <c r="E182" s="92"/>
      <c r="F182" s="92"/>
      <c r="G182" s="75"/>
      <c r="H182" s="75"/>
      <c r="I182" s="75"/>
      <c r="J182" s="75"/>
      <c r="K182" s="27"/>
      <c r="L182" s="96"/>
      <c r="M182" s="27"/>
      <c r="N182" s="96"/>
      <c r="O182" s="75"/>
      <c r="P182" s="75"/>
      <c r="Q182" s="75"/>
      <c r="R182" s="75"/>
      <c r="S182" s="75"/>
      <c r="T182" s="75"/>
    </row>
    <row r="183" spans="1:20">
      <c r="A183" s="63"/>
      <c r="B183" s="75"/>
      <c r="C183" s="63"/>
      <c r="D183" s="75"/>
      <c r="E183" s="92"/>
      <c r="F183" s="92"/>
      <c r="G183" s="75"/>
      <c r="H183" s="75"/>
      <c r="I183" s="75"/>
      <c r="J183" s="75"/>
      <c r="K183" s="27"/>
      <c r="L183" s="96"/>
      <c r="M183" s="27"/>
      <c r="N183" s="96"/>
      <c r="O183" s="75"/>
      <c r="P183" s="75"/>
      <c r="Q183" s="75"/>
      <c r="R183" s="75"/>
      <c r="S183" s="75"/>
      <c r="T183" s="75"/>
    </row>
    <row r="184" spans="1:20">
      <c r="A184" s="63"/>
      <c r="B184" s="75"/>
      <c r="C184" s="63"/>
      <c r="D184" s="75"/>
      <c r="E184" s="92"/>
      <c r="F184" s="92"/>
      <c r="G184" s="75"/>
      <c r="H184" s="75"/>
      <c r="I184" s="75"/>
      <c r="J184" s="75"/>
      <c r="K184" s="27"/>
      <c r="L184" s="96"/>
      <c r="M184" s="27"/>
      <c r="N184" s="96"/>
      <c r="O184" s="75"/>
      <c r="P184" s="75"/>
      <c r="Q184" s="75"/>
      <c r="R184" s="75"/>
      <c r="S184" s="75"/>
      <c r="T184" s="75"/>
    </row>
    <row r="185" spans="1:20">
      <c r="A185" s="63"/>
      <c r="B185" s="75"/>
      <c r="C185" s="63"/>
      <c r="D185" s="75"/>
      <c r="E185" s="92"/>
      <c r="F185" s="92"/>
      <c r="G185" s="75"/>
      <c r="H185" s="75"/>
      <c r="I185" s="75"/>
      <c r="J185" s="75"/>
      <c r="K185" s="27"/>
      <c r="L185" s="96"/>
      <c r="M185" s="27"/>
      <c r="N185" s="96"/>
      <c r="O185" s="75"/>
      <c r="P185" s="75"/>
      <c r="Q185" s="75"/>
      <c r="R185" s="75"/>
      <c r="S185" s="75"/>
      <c r="T185" s="75"/>
    </row>
    <row r="186" spans="1:20">
      <c r="A186" s="63"/>
      <c r="B186" s="75"/>
      <c r="C186" s="63"/>
      <c r="D186" s="75"/>
      <c r="E186" s="92"/>
      <c r="F186" s="92"/>
      <c r="G186" s="75"/>
      <c r="H186" s="75"/>
      <c r="I186" s="75"/>
      <c r="J186" s="75"/>
      <c r="K186" s="27"/>
      <c r="L186" s="96"/>
      <c r="M186" s="27"/>
      <c r="N186" s="96"/>
      <c r="O186" s="75"/>
      <c r="P186" s="75"/>
      <c r="Q186" s="75"/>
      <c r="R186" s="75"/>
      <c r="S186" s="75"/>
      <c r="T186" s="75"/>
    </row>
    <row r="187" spans="1:20">
      <c r="A187" s="63"/>
      <c r="B187" s="75"/>
      <c r="C187" s="63"/>
      <c r="D187" s="75"/>
      <c r="E187" s="92"/>
      <c r="F187" s="92"/>
      <c r="G187" s="75"/>
      <c r="H187" s="75"/>
      <c r="I187" s="75"/>
      <c r="J187" s="75"/>
      <c r="K187" s="27"/>
      <c r="L187" s="96"/>
      <c r="M187" s="27"/>
      <c r="N187" s="96"/>
      <c r="O187" s="75"/>
      <c r="P187" s="75"/>
      <c r="Q187" s="75"/>
      <c r="R187" s="75"/>
      <c r="S187" s="75"/>
      <c r="T187" s="75"/>
    </row>
    <row r="188" spans="1:20">
      <c r="A188" s="63"/>
      <c r="B188" s="75"/>
      <c r="C188" s="63"/>
      <c r="D188" s="75"/>
      <c r="E188" s="92"/>
      <c r="F188" s="92"/>
      <c r="G188" s="75"/>
      <c r="H188" s="75"/>
      <c r="I188" s="75"/>
      <c r="J188" s="75"/>
      <c r="K188" s="27"/>
      <c r="L188" s="96"/>
      <c r="M188" s="27"/>
      <c r="N188" s="96"/>
      <c r="O188" s="75"/>
      <c r="P188" s="75"/>
      <c r="Q188" s="75"/>
      <c r="R188" s="75"/>
      <c r="S188" s="75"/>
      <c r="T188" s="75"/>
    </row>
    <row r="189" spans="1:20">
      <c r="A189" s="63"/>
      <c r="B189" s="75"/>
      <c r="C189" s="63"/>
      <c r="D189" s="75"/>
      <c r="E189" s="92"/>
      <c r="F189" s="92"/>
      <c r="G189" s="75"/>
      <c r="H189" s="75"/>
      <c r="I189" s="75"/>
      <c r="J189" s="75"/>
      <c r="K189" s="27"/>
      <c r="L189" s="96"/>
      <c r="M189" s="27"/>
      <c r="N189" s="96"/>
      <c r="O189" s="75"/>
      <c r="P189" s="75"/>
      <c r="Q189" s="75"/>
      <c r="R189" s="75"/>
      <c r="S189" s="75"/>
      <c r="T189" s="75"/>
    </row>
    <row r="190" spans="1:20">
      <c r="A190" s="63"/>
      <c r="B190" s="75"/>
      <c r="C190" s="63"/>
      <c r="D190" s="75"/>
      <c r="E190" s="92"/>
      <c r="F190" s="92"/>
      <c r="G190" s="75"/>
      <c r="H190" s="75"/>
      <c r="I190" s="75"/>
      <c r="J190" s="75"/>
      <c r="K190" s="27"/>
      <c r="L190" s="96"/>
      <c r="M190" s="27"/>
      <c r="N190" s="96"/>
      <c r="O190" s="75"/>
      <c r="P190" s="75"/>
      <c r="Q190" s="75"/>
      <c r="R190" s="75"/>
      <c r="S190" s="75"/>
      <c r="T190" s="75"/>
    </row>
    <row r="191" spans="1:20">
      <c r="A191" s="63"/>
      <c r="B191" s="75"/>
      <c r="C191" s="63"/>
      <c r="D191" s="75"/>
      <c r="E191" s="92"/>
      <c r="F191" s="92"/>
      <c r="G191" s="75"/>
      <c r="H191" s="75"/>
      <c r="I191" s="75"/>
      <c r="J191" s="75"/>
      <c r="K191" s="27"/>
      <c r="L191" s="96"/>
      <c r="M191" s="27"/>
      <c r="N191" s="96"/>
      <c r="O191" s="75"/>
      <c r="P191" s="75"/>
      <c r="Q191" s="75"/>
      <c r="R191" s="75"/>
      <c r="S191" s="75"/>
      <c r="T191" s="75"/>
    </row>
    <row r="192" spans="1:20">
      <c r="A192" s="63"/>
      <c r="B192" s="75"/>
      <c r="C192" s="63"/>
      <c r="D192" s="75"/>
      <c r="E192" s="92"/>
      <c r="F192" s="92"/>
      <c r="G192" s="75"/>
      <c r="H192" s="75"/>
      <c r="I192" s="75"/>
      <c r="J192" s="75"/>
      <c r="K192" s="27"/>
      <c r="L192" s="96"/>
      <c r="M192" s="27"/>
      <c r="N192" s="96"/>
      <c r="O192" s="75"/>
      <c r="P192" s="75"/>
      <c r="Q192" s="75"/>
      <c r="R192" s="75"/>
      <c r="S192" s="75"/>
      <c r="T192" s="75"/>
    </row>
    <row r="193" spans="1:20">
      <c r="A193" s="63"/>
      <c r="B193" s="75"/>
      <c r="C193" s="63"/>
      <c r="D193" s="75"/>
      <c r="E193" s="92"/>
      <c r="F193" s="92"/>
      <c r="G193" s="75"/>
      <c r="H193" s="75"/>
      <c r="I193" s="75"/>
      <c r="J193" s="75"/>
      <c r="K193" s="27"/>
      <c r="L193" s="96"/>
      <c r="M193" s="27"/>
      <c r="N193" s="96"/>
      <c r="O193" s="75"/>
      <c r="P193" s="75"/>
      <c r="Q193" s="75"/>
      <c r="R193" s="75"/>
      <c r="S193" s="75"/>
      <c r="T193" s="75"/>
    </row>
    <row r="194" spans="1:20">
      <c r="A194" s="63"/>
      <c r="B194" s="75"/>
      <c r="C194" s="63"/>
      <c r="D194" s="75"/>
      <c r="E194" s="92"/>
      <c r="F194" s="92"/>
      <c r="G194" s="75"/>
      <c r="H194" s="75"/>
      <c r="I194" s="75"/>
      <c r="J194" s="75"/>
      <c r="K194" s="27"/>
      <c r="L194" s="96"/>
      <c r="M194" s="27"/>
      <c r="N194" s="96"/>
      <c r="O194" s="75"/>
      <c r="P194" s="75"/>
      <c r="Q194" s="75"/>
      <c r="R194" s="75"/>
      <c r="S194" s="75"/>
      <c r="T194" s="75"/>
    </row>
    <row r="195" spans="1:20">
      <c r="A195" s="63"/>
      <c r="B195" s="75"/>
      <c r="C195" s="63"/>
      <c r="D195" s="75"/>
      <c r="E195" s="92"/>
      <c r="F195" s="92"/>
      <c r="G195" s="75"/>
      <c r="H195" s="75"/>
      <c r="I195" s="75"/>
      <c r="J195" s="75"/>
      <c r="K195" s="27"/>
      <c r="L195" s="96"/>
      <c r="M195" s="27"/>
      <c r="N195" s="96"/>
      <c r="O195" s="75"/>
      <c r="P195" s="75"/>
      <c r="Q195" s="75"/>
      <c r="R195" s="75"/>
      <c r="S195" s="75"/>
      <c r="T195" s="75"/>
    </row>
    <row r="196" spans="1:20">
      <c r="A196" s="63"/>
      <c r="B196" s="75"/>
      <c r="C196" s="63"/>
      <c r="D196" s="75"/>
      <c r="E196" s="92"/>
      <c r="F196" s="92"/>
      <c r="G196" s="75"/>
      <c r="H196" s="75"/>
      <c r="I196" s="75"/>
      <c r="J196" s="75"/>
      <c r="K196" s="27"/>
      <c r="L196" s="96"/>
      <c r="M196" s="27"/>
      <c r="N196" s="96"/>
      <c r="O196" s="75"/>
      <c r="P196" s="75"/>
      <c r="Q196" s="75"/>
      <c r="R196" s="75"/>
      <c r="S196" s="75"/>
      <c r="T196" s="75"/>
    </row>
    <row r="197" spans="1:20">
      <c r="A197" s="63"/>
      <c r="B197" s="75"/>
      <c r="C197" s="63"/>
      <c r="D197" s="75"/>
      <c r="E197" s="92"/>
      <c r="F197" s="92"/>
      <c r="G197" s="75"/>
      <c r="H197" s="75"/>
      <c r="I197" s="75"/>
      <c r="J197" s="75"/>
      <c r="K197" s="27"/>
      <c r="L197" s="96"/>
      <c r="M197" s="27"/>
      <c r="N197" s="96"/>
      <c r="O197" s="75"/>
      <c r="P197" s="75"/>
      <c r="Q197" s="75"/>
      <c r="R197" s="75"/>
      <c r="S197" s="75"/>
      <c r="T197" s="75"/>
    </row>
    <row r="198" spans="1:20">
      <c r="A198" s="63"/>
      <c r="B198" s="75"/>
      <c r="C198" s="63"/>
      <c r="D198" s="75"/>
      <c r="E198" s="92"/>
      <c r="F198" s="92"/>
      <c r="G198" s="75"/>
      <c r="H198" s="75"/>
      <c r="I198" s="75"/>
      <c r="J198" s="75"/>
      <c r="K198" s="27"/>
      <c r="L198" s="96"/>
      <c r="M198" s="27"/>
      <c r="N198" s="96"/>
      <c r="O198" s="75"/>
      <c r="P198" s="75"/>
      <c r="Q198" s="75"/>
      <c r="R198" s="75"/>
      <c r="S198" s="75"/>
      <c r="T198" s="75"/>
    </row>
    <row r="199" spans="1:20">
      <c r="A199" s="63"/>
      <c r="B199" s="75"/>
      <c r="C199" s="63"/>
      <c r="D199" s="75"/>
      <c r="E199" s="92"/>
      <c r="F199" s="92"/>
      <c r="G199" s="75"/>
      <c r="H199" s="75"/>
      <c r="I199" s="75"/>
      <c r="J199" s="75"/>
      <c r="K199" s="27"/>
      <c r="L199" s="96"/>
      <c r="M199" s="27"/>
      <c r="N199" s="96"/>
      <c r="O199" s="75"/>
      <c r="P199" s="75"/>
      <c r="Q199" s="75"/>
      <c r="R199" s="75"/>
      <c r="S199" s="75"/>
      <c r="T199" s="75"/>
    </row>
    <row r="200" spans="1:20">
      <c r="A200" s="63"/>
      <c r="B200" s="75"/>
      <c r="C200" s="63"/>
      <c r="D200" s="75"/>
      <c r="E200" s="92"/>
      <c r="F200" s="92"/>
      <c r="G200" s="75"/>
      <c r="H200" s="75"/>
      <c r="I200" s="75"/>
      <c r="J200" s="75"/>
      <c r="K200" s="27"/>
      <c r="L200" s="96"/>
      <c r="M200" s="27"/>
      <c r="N200" s="96"/>
      <c r="O200" s="75"/>
      <c r="P200" s="75"/>
      <c r="Q200" s="75"/>
      <c r="R200" s="75"/>
      <c r="S200" s="75"/>
      <c r="T200" s="75"/>
    </row>
    <row r="201" spans="1:20">
      <c r="A201" s="63"/>
      <c r="B201" s="75"/>
      <c r="C201" s="63"/>
      <c r="D201" s="75"/>
      <c r="E201" s="92"/>
      <c r="F201" s="92"/>
      <c r="G201" s="75"/>
      <c r="H201" s="75"/>
      <c r="I201" s="75"/>
      <c r="J201" s="75"/>
      <c r="K201" s="27"/>
      <c r="L201" s="96"/>
      <c r="M201" s="27"/>
      <c r="N201" s="96"/>
      <c r="O201" s="75"/>
      <c r="P201" s="75"/>
      <c r="Q201" s="75"/>
      <c r="R201" s="75"/>
      <c r="S201" s="75"/>
      <c r="T201" s="75"/>
    </row>
    <row r="202" spans="1:20">
      <c r="A202" s="63"/>
      <c r="B202" s="75"/>
      <c r="C202" s="63"/>
      <c r="D202" s="75"/>
      <c r="E202" s="92"/>
      <c r="F202" s="92"/>
      <c r="G202" s="75"/>
      <c r="H202" s="75"/>
      <c r="I202" s="75"/>
      <c r="J202" s="75"/>
      <c r="K202" s="27"/>
      <c r="L202" s="96"/>
      <c r="M202" s="27"/>
      <c r="N202" s="96"/>
      <c r="O202" s="75"/>
      <c r="P202" s="75"/>
      <c r="Q202" s="75"/>
      <c r="R202" s="75"/>
      <c r="S202" s="75"/>
      <c r="T202" s="75"/>
    </row>
    <row r="203" spans="1:20">
      <c r="A203" s="63"/>
      <c r="B203" s="75"/>
      <c r="C203" s="63"/>
      <c r="D203" s="75"/>
      <c r="E203" s="92"/>
      <c r="F203" s="92"/>
      <c r="G203" s="75"/>
      <c r="H203" s="75"/>
      <c r="I203" s="75"/>
      <c r="J203" s="75"/>
      <c r="K203" s="27"/>
      <c r="L203" s="96"/>
      <c r="M203" s="27"/>
      <c r="N203" s="96"/>
      <c r="O203" s="75"/>
      <c r="P203" s="75"/>
      <c r="Q203" s="75"/>
      <c r="R203" s="75"/>
      <c r="S203" s="75"/>
      <c r="T203" s="75"/>
    </row>
    <row r="204" spans="1:20">
      <c r="A204" s="63"/>
      <c r="B204" s="75"/>
      <c r="C204" s="63"/>
      <c r="D204" s="75"/>
      <c r="E204" s="92"/>
      <c r="F204" s="92"/>
      <c r="G204" s="75"/>
      <c r="H204" s="75"/>
      <c r="I204" s="75"/>
      <c r="J204" s="75"/>
      <c r="K204" s="27"/>
      <c r="L204" s="96"/>
      <c r="M204" s="27"/>
      <c r="N204" s="96"/>
      <c r="O204" s="75"/>
      <c r="P204" s="75"/>
      <c r="Q204" s="75"/>
      <c r="R204" s="75"/>
      <c r="S204" s="75"/>
      <c r="T204" s="75"/>
    </row>
    <row r="205" spans="1:20">
      <c r="A205" s="63"/>
      <c r="B205" s="75"/>
      <c r="C205" s="63"/>
      <c r="D205" s="75"/>
      <c r="E205" s="92"/>
      <c r="F205" s="92"/>
      <c r="G205" s="75"/>
      <c r="H205" s="75"/>
      <c r="I205" s="75"/>
      <c r="J205" s="75"/>
      <c r="K205" s="27"/>
      <c r="L205" s="96"/>
      <c r="M205" s="27"/>
      <c r="N205" s="96"/>
      <c r="O205" s="75"/>
      <c r="P205" s="75"/>
      <c r="Q205" s="75"/>
      <c r="R205" s="75"/>
      <c r="S205" s="75"/>
      <c r="T205" s="75"/>
    </row>
    <row r="206" spans="1:20">
      <c r="A206" s="63"/>
      <c r="B206" s="75"/>
      <c r="C206" s="63"/>
      <c r="D206" s="75"/>
      <c r="E206" s="92"/>
      <c r="F206" s="92"/>
      <c r="G206" s="75"/>
      <c r="H206" s="75"/>
      <c r="I206" s="75"/>
      <c r="J206" s="75"/>
      <c r="K206" s="27"/>
      <c r="L206" s="96"/>
      <c r="M206" s="27"/>
      <c r="N206" s="96"/>
      <c r="O206" s="75"/>
      <c r="P206" s="75"/>
      <c r="Q206" s="75"/>
      <c r="R206" s="75"/>
      <c r="S206" s="75"/>
      <c r="T206" s="75"/>
    </row>
    <row r="207" spans="1:20">
      <c r="A207" s="63"/>
      <c r="B207" s="75"/>
      <c r="C207" s="63"/>
      <c r="D207" s="75"/>
      <c r="E207" s="92"/>
      <c r="F207" s="92"/>
      <c r="G207" s="75"/>
      <c r="H207" s="75"/>
      <c r="I207" s="75"/>
      <c r="J207" s="75"/>
      <c r="K207" s="27"/>
      <c r="L207" s="96"/>
      <c r="M207" s="27"/>
      <c r="N207" s="96"/>
      <c r="O207" s="75"/>
      <c r="P207" s="75"/>
      <c r="Q207" s="75"/>
      <c r="R207" s="75"/>
      <c r="S207" s="75"/>
      <c r="T207" s="75"/>
    </row>
    <row r="208" spans="1:20">
      <c r="A208" s="63"/>
      <c r="B208" s="75"/>
      <c r="C208" s="63"/>
      <c r="D208" s="75"/>
      <c r="E208" s="92"/>
      <c r="F208" s="92"/>
      <c r="G208" s="75"/>
      <c r="H208" s="75"/>
      <c r="I208" s="75"/>
      <c r="J208" s="75"/>
      <c r="K208" s="27"/>
      <c r="L208" s="96"/>
      <c r="M208" s="27"/>
      <c r="N208" s="96"/>
      <c r="O208" s="75"/>
      <c r="P208" s="75"/>
      <c r="Q208" s="75"/>
      <c r="R208" s="75"/>
      <c r="S208" s="75"/>
      <c r="T208" s="75"/>
    </row>
    <row r="209" spans="1:20">
      <c r="A209" s="63"/>
      <c r="B209" s="75"/>
      <c r="C209" s="63"/>
      <c r="D209" s="75"/>
      <c r="E209" s="92"/>
      <c r="F209" s="92"/>
      <c r="G209" s="75"/>
      <c r="H209" s="75"/>
      <c r="I209" s="75"/>
      <c r="J209" s="75"/>
      <c r="K209" s="27"/>
      <c r="L209" s="96"/>
      <c r="M209" s="27"/>
      <c r="N209" s="96"/>
      <c r="O209" s="75"/>
      <c r="P209" s="75"/>
      <c r="Q209" s="75"/>
      <c r="R209" s="75"/>
      <c r="S209" s="75"/>
      <c r="T209" s="75"/>
    </row>
    <row r="210" spans="1:20">
      <c r="A210" s="63"/>
      <c r="B210" s="75"/>
      <c r="C210" s="63"/>
      <c r="D210" s="75"/>
      <c r="E210" s="92"/>
      <c r="F210" s="92"/>
      <c r="G210" s="75"/>
      <c r="H210" s="75"/>
      <c r="I210" s="75"/>
      <c r="J210" s="75"/>
      <c r="K210" s="27"/>
      <c r="L210" s="96"/>
      <c r="M210" s="27"/>
      <c r="N210" s="96"/>
      <c r="O210" s="75"/>
      <c r="P210" s="75"/>
      <c r="Q210" s="75"/>
      <c r="R210" s="75"/>
      <c r="S210" s="75"/>
      <c r="T210" s="75"/>
    </row>
    <row r="211" spans="1:20">
      <c r="A211" s="63"/>
      <c r="B211" s="75"/>
      <c r="C211" s="63"/>
      <c r="D211" s="75"/>
      <c r="E211" s="92"/>
      <c r="F211" s="92"/>
      <c r="G211" s="75"/>
      <c r="H211" s="75"/>
      <c r="I211" s="75"/>
      <c r="J211" s="75"/>
      <c r="K211" s="27"/>
      <c r="L211" s="96"/>
      <c r="M211" s="27"/>
      <c r="N211" s="96"/>
      <c r="O211" s="75"/>
      <c r="P211" s="75"/>
      <c r="Q211" s="75"/>
      <c r="R211" s="75"/>
      <c r="S211" s="75"/>
      <c r="T211" s="75"/>
    </row>
    <row r="212" spans="1:20">
      <c r="A212" s="63"/>
      <c r="B212" s="75"/>
      <c r="C212" s="63"/>
      <c r="D212" s="75"/>
      <c r="E212" s="92"/>
      <c r="F212" s="92"/>
      <c r="G212" s="75"/>
      <c r="H212" s="75"/>
      <c r="I212" s="75"/>
      <c r="J212" s="75"/>
      <c r="K212" s="27"/>
      <c r="L212" s="96"/>
      <c r="M212" s="27"/>
      <c r="N212" s="96"/>
      <c r="O212" s="75"/>
      <c r="P212" s="75"/>
      <c r="Q212" s="75"/>
      <c r="R212" s="75"/>
      <c r="S212" s="75"/>
      <c r="T212" s="75"/>
    </row>
    <row r="213" spans="1:20">
      <c r="A213" s="63"/>
      <c r="B213" s="75"/>
      <c r="C213" s="63"/>
      <c r="D213" s="75"/>
      <c r="E213" s="92"/>
      <c r="F213" s="92"/>
      <c r="G213" s="75"/>
      <c r="H213" s="75"/>
      <c r="I213" s="75"/>
      <c r="J213" s="75"/>
      <c r="K213" s="27"/>
      <c r="L213" s="96"/>
      <c r="M213" s="27"/>
      <c r="N213" s="96"/>
      <c r="O213" s="75"/>
      <c r="P213" s="75"/>
      <c r="Q213" s="75"/>
      <c r="R213" s="75"/>
      <c r="S213" s="75"/>
      <c r="T213" s="75"/>
    </row>
    <row r="214" spans="1:20">
      <c r="A214" s="63"/>
      <c r="B214" s="75"/>
      <c r="C214" s="63"/>
      <c r="D214" s="75"/>
      <c r="E214" s="92"/>
      <c r="F214" s="92"/>
      <c r="G214" s="75"/>
      <c r="H214" s="75"/>
      <c r="I214" s="75"/>
      <c r="J214" s="75"/>
      <c r="K214" s="27"/>
      <c r="L214" s="96"/>
      <c r="M214" s="27"/>
      <c r="N214" s="96"/>
      <c r="O214" s="75"/>
      <c r="P214" s="75"/>
      <c r="Q214" s="75"/>
      <c r="R214" s="75"/>
      <c r="S214" s="75"/>
      <c r="T214" s="75"/>
    </row>
    <row r="215" spans="1:20">
      <c r="A215" s="63"/>
      <c r="B215" s="75"/>
      <c r="C215" s="63"/>
      <c r="D215" s="75"/>
      <c r="E215" s="92"/>
      <c r="F215" s="92"/>
      <c r="G215" s="75"/>
      <c r="H215" s="75"/>
      <c r="I215" s="75"/>
      <c r="J215" s="75"/>
      <c r="K215" s="27"/>
      <c r="L215" s="96"/>
      <c r="M215" s="27"/>
      <c r="N215" s="96"/>
      <c r="O215" s="75"/>
      <c r="P215" s="75"/>
      <c r="Q215" s="75"/>
      <c r="R215" s="75"/>
      <c r="S215" s="75"/>
      <c r="T215" s="75"/>
    </row>
    <row r="216" spans="1:20">
      <c r="A216" s="63"/>
      <c r="B216" s="75"/>
      <c r="C216" s="63"/>
      <c r="D216" s="75"/>
      <c r="E216" s="92"/>
      <c r="F216" s="92"/>
      <c r="G216" s="75"/>
      <c r="H216" s="75"/>
      <c r="I216" s="75"/>
      <c r="J216" s="75"/>
      <c r="K216" s="27"/>
      <c r="L216" s="96"/>
      <c r="M216" s="27"/>
      <c r="N216" s="96"/>
      <c r="O216" s="75"/>
      <c r="P216" s="75"/>
      <c r="Q216" s="75"/>
      <c r="R216" s="75"/>
      <c r="S216" s="75"/>
      <c r="T216" s="75"/>
    </row>
    <row r="217" spans="1:20">
      <c r="A217" s="63"/>
      <c r="B217" s="75"/>
      <c r="C217" s="63"/>
      <c r="D217" s="75"/>
      <c r="E217" s="92"/>
      <c r="F217" s="92"/>
      <c r="G217" s="75"/>
      <c r="H217" s="75"/>
      <c r="I217" s="75"/>
      <c r="J217" s="75"/>
      <c r="K217" s="27"/>
      <c r="L217" s="96"/>
      <c r="M217" s="27"/>
      <c r="N217" s="96"/>
      <c r="O217" s="75"/>
      <c r="P217" s="75"/>
      <c r="Q217" s="75"/>
      <c r="R217" s="75"/>
      <c r="S217" s="75"/>
      <c r="T217" s="75"/>
    </row>
    <row r="218" spans="1:20">
      <c r="A218" s="63"/>
      <c r="B218" s="75"/>
      <c r="C218" s="63"/>
      <c r="D218" s="75"/>
      <c r="E218" s="92"/>
      <c r="F218" s="92"/>
      <c r="G218" s="75"/>
      <c r="H218" s="75"/>
      <c r="I218" s="75"/>
      <c r="J218" s="75"/>
      <c r="K218" s="27"/>
      <c r="L218" s="96"/>
      <c r="M218" s="27"/>
      <c r="N218" s="96"/>
      <c r="O218" s="75"/>
      <c r="P218" s="75"/>
      <c r="Q218" s="75"/>
      <c r="R218" s="75"/>
      <c r="S218" s="75"/>
      <c r="T218" s="75"/>
    </row>
    <row r="219" spans="1:20">
      <c r="A219" s="63"/>
      <c r="B219" s="75"/>
      <c r="C219" s="63"/>
      <c r="D219" s="75"/>
      <c r="E219" s="92"/>
      <c r="F219" s="92"/>
      <c r="G219" s="75"/>
      <c r="H219" s="75"/>
      <c r="I219" s="75"/>
      <c r="J219" s="75"/>
      <c r="K219" s="27"/>
      <c r="L219" s="96"/>
      <c r="M219" s="27"/>
      <c r="N219" s="96"/>
      <c r="O219" s="75"/>
      <c r="P219" s="75"/>
      <c r="Q219" s="75"/>
      <c r="R219" s="75"/>
      <c r="S219" s="75"/>
      <c r="T219" s="75"/>
    </row>
    <row r="220" spans="1:20">
      <c r="A220" s="63"/>
      <c r="B220" s="75"/>
      <c r="C220" s="63"/>
      <c r="D220" s="75"/>
      <c r="E220" s="92"/>
      <c r="F220" s="92"/>
      <c r="G220" s="75"/>
      <c r="H220" s="75"/>
      <c r="I220" s="75"/>
      <c r="J220" s="75"/>
      <c r="K220" s="27"/>
      <c r="L220" s="96"/>
      <c r="M220" s="27"/>
      <c r="N220" s="96"/>
      <c r="O220" s="75"/>
      <c r="P220" s="75"/>
      <c r="Q220" s="75"/>
      <c r="R220" s="75"/>
      <c r="S220" s="75"/>
      <c r="T220" s="75"/>
    </row>
    <row r="221" spans="1:20">
      <c r="A221" s="63"/>
      <c r="B221" s="75"/>
      <c r="C221" s="63"/>
      <c r="D221" s="75"/>
      <c r="E221" s="92"/>
      <c r="F221" s="92"/>
      <c r="G221" s="75"/>
      <c r="H221" s="75"/>
      <c r="I221" s="75"/>
      <c r="J221" s="75"/>
      <c r="K221" s="27"/>
      <c r="L221" s="96"/>
      <c r="M221" s="27"/>
      <c r="N221" s="96"/>
      <c r="O221" s="75"/>
      <c r="P221" s="75"/>
      <c r="Q221" s="75"/>
      <c r="R221" s="75"/>
      <c r="S221" s="75"/>
      <c r="T221" s="75"/>
    </row>
    <row r="222" spans="1:20">
      <c r="A222" s="63"/>
      <c r="B222" s="75"/>
      <c r="C222" s="63"/>
      <c r="D222" s="75"/>
      <c r="E222" s="92"/>
      <c r="F222" s="92"/>
      <c r="G222" s="75"/>
      <c r="H222" s="75"/>
      <c r="I222" s="75"/>
      <c r="J222" s="75"/>
      <c r="K222" s="27"/>
      <c r="L222" s="96"/>
      <c r="M222" s="27"/>
      <c r="N222" s="96"/>
      <c r="O222" s="75"/>
      <c r="P222" s="75"/>
      <c r="Q222" s="75"/>
      <c r="R222" s="75"/>
      <c r="S222" s="75"/>
      <c r="T222" s="75"/>
    </row>
    <row r="223" spans="1:20">
      <c r="A223" s="63"/>
      <c r="B223" s="75"/>
      <c r="C223" s="63"/>
      <c r="D223" s="75"/>
      <c r="E223" s="92"/>
      <c r="F223" s="92"/>
      <c r="G223" s="75"/>
      <c r="H223" s="75"/>
      <c r="I223" s="75"/>
      <c r="J223" s="75"/>
      <c r="K223" s="27"/>
      <c r="L223" s="96"/>
      <c r="M223" s="27"/>
      <c r="N223" s="96"/>
      <c r="O223" s="75"/>
      <c r="P223" s="75"/>
      <c r="Q223" s="75"/>
      <c r="R223" s="75"/>
      <c r="S223" s="75"/>
      <c r="T223" s="75"/>
    </row>
    <row r="224" spans="1:20">
      <c r="A224" s="63"/>
      <c r="B224" s="75"/>
      <c r="C224" s="63"/>
      <c r="D224" s="75"/>
      <c r="E224" s="92"/>
      <c r="F224" s="92"/>
      <c r="G224" s="75"/>
      <c r="H224" s="75"/>
      <c r="I224" s="75"/>
      <c r="J224" s="75"/>
      <c r="K224" s="27"/>
      <c r="L224" s="96"/>
      <c r="M224" s="27"/>
      <c r="N224" s="96"/>
      <c r="O224" s="75"/>
      <c r="P224" s="75"/>
      <c r="Q224" s="75"/>
      <c r="R224" s="75"/>
      <c r="S224" s="75"/>
      <c r="T224" s="75"/>
    </row>
    <row r="225" spans="1:20">
      <c r="A225" s="63"/>
      <c r="B225" s="75"/>
      <c r="C225" s="63"/>
      <c r="D225" s="75"/>
      <c r="E225" s="92"/>
      <c r="F225" s="92"/>
      <c r="G225" s="75"/>
      <c r="H225" s="75"/>
      <c r="I225" s="75"/>
      <c r="J225" s="75"/>
      <c r="K225" s="27"/>
      <c r="L225" s="96"/>
      <c r="M225" s="27"/>
      <c r="N225" s="96"/>
      <c r="O225" s="75"/>
      <c r="P225" s="75"/>
      <c r="Q225" s="75"/>
      <c r="R225" s="75"/>
      <c r="S225" s="75"/>
      <c r="T225" s="75"/>
    </row>
    <row r="226" spans="1:20">
      <c r="A226" s="63"/>
      <c r="B226" s="75"/>
      <c r="C226" s="63"/>
      <c r="D226" s="75"/>
      <c r="E226" s="92"/>
      <c r="F226" s="92"/>
      <c r="G226" s="75"/>
      <c r="H226" s="75"/>
      <c r="I226" s="75"/>
      <c r="J226" s="75"/>
      <c r="K226" s="27"/>
      <c r="L226" s="96"/>
      <c r="M226" s="27"/>
      <c r="N226" s="96"/>
      <c r="O226" s="75"/>
      <c r="P226" s="75"/>
      <c r="Q226" s="75"/>
      <c r="R226" s="75"/>
      <c r="S226" s="75"/>
      <c r="T226" s="75"/>
    </row>
    <row r="227" spans="1:20">
      <c r="A227" s="63"/>
      <c r="B227" s="75"/>
      <c r="C227" s="63"/>
      <c r="D227" s="75"/>
      <c r="E227" s="92"/>
      <c r="F227" s="92"/>
      <c r="G227" s="75"/>
      <c r="H227" s="75"/>
      <c r="I227" s="75"/>
      <c r="J227" s="75"/>
      <c r="K227" s="27"/>
      <c r="L227" s="96"/>
      <c r="M227" s="27"/>
      <c r="N227" s="96"/>
      <c r="O227" s="75"/>
      <c r="P227" s="75"/>
      <c r="Q227" s="75"/>
      <c r="R227" s="75"/>
      <c r="S227" s="75"/>
      <c r="T227" s="75"/>
    </row>
    <row r="228" spans="1:20">
      <c r="A228" s="63"/>
      <c r="B228" s="75"/>
      <c r="C228" s="63"/>
      <c r="D228" s="75"/>
      <c r="E228" s="92"/>
      <c r="F228" s="92"/>
      <c r="G228" s="75"/>
      <c r="H228" s="75"/>
      <c r="I228" s="75"/>
      <c r="J228" s="75"/>
      <c r="K228" s="27"/>
      <c r="L228" s="96"/>
      <c r="M228" s="27"/>
      <c r="N228" s="96"/>
      <c r="O228" s="75"/>
      <c r="P228" s="75"/>
      <c r="Q228" s="75"/>
      <c r="R228" s="75"/>
      <c r="S228" s="75"/>
      <c r="T228" s="75"/>
    </row>
    <row r="229" spans="1:20">
      <c r="A229" s="63"/>
      <c r="B229" s="75"/>
      <c r="C229" s="63"/>
      <c r="D229" s="75"/>
      <c r="E229" s="92"/>
      <c r="F229" s="92"/>
      <c r="G229" s="75"/>
      <c r="H229" s="75"/>
      <c r="I229" s="75"/>
      <c r="J229" s="75"/>
      <c r="K229" s="27"/>
      <c r="L229" s="96"/>
      <c r="M229" s="27"/>
      <c r="N229" s="96"/>
      <c r="O229" s="75"/>
      <c r="P229" s="75"/>
      <c r="Q229" s="75"/>
      <c r="R229" s="75"/>
      <c r="S229" s="75"/>
      <c r="T229" s="75"/>
    </row>
    <row r="230" spans="1:20">
      <c r="A230" s="63"/>
      <c r="B230" s="75"/>
      <c r="C230" s="63"/>
      <c r="D230" s="75"/>
      <c r="E230" s="92"/>
      <c r="F230" s="92"/>
      <c r="G230" s="75"/>
      <c r="H230" s="75"/>
      <c r="I230" s="75"/>
      <c r="J230" s="75"/>
      <c r="K230" s="27"/>
      <c r="L230" s="96"/>
      <c r="M230" s="27"/>
      <c r="N230" s="96"/>
      <c r="O230" s="75"/>
      <c r="P230" s="75"/>
      <c r="Q230" s="75"/>
      <c r="R230" s="75"/>
      <c r="S230" s="75"/>
      <c r="T230" s="75"/>
    </row>
    <row r="231" spans="1:20">
      <c r="A231" s="63"/>
      <c r="B231" s="75"/>
      <c r="C231" s="63"/>
      <c r="D231" s="75"/>
      <c r="E231" s="92"/>
      <c r="F231" s="92"/>
      <c r="G231" s="75"/>
      <c r="H231" s="75"/>
      <c r="I231" s="75"/>
      <c r="J231" s="75"/>
      <c r="K231" s="27"/>
      <c r="L231" s="96"/>
      <c r="M231" s="27"/>
      <c r="N231" s="96"/>
      <c r="O231" s="75"/>
      <c r="P231" s="75"/>
      <c r="Q231" s="75"/>
      <c r="R231" s="75"/>
      <c r="S231" s="75"/>
      <c r="T231" s="75"/>
    </row>
    <row r="232" spans="1:20">
      <c r="A232" s="63"/>
      <c r="B232" s="75"/>
      <c r="C232" s="63"/>
      <c r="D232" s="75"/>
      <c r="E232" s="92"/>
      <c r="F232" s="92"/>
      <c r="G232" s="75"/>
      <c r="H232" s="75"/>
      <c r="I232" s="75"/>
      <c r="J232" s="75"/>
      <c r="K232" s="27"/>
      <c r="L232" s="96"/>
      <c r="M232" s="27"/>
      <c r="N232" s="96"/>
      <c r="O232" s="75"/>
      <c r="P232" s="75"/>
      <c r="Q232" s="75"/>
      <c r="R232" s="75"/>
      <c r="S232" s="75"/>
      <c r="T232" s="75"/>
    </row>
    <row r="233" spans="1:20">
      <c r="A233" s="63"/>
      <c r="B233" s="75"/>
      <c r="C233" s="63"/>
      <c r="D233" s="75"/>
      <c r="E233" s="92"/>
      <c r="F233" s="92"/>
      <c r="G233" s="75"/>
      <c r="H233" s="75"/>
      <c r="I233" s="75"/>
      <c r="J233" s="75"/>
      <c r="K233" s="27"/>
      <c r="L233" s="96"/>
      <c r="M233" s="27"/>
      <c r="N233" s="96"/>
      <c r="O233" s="75"/>
      <c r="P233" s="75"/>
      <c r="Q233" s="75"/>
      <c r="R233" s="75"/>
      <c r="S233" s="75"/>
      <c r="T233" s="75"/>
    </row>
    <row r="234" spans="1:20">
      <c r="A234" s="63"/>
      <c r="B234" s="75"/>
      <c r="C234" s="63"/>
      <c r="D234" s="75"/>
      <c r="E234" s="92"/>
      <c r="F234" s="92"/>
      <c r="G234" s="75"/>
      <c r="H234" s="75"/>
      <c r="I234" s="75"/>
      <c r="J234" s="75"/>
      <c r="K234" s="27"/>
      <c r="L234" s="96"/>
      <c r="M234" s="27"/>
      <c r="N234" s="96"/>
      <c r="O234" s="75"/>
      <c r="P234" s="75"/>
      <c r="Q234" s="75"/>
      <c r="R234" s="75"/>
      <c r="S234" s="75"/>
      <c r="T234" s="75"/>
    </row>
    <row r="235" spans="1:20">
      <c r="A235" s="63"/>
      <c r="B235" s="75"/>
      <c r="C235" s="63"/>
      <c r="D235" s="75"/>
      <c r="E235" s="92"/>
      <c r="F235" s="92"/>
      <c r="G235" s="75"/>
      <c r="H235" s="75"/>
      <c r="I235" s="75"/>
      <c r="J235" s="75"/>
      <c r="K235" s="27"/>
      <c r="L235" s="96"/>
      <c r="M235" s="27"/>
      <c r="N235" s="96"/>
      <c r="O235" s="75"/>
      <c r="P235" s="75"/>
      <c r="Q235" s="75"/>
      <c r="R235" s="75"/>
      <c r="S235" s="75"/>
      <c r="T235" s="75"/>
    </row>
    <row r="236" spans="1:20">
      <c r="A236" s="63"/>
      <c r="B236" s="75"/>
      <c r="C236" s="63"/>
      <c r="D236" s="75"/>
      <c r="E236" s="92"/>
      <c r="F236" s="92"/>
      <c r="G236" s="75"/>
      <c r="H236" s="75"/>
      <c r="I236" s="75"/>
      <c r="J236" s="75"/>
      <c r="K236" s="27"/>
      <c r="L236" s="96"/>
      <c r="M236" s="27"/>
      <c r="N236" s="96"/>
      <c r="O236" s="75"/>
      <c r="P236" s="75"/>
      <c r="Q236" s="75"/>
      <c r="R236" s="75"/>
      <c r="S236" s="75"/>
      <c r="T236" s="75"/>
    </row>
    <row r="237" spans="1:20">
      <c r="A237" s="63"/>
      <c r="B237" s="75"/>
      <c r="C237" s="63"/>
      <c r="D237" s="75"/>
      <c r="E237" s="92"/>
      <c r="F237" s="92"/>
      <c r="G237" s="75"/>
      <c r="H237" s="75"/>
      <c r="I237" s="75"/>
      <c r="J237" s="75"/>
      <c r="K237" s="27"/>
      <c r="L237" s="96"/>
      <c r="M237" s="27"/>
      <c r="N237" s="96"/>
      <c r="O237" s="75"/>
      <c r="P237" s="75"/>
      <c r="Q237" s="75"/>
      <c r="R237" s="75"/>
      <c r="S237" s="75"/>
      <c r="T237" s="75"/>
    </row>
    <row r="238" spans="1:20">
      <c r="A238" s="63"/>
      <c r="B238" s="75"/>
      <c r="C238" s="63"/>
      <c r="D238" s="75"/>
      <c r="E238" s="92"/>
      <c r="F238" s="92"/>
      <c r="G238" s="75"/>
      <c r="H238" s="75"/>
      <c r="I238" s="75"/>
      <c r="J238" s="75"/>
      <c r="K238" s="27"/>
      <c r="L238" s="96"/>
      <c r="M238" s="27"/>
      <c r="N238" s="96"/>
      <c r="O238" s="75"/>
      <c r="P238" s="75"/>
      <c r="Q238" s="75"/>
      <c r="R238" s="75"/>
      <c r="S238" s="75"/>
      <c r="T238" s="75"/>
    </row>
    <row r="239" spans="1:20">
      <c r="A239" s="63"/>
      <c r="B239" s="75"/>
      <c r="C239" s="63"/>
      <c r="D239" s="75"/>
      <c r="E239" s="92"/>
      <c r="F239" s="92"/>
      <c r="G239" s="75"/>
      <c r="H239" s="75"/>
      <c r="I239" s="75"/>
      <c r="J239" s="75"/>
      <c r="K239" s="27"/>
      <c r="L239" s="96"/>
      <c r="M239" s="27"/>
      <c r="N239" s="96"/>
      <c r="O239" s="75"/>
      <c r="P239" s="75"/>
      <c r="Q239" s="75"/>
      <c r="R239" s="75"/>
      <c r="S239" s="75"/>
      <c r="T239" s="75"/>
    </row>
    <row r="240" spans="1:20">
      <c r="A240" s="63"/>
      <c r="B240" s="75"/>
      <c r="C240" s="63"/>
      <c r="D240" s="75"/>
      <c r="E240" s="92"/>
      <c r="F240" s="92"/>
      <c r="G240" s="75"/>
      <c r="H240" s="75"/>
      <c r="I240" s="75"/>
      <c r="J240" s="75"/>
      <c r="K240" s="27"/>
      <c r="L240" s="96"/>
      <c r="M240" s="27"/>
      <c r="N240" s="96"/>
      <c r="O240" s="75"/>
      <c r="P240" s="75"/>
      <c r="Q240" s="75"/>
      <c r="R240" s="75"/>
      <c r="S240" s="75"/>
      <c r="T240" s="75"/>
    </row>
    <row r="241" spans="1:20">
      <c r="A241" s="63"/>
      <c r="B241" s="75"/>
      <c r="C241" s="63"/>
      <c r="D241" s="75"/>
      <c r="E241" s="92"/>
      <c r="F241" s="92"/>
      <c r="G241" s="75"/>
      <c r="H241" s="75"/>
      <c r="I241" s="75"/>
      <c r="J241" s="75"/>
      <c r="K241" s="27"/>
      <c r="L241" s="96"/>
      <c r="M241" s="27"/>
      <c r="N241" s="96"/>
      <c r="O241" s="75"/>
      <c r="P241" s="75"/>
      <c r="Q241" s="75"/>
      <c r="R241" s="75"/>
      <c r="S241" s="75"/>
      <c r="T241" s="75"/>
    </row>
    <row r="242" spans="1:20">
      <c r="A242" s="63"/>
      <c r="B242" s="75"/>
      <c r="C242" s="63"/>
      <c r="D242" s="75"/>
      <c r="E242" s="92"/>
      <c r="F242" s="92"/>
      <c r="G242" s="75"/>
      <c r="H242" s="75"/>
      <c r="I242" s="75"/>
      <c r="J242" s="75"/>
      <c r="K242" s="27"/>
      <c r="L242" s="96"/>
      <c r="M242" s="27"/>
      <c r="N242" s="96"/>
      <c r="O242" s="75"/>
      <c r="P242" s="75"/>
      <c r="Q242" s="75"/>
      <c r="R242" s="75"/>
      <c r="S242" s="75"/>
      <c r="T242" s="75"/>
    </row>
    <row r="243" spans="1:20">
      <c r="A243" s="63"/>
      <c r="B243" s="75"/>
      <c r="C243" s="63"/>
      <c r="D243" s="75"/>
      <c r="E243" s="92"/>
      <c r="F243" s="92"/>
      <c r="G243" s="75"/>
      <c r="H243" s="75"/>
      <c r="I243" s="75"/>
      <c r="J243" s="75"/>
      <c r="K243" s="27"/>
      <c r="L243" s="96"/>
      <c r="M243" s="27"/>
      <c r="N243" s="96"/>
      <c r="O243" s="75"/>
      <c r="P243" s="75"/>
      <c r="Q243" s="75"/>
      <c r="R243" s="75"/>
      <c r="S243" s="75"/>
      <c r="T243" s="75"/>
    </row>
    <row r="244" spans="1:20">
      <c r="A244" s="63"/>
      <c r="B244" s="75"/>
      <c r="C244" s="63"/>
      <c r="D244" s="75"/>
      <c r="E244" s="92"/>
      <c r="F244" s="92"/>
      <c r="G244" s="75"/>
      <c r="H244" s="75"/>
      <c r="I244" s="75"/>
      <c r="J244" s="75"/>
      <c r="K244" s="27"/>
      <c r="L244" s="96"/>
      <c r="M244" s="27"/>
      <c r="N244" s="96"/>
      <c r="O244" s="75"/>
      <c r="P244" s="75"/>
      <c r="Q244" s="75"/>
      <c r="R244" s="75"/>
      <c r="S244" s="75"/>
      <c r="T244" s="75"/>
    </row>
    <row r="245" spans="1:20">
      <c r="A245" s="63"/>
      <c r="B245" s="75"/>
      <c r="C245" s="63"/>
      <c r="D245" s="75"/>
      <c r="E245" s="92"/>
      <c r="F245" s="92"/>
      <c r="G245" s="75"/>
      <c r="H245" s="75"/>
      <c r="I245" s="75"/>
      <c r="J245" s="75"/>
      <c r="K245" s="27"/>
      <c r="L245" s="96"/>
      <c r="M245" s="27"/>
      <c r="N245" s="96"/>
      <c r="O245" s="75"/>
      <c r="P245" s="75"/>
      <c r="Q245" s="75"/>
      <c r="R245" s="75"/>
      <c r="S245" s="75"/>
      <c r="T245" s="75"/>
    </row>
    <row r="246" spans="1:20">
      <c r="A246" s="63"/>
      <c r="B246" s="75"/>
      <c r="C246" s="63"/>
      <c r="D246" s="75"/>
      <c r="E246" s="92"/>
      <c r="F246" s="92"/>
      <c r="G246" s="75"/>
      <c r="H246" s="75"/>
      <c r="I246" s="75"/>
      <c r="J246" s="75"/>
      <c r="K246" s="27"/>
      <c r="L246" s="96"/>
      <c r="M246" s="27"/>
      <c r="N246" s="96"/>
      <c r="O246" s="75"/>
      <c r="P246" s="75"/>
      <c r="Q246" s="75"/>
      <c r="R246" s="75"/>
      <c r="S246" s="75"/>
      <c r="T246" s="75"/>
    </row>
    <row r="247" spans="1:20">
      <c r="A247" s="63"/>
      <c r="B247" s="75"/>
      <c r="C247" s="63"/>
      <c r="D247" s="75"/>
      <c r="E247" s="92"/>
      <c r="F247" s="92"/>
      <c r="G247" s="75"/>
      <c r="H247" s="75"/>
      <c r="I247" s="75"/>
      <c r="J247" s="75"/>
      <c r="K247" s="27"/>
      <c r="L247" s="96"/>
      <c r="M247" s="27"/>
      <c r="N247" s="96"/>
      <c r="O247" s="75"/>
      <c r="P247" s="75"/>
      <c r="Q247" s="75"/>
      <c r="R247" s="75"/>
      <c r="S247" s="75"/>
      <c r="T247" s="75"/>
    </row>
    <row r="248" spans="1:20">
      <c r="A248" s="63"/>
      <c r="B248" s="75"/>
      <c r="C248" s="63"/>
      <c r="D248" s="75"/>
      <c r="E248" s="92"/>
      <c r="F248" s="92"/>
      <c r="G248" s="75"/>
      <c r="H248" s="75"/>
      <c r="I248" s="75"/>
      <c r="J248" s="75"/>
      <c r="K248" s="27"/>
      <c r="L248" s="96"/>
      <c r="M248" s="27"/>
      <c r="N248" s="96"/>
      <c r="O248" s="75"/>
      <c r="P248" s="75"/>
      <c r="Q248" s="75"/>
      <c r="R248" s="75"/>
      <c r="S248" s="75"/>
      <c r="T248" s="75"/>
    </row>
    <row r="249" spans="1:20">
      <c r="A249" s="63"/>
      <c r="B249" s="75"/>
      <c r="C249" s="63"/>
      <c r="D249" s="75"/>
      <c r="E249" s="92"/>
      <c r="F249" s="92"/>
      <c r="G249" s="75"/>
      <c r="H249" s="75"/>
      <c r="I249" s="75"/>
      <c r="J249" s="75"/>
      <c r="K249" s="27"/>
      <c r="L249" s="96"/>
      <c r="M249" s="27"/>
      <c r="N249" s="96"/>
      <c r="O249" s="75"/>
      <c r="P249" s="75"/>
      <c r="Q249" s="75"/>
      <c r="R249" s="75"/>
      <c r="S249" s="75"/>
      <c r="T249" s="75"/>
    </row>
    <row r="250" spans="1:20">
      <c r="A250" s="63"/>
      <c r="B250" s="75"/>
      <c r="C250" s="63"/>
      <c r="D250" s="75"/>
      <c r="E250" s="92"/>
      <c r="F250" s="92"/>
      <c r="G250" s="75"/>
      <c r="H250" s="75"/>
      <c r="I250" s="75"/>
      <c r="J250" s="75"/>
      <c r="K250" s="27"/>
      <c r="L250" s="96"/>
      <c r="M250" s="27"/>
      <c r="N250" s="96"/>
      <c r="O250" s="75"/>
      <c r="P250" s="75"/>
      <c r="Q250" s="75"/>
      <c r="R250" s="75"/>
      <c r="S250" s="75"/>
      <c r="T250" s="75"/>
    </row>
    <row r="251" spans="1:20">
      <c r="A251" s="63"/>
      <c r="B251" s="75"/>
      <c r="C251" s="63"/>
      <c r="D251" s="75"/>
      <c r="E251" s="92"/>
      <c r="F251" s="92"/>
      <c r="G251" s="75"/>
      <c r="H251" s="75"/>
      <c r="I251" s="75"/>
      <c r="J251" s="75"/>
      <c r="K251" s="27"/>
      <c r="L251" s="96"/>
      <c r="M251" s="27"/>
      <c r="N251" s="96"/>
      <c r="O251" s="75"/>
      <c r="P251" s="75"/>
      <c r="Q251" s="75"/>
      <c r="R251" s="75"/>
      <c r="S251" s="75"/>
      <c r="T251" s="75"/>
    </row>
    <row r="252" spans="1:20">
      <c r="A252" s="63"/>
      <c r="B252" s="75"/>
      <c r="C252" s="63"/>
      <c r="D252" s="75"/>
      <c r="E252" s="92"/>
      <c r="F252" s="92"/>
      <c r="G252" s="75"/>
      <c r="H252" s="75"/>
      <c r="I252" s="75"/>
      <c r="J252" s="75"/>
      <c r="K252" s="27"/>
      <c r="L252" s="96"/>
      <c r="M252" s="27"/>
      <c r="N252" s="96"/>
      <c r="O252" s="75"/>
      <c r="P252" s="75"/>
      <c r="Q252" s="75"/>
      <c r="R252" s="75"/>
      <c r="S252" s="75"/>
      <c r="T252" s="75"/>
    </row>
    <row r="253" spans="1:20">
      <c r="A253" s="63"/>
      <c r="B253" s="75"/>
      <c r="C253" s="63"/>
      <c r="D253" s="75"/>
      <c r="E253" s="92"/>
      <c r="F253" s="92"/>
      <c r="G253" s="75"/>
      <c r="H253" s="75"/>
      <c r="I253" s="75"/>
      <c r="J253" s="75"/>
      <c r="K253" s="27"/>
      <c r="L253" s="96"/>
      <c r="M253" s="27"/>
      <c r="N253" s="96"/>
      <c r="O253" s="75"/>
      <c r="P253" s="75"/>
      <c r="Q253" s="75"/>
      <c r="R253" s="75"/>
      <c r="S253" s="75"/>
      <c r="T253" s="75"/>
    </row>
    <row r="254" spans="1:20">
      <c r="A254" s="63"/>
      <c r="B254" s="75"/>
      <c r="C254" s="63"/>
      <c r="D254" s="75"/>
      <c r="E254" s="92"/>
      <c r="F254" s="92"/>
      <c r="G254" s="75"/>
      <c r="H254" s="75"/>
      <c r="I254" s="75"/>
      <c r="J254" s="75"/>
      <c r="K254" s="27"/>
      <c r="L254" s="96"/>
      <c r="M254" s="27"/>
      <c r="N254" s="96"/>
      <c r="O254" s="75"/>
      <c r="P254" s="75"/>
      <c r="Q254" s="75"/>
      <c r="R254" s="75"/>
      <c r="S254" s="75"/>
      <c r="T254" s="75"/>
    </row>
    <row r="255" spans="1:20">
      <c r="A255" s="63"/>
      <c r="B255" s="75"/>
      <c r="C255" s="63"/>
      <c r="D255" s="75"/>
      <c r="E255" s="92"/>
      <c r="F255" s="92"/>
      <c r="G255" s="75"/>
      <c r="H255" s="75"/>
      <c r="I255" s="75"/>
      <c r="J255" s="75"/>
      <c r="K255" s="27"/>
      <c r="L255" s="96"/>
      <c r="M255" s="27"/>
      <c r="N255" s="96"/>
      <c r="O255" s="75"/>
      <c r="P255" s="75"/>
      <c r="Q255" s="75"/>
      <c r="R255" s="75"/>
      <c r="S255" s="75"/>
      <c r="T255" s="75"/>
    </row>
    <row r="256" spans="1:20">
      <c r="A256" s="63"/>
      <c r="B256" s="75"/>
      <c r="C256" s="63"/>
      <c r="D256" s="75"/>
      <c r="E256" s="92"/>
      <c r="F256" s="92"/>
      <c r="G256" s="75"/>
      <c r="H256" s="75"/>
      <c r="I256" s="75"/>
      <c r="J256" s="75"/>
      <c r="K256" s="27"/>
      <c r="L256" s="96"/>
      <c r="M256" s="27"/>
      <c r="N256" s="96"/>
      <c r="O256" s="75"/>
      <c r="P256" s="75"/>
      <c r="Q256" s="75"/>
      <c r="R256" s="75"/>
      <c r="S256" s="75"/>
      <c r="T256" s="75"/>
    </row>
    <row r="257" spans="1:20">
      <c r="A257" s="63"/>
      <c r="B257" s="75"/>
      <c r="C257" s="63"/>
      <c r="D257" s="75"/>
      <c r="E257" s="92"/>
      <c r="F257" s="92"/>
      <c r="G257" s="75"/>
      <c r="H257" s="75"/>
      <c r="I257" s="75"/>
      <c r="J257" s="75"/>
      <c r="K257" s="27"/>
      <c r="L257" s="96"/>
      <c r="M257" s="27"/>
      <c r="N257" s="96"/>
      <c r="O257" s="75"/>
      <c r="P257" s="75"/>
      <c r="Q257" s="75"/>
      <c r="R257" s="75"/>
      <c r="S257" s="75"/>
      <c r="T257" s="75"/>
    </row>
    <row r="258" spans="1:20">
      <c r="A258" s="63"/>
      <c r="B258" s="75"/>
      <c r="C258" s="63"/>
      <c r="D258" s="75"/>
      <c r="E258" s="92"/>
      <c r="F258" s="92"/>
      <c r="G258" s="75"/>
      <c r="H258" s="75"/>
      <c r="I258" s="75"/>
      <c r="J258" s="75"/>
      <c r="K258" s="27"/>
      <c r="L258" s="96"/>
      <c r="M258" s="27"/>
      <c r="N258" s="96"/>
      <c r="O258" s="75"/>
      <c r="P258" s="75"/>
      <c r="Q258" s="75"/>
      <c r="R258" s="75"/>
      <c r="S258" s="75"/>
      <c r="T258" s="75"/>
    </row>
    <row r="259" spans="1:20">
      <c r="A259" s="63"/>
      <c r="B259" s="75"/>
      <c r="C259" s="63"/>
      <c r="D259" s="75"/>
      <c r="E259" s="92"/>
      <c r="F259" s="92"/>
      <c r="G259" s="75"/>
      <c r="H259" s="75"/>
      <c r="I259" s="75"/>
      <c r="J259" s="75"/>
      <c r="K259" s="27"/>
      <c r="L259" s="96"/>
      <c r="M259" s="27"/>
      <c r="N259" s="96"/>
      <c r="O259" s="75"/>
      <c r="P259" s="75"/>
      <c r="Q259" s="75"/>
      <c r="R259" s="75"/>
      <c r="S259" s="75"/>
      <c r="T259" s="75"/>
    </row>
    <row r="260" spans="1:20">
      <c r="A260" s="63"/>
      <c r="B260" s="75"/>
      <c r="C260" s="63"/>
      <c r="D260" s="75"/>
      <c r="E260" s="92"/>
      <c r="F260" s="92"/>
      <c r="G260" s="75"/>
      <c r="H260" s="75"/>
      <c r="I260" s="75"/>
      <c r="J260" s="75"/>
      <c r="K260" s="27"/>
      <c r="L260" s="96"/>
      <c r="M260" s="27"/>
      <c r="N260" s="96"/>
      <c r="O260" s="75"/>
      <c r="P260" s="75"/>
      <c r="Q260" s="75"/>
      <c r="R260" s="75"/>
      <c r="S260" s="75"/>
      <c r="T260" s="75"/>
    </row>
    <row r="261" spans="1:20">
      <c r="A261" s="63"/>
      <c r="B261" s="75"/>
      <c r="C261" s="63"/>
      <c r="D261" s="75"/>
      <c r="E261" s="92"/>
      <c r="F261" s="92"/>
      <c r="G261" s="75"/>
      <c r="H261" s="75"/>
      <c r="I261" s="75"/>
      <c r="J261" s="75"/>
      <c r="K261" s="27"/>
      <c r="L261" s="96"/>
      <c r="M261" s="27"/>
      <c r="N261" s="96"/>
      <c r="O261" s="75"/>
      <c r="P261" s="75"/>
      <c r="Q261" s="75"/>
      <c r="R261" s="75"/>
      <c r="S261" s="75"/>
      <c r="T261" s="75"/>
    </row>
    <row r="262" spans="1:20">
      <c r="A262" s="63"/>
      <c r="B262" s="75"/>
      <c r="C262" s="63"/>
      <c r="D262" s="75"/>
      <c r="E262" s="92"/>
      <c r="F262" s="92"/>
      <c r="G262" s="75"/>
      <c r="H262" s="75"/>
      <c r="I262" s="75"/>
      <c r="J262" s="75"/>
      <c r="K262" s="27"/>
      <c r="L262" s="96"/>
      <c r="M262" s="27"/>
      <c r="N262" s="96"/>
      <c r="O262" s="75"/>
      <c r="P262" s="75"/>
      <c r="Q262" s="75"/>
      <c r="R262" s="75"/>
      <c r="S262" s="75"/>
      <c r="T262" s="75"/>
    </row>
    <row r="263" spans="1:20">
      <c r="A263" s="63"/>
      <c r="B263" s="75"/>
      <c r="C263" s="63"/>
      <c r="D263" s="75"/>
      <c r="E263" s="92"/>
      <c r="F263" s="92"/>
      <c r="G263" s="75"/>
      <c r="H263" s="75"/>
      <c r="I263" s="75"/>
      <c r="J263" s="75"/>
      <c r="K263" s="27"/>
      <c r="L263" s="96"/>
      <c r="M263" s="27"/>
      <c r="N263" s="96"/>
      <c r="O263" s="75"/>
      <c r="P263" s="75"/>
      <c r="Q263" s="75"/>
      <c r="R263" s="75"/>
      <c r="S263" s="75"/>
      <c r="T263" s="75"/>
    </row>
    <row r="264" spans="1:20">
      <c r="A264" s="63"/>
      <c r="B264" s="75"/>
      <c r="C264" s="63"/>
      <c r="D264" s="75"/>
      <c r="E264" s="92"/>
      <c r="F264" s="92"/>
      <c r="G264" s="75"/>
      <c r="H264" s="75"/>
      <c r="I264" s="75"/>
      <c r="J264" s="75"/>
      <c r="K264" s="27"/>
      <c r="L264" s="96"/>
      <c r="M264" s="27"/>
      <c r="N264" s="96"/>
      <c r="O264" s="75"/>
      <c r="P264" s="75"/>
      <c r="Q264" s="75"/>
      <c r="R264" s="75"/>
      <c r="S264" s="75"/>
      <c r="T264" s="75"/>
    </row>
    <row r="265" spans="1:20">
      <c r="A265" s="63"/>
      <c r="B265" s="75"/>
      <c r="C265" s="63"/>
      <c r="D265" s="75"/>
      <c r="E265" s="92"/>
      <c r="F265" s="92"/>
      <c r="G265" s="75"/>
      <c r="H265" s="75"/>
      <c r="I265" s="75"/>
      <c r="J265" s="75"/>
      <c r="K265" s="27"/>
      <c r="L265" s="96"/>
      <c r="M265" s="27"/>
      <c r="N265" s="96"/>
      <c r="O265" s="75"/>
      <c r="P265" s="75"/>
      <c r="Q265" s="75"/>
      <c r="R265" s="75"/>
      <c r="S265" s="75"/>
      <c r="T265" s="75"/>
    </row>
    <row r="266" spans="1:20">
      <c r="A266" s="63"/>
      <c r="B266" s="75"/>
      <c r="C266" s="63"/>
      <c r="D266" s="75"/>
      <c r="E266" s="92"/>
      <c r="F266" s="92"/>
      <c r="G266" s="75"/>
      <c r="H266" s="75"/>
      <c r="I266" s="75"/>
      <c r="J266" s="75"/>
      <c r="K266" s="27"/>
      <c r="L266" s="96"/>
      <c r="M266" s="27"/>
      <c r="N266" s="96"/>
      <c r="O266" s="75"/>
      <c r="P266" s="75"/>
      <c r="Q266" s="75"/>
      <c r="R266" s="75"/>
      <c r="S266" s="75"/>
      <c r="T266" s="75"/>
    </row>
    <row r="267" spans="1:20">
      <c r="A267" s="63"/>
      <c r="B267" s="75"/>
      <c r="C267" s="63"/>
      <c r="D267" s="75"/>
      <c r="E267" s="92"/>
      <c r="F267" s="92"/>
      <c r="G267" s="75"/>
      <c r="H267" s="75"/>
      <c r="I267" s="75"/>
      <c r="J267" s="75"/>
      <c r="K267" s="27"/>
      <c r="L267" s="96"/>
      <c r="M267" s="27"/>
      <c r="N267" s="96"/>
      <c r="O267" s="75"/>
      <c r="P267" s="75"/>
      <c r="Q267" s="75"/>
      <c r="R267" s="75"/>
      <c r="S267" s="75"/>
      <c r="T267" s="75"/>
    </row>
    <row r="268" spans="1:20">
      <c r="A268" s="63"/>
      <c r="B268" s="75"/>
      <c r="C268" s="63"/>
      <c r="D268" s="75"/>
      <c r="E268" s="92"/>
      <c r="F268" s="92"/>
      <c r="G268" s="75"/>
      <c r="H268" s="75"/>
      <c r="I268" s="75"/>
      <c r="J268" s="75"/>
      <c r="K268" s="27"/>
      <c r="L268" s="96"/>
      <c r="M268" s="27"/>
      <c r="N268" s="96"/>
      <c r="O268" s="75"/>
      <c r="P268" s="75"/>
      <c r="Q268" s="75"/>
      <c r="R268" s="75"/>
      <c r="S268" s="75"/>
      <c r="T268" s="75"/>
    </row>
    <row r="269" spans="1:20">
      <c r="A269" s="63"/>
      <c r="B269" s="75"/>
      <c r="C269" s="63"/>
      <c r="D269" s="75"/>
      <c r="E269" s="92"/>
      <c r="F269" s="92"/>
      <c r="G269" s="75"/>
      <c r="H269" s="75"/>
      <c r="I269" s="75"/>
      <c r="J269" s="75"/>
      <c r="K269" s="27"/>
      <c r="L269" s="96"/>
      <c r="M269" s="27"/>
      <c r="N269" s="96"/>
      <c r="O269" s="75"/>
      <c r="P269" s="75"/>
      <c r="Q269" s="75"/>
      <c r="R269" s="75"/>
      <c r="S269" s="75"/>
      <c r="T269" s="75"/>
    </row>
    <row r="270" spans="1:20">
      <c r="A270" s="63"/>
      <c r="B270" s="75"/>
      <c r="C270" s="63"/>
      <c r="D270" s="75"/>
      <c r="E270" s="92"/>
      <c r="F270" s="92"/>
      <c r="G270" s="75"/>
      <c r="H270" s="75"/>
      <c r="I270" s="75"/>
      <c r="J270" s="75"/>
      <c r="K270" s="27"/>
      <c r="L270" s="96"/>
      <c r="M270" s="27"/>
      <c r="N270" s="96"/>
      <c r="O270" s="75"/>
      <c r="P270" s="75"/>
      <c r="Q270" s="75"/>
      <c r="R270" s="75"/>
      <c r="S270" s="75"/>
      <c r="T270" s="75"/>
    </row>
    <row r="271" spans="1:20">
      <c r="A271" s="63"/>
      <c r="B271" s="75"/>
      <c r="C271" s="63"/>
      <c r="D271" s="75"/>
      <c r="E271" s="92"/>
      <c r="F271" s="92"/>
      <c r="G271" s="75"/>
      <c r="H271" s="75"/>
      <c r="I271" s="75"/>
      <c r="J271" s="75"/>
      <c r="K271" s="27"/>
      <c r="L271" s="96"/>
      <c r="M271" s="27"/>
      <c r="N271" s="96"/>
      <c r="O271" s="75"/>
      <c r="P271" s="75"/>
      <c r="Q271" s="75"/>
      <c r="R271" s="75"/>
      <c r="S271" s="75"/>
      <c r="T271" s="75"/>
    </row>
    <row r="272" spans="1:20">
      <c r="A272" s="63"/>
      <c r="B272" s="75"/>
      <c r="C272" s="63"/>
      <c r="D272" s="75"/>
      <c r="E272" s="92"/>
      <c r="F272" s="92"/>
      <c r="G272" s="75"/>
      <c r="H272" s="75"/>
      <c r="I272" s="75"/>
      <c r="J272" s="75"/>
      <c r="K272" s="27"/>
      <c r="L272" s="96"/>
      <c r="M272" s="27"/>
      <c r="N272" s="96"/>
      <c r="O272" s="75"/>
      <c r="P272" s="75"/>
      <c r="Q272" s="75"/>
      <c r="R272" s="75"/>
      <c r="S272" s="75"/>
      <c r="T272" s="75"/>
    </row>
    <row r="273" spans="1:20">
      <c r="A273" s="63"/>
      <c r="B273" s="75"/>
      <c r="C273" s="63"/>
      <c r="D273" s="75"/>
      <c r="E273" s="92"/>
      <c r="F273" s="92"/>
      <c r="G273" s="75"/>
      <c r="H273" s="75"/>
      <c r="I273" s="75"/>
      <c r="J273" s="75"/>
      <c r="K273" s="27"/>
      <c r="L273" s="96"/>
      <c r="M273" s="27"/>
      <c r="N273" s="96"/>
      <c r="O273" s="75"/>
      <c r="P273" s="75"/>
      <c r="Q273" s="75"/>
      <c r="R273" s="75"/>
      <c r="S273" s="75"/>
      <c r="T273" s="75"/>
    </row>
    <row r="274" spans="1:20">
      <c r="A274" s="63"/>
      <c r="B274" s="75"/>
      <c r="C274" s="63"/>
      <c r="D274" s="75"/>
      <c r="E274" s="92"/>
      <c r="F274" s="92"/>
      <c r="G274" s="75"/>
      <c r="H274" s="75"/>
      <c r="I274" s="75"/>
      <c r="J274" s="75"/>
      <c r="K274" s="27"/>
      <c r="L274" s="96"/>
      <c r="M274" s="27"/>
      <c r="N274" s="96"/>
      <c r="O274" s="75"/>
      <c r="P274" s="75"/>
      <c r="Q274" s="75"/>
      <c r="R274" s="75"/>
      <c r="S274" s="75"/>
      <c r="T274" s="75"/>
    </row>
    <row r="275" spans="1:20">
      <c r="A275" s="63"/>
      <c r="B275" s="75"/>
      <c r="C275" s="63"/>
      <c r="D275" s="75"/>
      <c r="E275" s="92"/>
      <c r="F275" s="92"/>
      <c r="G275" s="75"/>
      <c r="H275" s="75"/>
      <c r="I275" s="75"/>
      <c r="J275" s="75"/>
      <c r="K275" s="27"/>
      <c r="L275" s="96"/>
      <c r="M275" s="27"/>
      <c r="N275" s="96"/>
      <c r="O275" s="75"/>
      <c r="P275" s="75"/>
      <c r="Q275" s="75"/>
      <c r="R275" s="75"/>
      <c r="S275" s="75"/>
      <c r="T275" s="75"/>
    </row>
    <row r="276" spans="1:20">
      <c r="A276" s="63"/>
      <c r="B276" s="75"/>
      <c r="C276" s="63"/>
      <c r="D276" s="75"/>
      <c r="E276" s="92"/>
      <c r="F276" s="92"/>
      <c r="G276" s="75"/>
      <c r="H276" s="75"/>
      <c r="I276" s="75"/>
      <c r="J276" s="75"/>
      <c r="K276" s="27"/>
      <c r="L276" s="96"/>
      <c r="M276" s="27"/>
      <c r="N276" s="96"/>
      <c r="O276" s="75"/>
      <c r="P276" s="75"/>
      <c r="Q276" s="75"/>
      <c r="R276" s="75"/>
      <c r="S276" s="75"/>
      <c r="T276" s="75"/>
    </row>
    <row r="277" spans="1:20">
      <c r="A277" s="63"/>
      <c r="B277" s="75"/>
      <c r="C277" s="63"/>
      <c r="D277" s="75"/>
      <c r="E277" s="92"/>
      <c r="F277" s="92"/>
      <c r="G277" s="75"/>
      <c r="H277" s="75"/>
      <c r="I277" s="75"/>
      <c r="J277" s="75"/>
      <c r="K277" s="27"/>
      <c r="L277" s="96"/>
      <c r="M277" s="27"/>
      <c r="N277" s="96"/>
      <c r="O277" s="75"/>
      <c r="P277" s="75"/>
      <c r="Q277" s="75"/>
      <c r="R277" s="75"/>
      <c r="S277" s="75"/>
      <c r="T277" s="75"/>
    </row>
    <row r="278" spans="1:20">
      <c r="A278" s="63"/>
      <c r="B278" s="75"/>
      <c r="C278" s="63"/>
      <c r="D278" s="75"/>
      <c r="E278" s="92"/>
      <c r="F278" s="92"/>
      <c r="G278" s="75"/>
      <c r="H278" s="75"/>
      <c r="I278" s="75"/>
      <c r="J278" s="75"/>
      <c r="K278" s="27"/>
      <c r="L278" s="96"/>
      <c r="M278" s="27"/>
      <c r="N278" s="96"/>
      <c r="O278" s="75"/>
      <c r="P278" s="75"/>
      <c r="Q278" s="75"/>
      <c r="R278" s="75"/>
      <c r="S278" s="75"/>
      <c r="T278" s="75"/>
    </row>
    <row r="279" spans="1:20">
      <c r="A279" s="63"/>
      <c r="B279" s="75"/>
      <c r="C279" s="63"/>
      <c r="D279" s="75"/>
      <c r="E279" s="92"/>
      <c r="F279" s="92"/>
      <c r="G279" s="75"/>
      <c r="H279" s="75"/>
      <c r="I279" s="75"/>
      <c r="J279" s="75"/>
      <c r="K279" s="27"/>
      <c r="L279" s="96"/>
      <c r="M279" s="27"/>
      <c r="N279" s="96"/>
      <c r="O279" s="75"/>
      <c r="P279" s="75"/>
      <c r="Q279" s="75"/>
      <c r="R279" s="75"/>
      <c r="S279" s="75"/>
      <c r="T279" s="75"/>
    </row>
    <row r="280" spans="1:20">
      <c r="A280" s="63"/>
      <c r="B280" s="75"/>
      <c r="C280" s="63"/>
      <c r="D280" s="75"/>
      <c r="E280" s="92"/>
      <c r="F280" s="92"/>
      <c r="G280" s="75"/>
      <c r="H280" s="75"/>
      <c r="I280" s="75"/>
      <c r="J280" s="75"/>
      <c r="K280" s="27"/>
      <c r="L280" s="96"/>
      <c r="M280" s="27"/>
      <c r="N280" s="96"/>
      <c r="O280" s="75"/>
      <c r="P280" s="75"/>
      <c r="Q280" s="75"/>
      <c r="R280" s="75"/>
      <c r="S280" s="75"/>
      <c r="T280" s="75"/>
    </row>
    <row r="281" spans="1:20">
      <c r="A281" s="63"/>
      <c r="B281" s="75"/>
      <c r="C281" s="63"/>
      <c r="D281" s="75"/>
      <c r="E281" s="92"/>
      <c r="F281" s="92"/>
      <c r="G281" s="75"/>
      <c r="H281" s="75"/>
      <c r="I281" s="75"/>
      <c r="J281" s="75"/>
      <c r="K281" s="27"/>
      <c r="L281" s="96"/>
      <c r="M281" s="27"/>
      <c r="N281" s="96"/>
      <c r="O281" s="75"/>
      <c r="P281" s="75"/>
      <c r="Q281" s="75"/>
      <c r="R281" s="75"/>
      <c r="S281" s="75"/>
      <c r="T281" s="75"/>
    </row>
    <row r="282" spans="1:20">
      <c r="A282" s="63"/>
      <c r="B282" s="75"/>
      <c r="C282" s="63"/>
      <c r="D282" s="75"/>
      <c r="E282" s="92"/>
      <c r="F282" s="92"/>
      <c r="G282" s="75"/>
      <c r="H282" s="75"/>
      <c r="I282" s="75"/>
      <c r="J282" s="75"/>
      <c r="K282" s="27"/>
      <c r="L282" s="96"/>
      <c r="M282" s="27"/>
      <c r="N282" s="96"/>
      <c r="O282" s="75"/>
      <c r="P282" s="75"/>
      <c r="Q282" s="75"/>
      <c r="R282" s="75"/>
      <c r="S282" s="75"/>
      <c r="T282" s="75"/>
    </row>
    <row r="283" spans="1:20">
      <c r="A283" s="63"/>
      <c r="B283" s="75"/>
      <c r="C283" s="63"/>
      <c r="D283" s="75"/>
      <c r="E283" s="92"/>
      <c r="F283" s="92"/>
      <c r="G283" s="75"/>
      <c r="H283" s="75"/>
      <c r="I283" s="75"/>
      <c r="J283" s="75"/>
      <c r="K283" s="27"/>
      <c r="L283" s="96"/>
      <c r="M283" s="27"/>
      <c r="N283" s="96"/>
      <c r="O283" s="75"/>
      <c r="P283" s="75"/>
      <c r="Q283" s="75"/>
      <c r="R283" s="75"/>
      <c r="S283" s="75"/>
      <c r="T283" s="75"/>
    </row>
    <row r="284" spans="1:20">
      <c r="A284" s="63"/>
      <c r="B284" s="75"/>
      <c r="C284" s="63"/>
      <c r="D284" s="75"/>
      <c r="E284" s="92"/>
      <c r="F284" s="92"/>
      <c r="G284" s="75"/>
      <c r="H284" s="75"/>
      <c r="I284" s="75"/>
      <c r="J284" s="75"/>
      <c r="K284" s="27"/>
      <c r="L284" s="96"/>
      <c r="M284" s="27"/>
      <c r="N284" s="96"/>
      <c r="O284" s="75"/>
      <c r="P284" s="75"/>
      <c r="Q284" s="75"/>
      <c r="R284" s="75"/>
      <c r="S284" s="75"/>
      <c r="T284" s="75"/>
    </row>
    <row r="285" spans="1:20">
      <c r="A285" s="63"/>
      <c r="B285" s="75"/>
      <c r="C285" s="63"/>
      <c r="D285" s="75"/>
      <c r="E285" s="92"/>
      <c r="F285" s="92"/>
      <c r="G285" s="75"/>
      <c r="H285" s="75"/>
      <c r="I285" s="75"/>
      <c r="J285" s="75"/>
      <c r="K285" s="27"/>
      <c r="L285" s="96"/>
      <c r="M285" s="27"/>
      <c r="N285" s="96"/>
      <c r="O285" s="75"/>
      <c r="P285" s="75"/>
      <c r="Q285" s="75"/>
      <c r="R285" s="75"/>
      <c r="S285" s="75"/>
      <c r="T285" s="75"/>
    </row>
    <row r="286" spans="1:20">
      <c r="A286" s="63"/>
      <c r="B286" s="75"/>
      <c r="C286" s="63"/>
      <c r="D286" s="75"/>
      <c r="E286" s="92"/>
      <c r="F286" s="92"/>
      <c r="G286" s="75"/>
      <c r="H286" s="75"/>
      <c r="I286" s="75"/>
      <c r="J286" s="75"/>
      <c r="K286" s="27"/>
      <c r="L286" s="96"/>
      <c r="M286" s="27"/>
      <c r="N286" s="96"/>
      <c r="O286" s="75"/>
      <c r="P286" s="75"/>
      <c r="Q286" s="75"/>
      <c r="R286" s="75"/>
      <c r="S286" s="75"/>
      <c r="T286" s="75"/>
    </row>
    <row r="287" spans="1:20">
      <c r="A287" s="63"/>
      <c r="B287" s="75"/>
      <c r="C287" s="63"/>
      <c r="D287" s="75"/>
      <c r="E287" s="92"/>
      <c r="F287" s="92"/>
      <c r="G287" s="75"/>
      <c r="H287" s="75"/>
      <c r="I287" s="75"/>
      <c r="J287" s="75"/>
      <c r="K287" s="27"/>
      <c r="L287" s="96"/>
      <c r="M287" s="27"/>
      <c r="N287" s="96"/>
      <c r="O287" s="75"/>
      <c r="P287" s="75"/>
      <c r="Q287" s="75"/>
      <c r="R287" s="75"/>
      <c r="S287" s="75"/>
      <c r="T287" s="75"/>
    </row>
    <row r="288" spans="1:20">
      <c r="A288" s="63"/>
      <c r="B288" s="75"/>
      <c r="C288" s="63"/>
      <c r="D288" s="75"/>
      <c r="E288" s="92"/>
      <c r="F288" s="92"/>
      <c r="G288" s="75"/>
      <c r="H288" s="75"/>
      <c r="I288" s="75"/>
      <c r="J288" s="75"/>
      <c r="K288" s="27"/>
      <c r="L288" s="96"/>
      <c r="M288" s="27"/>
      <c r="N288" s="96"/>
      <c r="O288" s="75"/>
      <c r="P288" s="75"/>
      <c r="Q288" s="75"/>
      <c r="R288" s="75"/>
      <c r="S288" s="75"/>
      <c r="T288" s="75"/>
    </row>
    <row r="289" spans="1:20">
      <c r="A289" s="63"/>
      <c r="B289" s="75"/>
      <c r="C289" s="63"/>
      <c r="D289" s="75"/>
      <c r="E289" s="92"/>
      <c r="F289" s="92"/>
      <c r="G289" s="75"/>
      <c r="H289" s="75"/>
      <c r="I289" s="75"/>
      <c r="J289" s="75"/>
      <c r="K289" s="27"/>
      <c r="L289" s="96"/>
      <c r="M289" s="27"/>
      <c r="N289" s="96"/>
      <c r="O289" s="75"/>
      <c r="P289" s="75"/>
      <c r="Q289" s="75"/>
      <c r="R289" s="75"/>
      <c r="S289" s="75"/>
      <c r="T289" s="75"/>
    </row>
    <row r="290" spans="1:20">
      <c r="A290" s="63"/>
      <c r="B290" s="75"/>
      <c r="C290" s="63"/>
      <c r="D290" s="75"/>
      <c r="E290" s="92"/>
      <c r="F290" s="92"/>
      <c r="G290" s="75"/>
      <c r="H290" s="75"/>
      <c r="I290" s="75"/>
      <c r="J290" s="75"/>
      <c r="K290" s="27"/>
      <c r="L290" s="96"/>
      <c r="M290" s="27"/>
      <c r="N290" s="96"/>
      <c r="O290" s="75"/>
      <c r="P290" s="75"/>
      <c r="Q290" s="75"/>
      <c r="R290" s="75"/>
      <c r="S290" s="75"/>
      <c r="T290" s="75"/>
    </row>
    <row r="291" spans="1:20">
      <c r="A291" s="63"/>
      <c r="B291" s="75"/>
      <c r="C291" s="63"/>
      <c r="D291" s="75"/>
      <c r="E291" s="92"/>
      <c r="F291" s="92"/>
      <c r="G291" s="75"/>
      <c r="H291" s="75"/>
      <c r="I291" s="75"/>
      <c r="J291" s="75"/>
      <c r="K291" s="27"/>
      <c r="L291" s="96"/>
      <c r="M291" s="27"/>
      <c r="N291" s="96"/>
      <c r="O291" s="75"/>
      <c r="P291" s="75"/>
      <c r="Q291" s="75"/>
      <c r="R291" s="75"/>
      <c r="S291" s="75"/>
      <c r="T291" s="75"/>
    </row>
    <row r="292" spans="1:20">
      <c r="A292" s="63"/>
      <c r="B292" s="75"/>
      <c r="C292" s="63"/>
      <c r="D292" s="75"/>
      <c r="E292" s="92"/>
      <c r="F292" s="92"/>
      <c r="G292" s="75"/>
      <c r="H292" s="75"/>
      <c r="I292" s="75"/>
      <c r="J292" s="75"/>
      <c r="K292" s="27"/>
      <c r="L292" s="96"/>
      <c r="M292" s="27"/>
      <c r="N292" s="96"/>
      <c r="O292" s="75"/>
      <c r="P292" s="75"/>
      <c r="Q292" s="75"/>
      <c r="R292" s="75"/>
      <c r="S292" s="75"/>
      <c r="T292" s="75"/>
    </row>
    <row r="293" spans="1:20">
      <c r="A293" s="63"/>
      <c r="B293" s="75"/>
      <c r="C293" s="63"/>
      <c r="D293" s="75"/>
      <c r="E293" s="92"/>
      <c r="F293" s="92"/>
      <c r="G293" s="75"/>
      <c r="H293" s="75"/>
      <c r="I293" s="75"/>
      <c r="J293" s="75"/>
      <c r="K293" s="27"/>
      <c r="L293" s="96"/>
      <c r="M293" s="27"/>
      <c r="N293" s="96"/>
      <c r="O293" s="75"/>
      <c r="P293" s="75"/>
      <c r="Q293" s="75"/>
      <c r="R293" s="75"/>
      <c r="S293" s="75"/>
      <c r="T293" s="75"/>
    </row>
    <row r="294" spans="1:20">
      <c r="A294" s="63"/>
      <c r="B294" s="75"/>
      <c r="C294" s="63"/>
      <c r="D294" s="75"/>
      <c r="E294" s="92"/>
      <c r="F294" s="92"/>
      <c r="G294" s="75"/>
      <c r="H294" s="75"/>
      <c r="I294" s="75"/>
      <c r="J294" s="75"/>
      <c r="K294" s="27"/>
      <c r="L294" s="96"/>
      <c r="M294" s="27"/>
      <c r="N294" s="96"/>
      <c r="O294" s="75"/>
      <c r="P294" s="75"/>
      <c r="Q294" s="75"/>
      <c r="R294" s="75"/>
      <c r="S294" s="75"/>
      <c r="T294" s="75"/>
    </row>
    <row r="295" spans="1:20">
      <c r="A295" s="63"/>
      <c r="B295" s="75"/>
      <c r="C295" s="63"/>
      <c r="D295" s="75"/>
      <c r="E295" s="92"/>
      <c r="F295" s="92"/>
      <c r="G295" s="75"/>
      <c r="H295" s="75"/>
      <c r="I295" s="75"/>
      <c r="J295" s="75"/>
      <c r="K295" s="27"/>
      <c r="L295" s="96"/>
      <c r="M295" s="27"/>
      <c r="N295" s="96"/>
      <c r="O295" s="75"/>
      <c r="P295" s="75"/>
      <c r="Q295" s="75"/>
      <c r="R295" s="75"/>
      <c r="S295" s="75"/>
      <c r="T295" s="75"/>
    </row>
    <row r="296" spans="1:20">
      <c r="A296" s="63"/>
      <c r="B296" s="75"/>
      <c r="C296" s="63"/>
      <c r="D296" s="75"/>
      <c r="E296" s="92"/>
      <c r="F296" s="92"/>
      <c r="G296" s="75"/>
      <c r="H296" s="75"/>
      <c r="I296" s="75"/>
      <c r="J296" s="75"/>
      <c r="K296" s="27"/>
      <c r="L296" s="96"/>
      <c r="M296" s="27"/>
      <c r="N296" s="96"/>
      <c r="O296" s="75"/>
      <c r="P296" s="75"/>
      <c r="Q296" s="75"/>
      <c r="R296" s="75"/>
      <c r="S296" s="75"/>
      <c r="T296" s="75"/>
    </row>
    <row r="297" spans="1:20">
      <c r="A297" s="63"/>
      <c r="B297" s="75"/>
      <c r="C297" s="63"/>
      <c r="D297" s="75"/>
      <c r="E297" s="92"/>
      <c r="F297" s="92"/>
      <c r="G297" s="75"/>
      <c r="H297" s="75"/>
      <c r="I297" s="75"/>
      <c r="J297" s="75"/>
      <c r="K297" s="27"/>
      <c r="L297" s="96"/>
      <c r="M297" s="27"/>
      <c r="N297" s="96"/>
      <c r="O297" s="75"/>
      <c r="P297" s="75"/>
      <c r="Q297" s="75"/>
      <c r="R297" s="75"/>
      <c r="S297" s="75"/>
      <c r="T297" s="75"/>
    </row>
    <row r="298" spans="1:20">
      <c r="A298" s="63"/>
      <c r="B298" s="75"/>
      <c r="C298" s="63"/>
      <c r="D298" s="75"/>
      <c r="E298" s="92"/>
      <c r="F298" s="92"/>
      <c r="G298" s="75"/>
      <c r="H298" s="75"/>
      <c r="I298" s="75"/>
      <c r="J298" s="75"/>
      <c r="K298" s="27"/>
      <c r="L298" s="96"/>
      <c r="M298" s="27"/>
      <c r="N298" s="96"/>
      <c r="O298" s="75"/>
      <c r="P298" s="75"/>
      <c r="Q298" s="75"/>
      <c r="R298" s="75"/>
      <c r="S298" s="75"/>
      <c r="T298" s="75"/>
    </row>
    <row r="299" spans="1:20">
      <c r="A299" s="63"/>
      <c r="B299" s="75"/>
      <c r="C299" s="63"/>
      <c r="D299" s="75"/>
      <c r="E299" s="92"/>
      <c r="F299" s="92"/>
      <c r="G299" s="75"/>
      <c r="H299" s="75"/>
      <c r="I299" s="75"/>
      <c r="J299" s="75"/>
      <c r="K299" s="27"/>
      <c r="L299" s="96"/>
      <c r="M299" s="27"/>
      <c r="N299" s="96"/>
      <c r="O299" s="75"/>
      <c r="P299" s="75"/>
      <c r="Q299" s="75"/>
      <c r="R299" s="75"/>
      <c r="S299" s="75"/>
      <c r="T299" s="75"/>
    </row>
    <row r="300" spans="1:20">
      <c r="A300" s="63"/>
      <c r="B300" s="75"/>
      <c r="C300" s="63"/>
      <c r="D300" s="75"/>
      <c r="E300" s="92"/>
      <c r="F300" s="92"/>
      <c r="G300" s="75"/>
      <c r="H300" s="75"/>
      <c r="I300" s="75"/>
      <c r="J300" s="75"/>
      <c r="K300" s="27"/>
      <c r="L300" s="96"/>
      <c r="M300" s="27"/>
      <c r="N300" s="96"/>
      <c r="O300" s="75"/>
      <c r="P300" s="75"/>
      <c r="Q300" s="75"/>
      <c r="R300" s="75"/>
      <c r="S300" s="75"/>
      <c r="T300" s="75"/>
    </row>
    <row r="301" spans="1:20">
      <c r="A301" s="63"/>
      <c r="B301" s="75"/>
      <c r="C301" s="63"/>
      <c r="D301" s="75"/>
      <c r="E301" s="92"/>
      <c r="F301" s="92"/>
      <c r="G301" s="75"/>
      <c r="H301" s="75"/>
      <c r="I301" s="75"/>
      <c r="J301" s="75"/>
      <c r="K301" s="27"/>
      <c r="L301" s="96"/>
      <c r="M301" s="27"/>
      <c r="N301" s="96"/>
      <c r="O301" s="75"/>
      <c r="P301" s="75"/>
      <c r="Q301" s="75"/>
      <c r="R301" s="75"/>
      <c r="S301" s="75"/>
      <c r="T301" s="75"/>
    </row>
    <row r="302" spans="1:20">
      <c r="A302" s="63"/>
      <c r="B302" s="75"/>
      <c r="C302" s="63"/>
      <c r="D302" s="75"/>
      <c r="E302" s="92"/>
      <c r="F302" s="92"/>
      <c r="G302" s="75"/>
      <c r="H302" s="75"/>
      <c r="I302" s="75"/>
      <c r="J302" s="75"/>
      <c r="K302" s="27"/>
      <c r="L302" s="96"/>
      <c r="M302" s="27"/>
      <c r="N302" s="96"/>
      <c r="O302" s="75"/>
      <c r="P302" s="75"/>
      <c r="Q302" s="75"/>
      <c r="R302" s="75"/>
      <c r="S302" s="75"/>
      <c r="T302" s="75"/>
    </row>
    <row r="303" spans="1:20">
      <c r="A303" s="63"/>
      <c r="B303" s="75"/>
      <c r="C303" s="63"/>
      <c r="D303" s="75"/>
      <c r="E303" s="92"/>
      <c r="F303" s="92"/>
      <c r="G303" s="75"/>
      <c r="H303" s="75"/>
      <c r="I303" s="75"/>
      <c r="J303" s="75"/>
      <c r="K303" s="27"/>
      <c r="L303" s="96"/>
      <c r="M303" s="27"/>
      <c r="N303" s="96"/>
      <c r="O303" s="75"/>
      <c r="P303" s="75"/>
      <c r="Q303" s="75"/>
      <c r="R303" s="75"/>
      <c r="S303" s="75"/>
      <c r="T303" s="75"/>
    </row>
    <row r="304" spans="1:20">
      <c r="A304" s="63"/>
      <c r="B304" s="75"/>
      <c r="C304" s="63"/>
      <c r="D304" s="75"/>
      <c r="E304" s="92"/>
      <c r="F304" s="92"/>
      <c r="G304" s="75"/>
      <c r="H304" s="75"/>
      <c r="I304" s="75"/>
      <c r="J304" s="75"/>
      <c r="K304" s="27"/>
      <c r="L304" s="96"/>
      <c r="M304" s="27"/>
      <c r="N304" s="96"/>
      <c r="O304" s="75"/>
      <c r="P304" s="75"/>
      <c r="Q304" s="75"/>
      <c r="R304" s="75"/>
      <c r="S304" s="75"/>
      <c r="T304" s="75"/>
    </row>
    <row r="305" spans="1:20">
      <c r="A305" s="63"/>
      <c r="B305" s="75"/>
      <c r="C305" s="63"/>
      <c r="D305" s="75"/>
      <c r="E305" s="92"/>
      <c r="F305" s="92"/>
      <c r="G305" s="75"/>
      <c r="H305" s="75"/>
      <c r="I305" s="75"/>
      <c r="J305" s="75"/>
      <c r="K305" s="27"/>
      <c r="L305" s="96"/>
      <c r="M305" s="27"/>
      <c r="N305" s="96"/>
      <c r="O305" s="75"/>
      <c r="P305" s="75"/>
      <c r="Q305" s="75"/>
      <c r="R305" s="75"/>
      <c r="S305" s="75"/>
      <c r="T305" s="75"/>
    </row>
    <row r="306" spans="1:20">
      <c r="A306" s="63"/>
      <c r="B306" s="75"/>
      <c r="C306" s="63"/>
      <c r="D306" s="75"/>
      <c r="E306" s="92"/>
      <c r="F306" s="92"/>
      <c r="G306" s="75"/>
      <c r="H306" s="75"/>
      <c r="I306" s="75"/>
      <c r="J306" s="75"/>
      <c r="K306" s="27"/>
      <c r="L306" s="96"/>
      <c r="M306" s="27"/>
      <c r="N306" s="96"/>
      <c r="O306" s="75"/>
      <c r="P306" s="75"/>
      <c r="Q306" s="75"/>
      <c r="R306" s="75"/>
      <c r="S306" s="75"/>
      <c r="T306" s="75"/>
    </row>
    <row r="307" spans="1:20">
      <c r="A307" s="63"/>
      <c r="B307" s="75"/>
      <c r="C307" s="63"/>
      <c r="D307" s="75"/>
      <c r="E307" s="92"/>
      <c r="F307" s="92"/>
      <c r="G307" s="75"/>
      <c r="H307" s="75"/>
      <c r="I307" s="75"/>
      <c r="J307" s="75"/>
      <c r="K307" s="27"/>
      <c r="L307" s="96"/>
      <c r="M307" s="27"/>
      <c r="N307" s="96"/>
      <c r="O307" s="75"/>
      <c r="P307" s="75"/>
      <c r="Q307" s="75"/>
      <c r="R307" s="75"/>
      <c r="S307" s="75"/>
      <c r="T307" s="75"/>
    </row>
    <row r="308" spans="1:20">
      <c r="A308" s="63"/>
      <c r="B308" s="75"/>
      <c r="C308" s="63"/>
      <c r="D308" s="75"/>
      <c r="E308" s="92"/>
      <c r="F308" s="92"/>
      <c r="G308" s="75"/>
      <c r="H308" s="75"/>
      <c r="I308" s="75"/>
      <c r="J308" s="75"/>
      <c r="K308" s="27"/>
      <c r="L308" s="96"/>
      <c r="M308" s="27"/>
      <c r="N308" s="96"/>
      <c r="O308" s="75"/>
      <c r="P308" s="75"/>
      <c r="Q308" s="75"/>
      <c r="R308" s="75"/>
      <c r="S308" s="75"/>
      <c r="T308" s="75"/>
    </row>
    <row r="309" spans="1:20">
      <c r="A309" s="63"/>
      <c r="B309" s="75"/>
      <c r="C309" s="63"/>
      <c r="D309" s="75"/>
      <c r="E309" s="92"/>
      <c r="F309" s="92"/>
      <c r="G309" s="75"/>
      <c r="H309" s="75"/>
      <c r="I309" s="75"/>
      <c r="J309" s="75"/>
      <c r="K309" s="27"/>
      <c r="L309" s="96"/>
      <c r="M309" s="27"/>
      <c r="N309" s="96"/>
      <c r="O309" s="75"/>
      <c r="P309" s="75"/>
      <c r="Q309" s="75"/>
      <c r="R309" s="75"/>
      <c r="S309" s="75"/>
      <c r="T309" s="75"/>
    </row>
    <row r="310" spans="1:20">
      <c r="A310" s="63"/>
      <c r="B310" s="75"/>
      <c r="C310" s="63"/>
      <c r="D310" s="75"/>
      <c r="E310" s="92"/>
      <c r="F310" s="92"/>
      <c r="G310" s="75"/>
      <c r="H310" s="75"/>
      <c r="I310" s="75"/>
      <c r="J310" s="75"/>
      <c r="K310" s="27"/>
      <c r="L310" s="96"/>
      <c r="M310" s="27"/>
      <c r="N310" s="96"/>
      <c r="O310" s="75"/>
      <c r="P310" s="75"/>
      <c r="Q310" s="75"/>
      <c r="R310" s="75"/>
      <c r="S310" s="75"/>
      <c r="T310" s="75"/>
    </row>
    <row r="311" spans="1:20">
      <c r="A311" s="63"/>
      <c r="B311" s="75"/>
      <c r="C311" s="63"/>
      <c r="D311" s="75"/>
      <c r="E311" s="92"/>
      <c r="F311" s="92"/>
      <c r="G311" s="75"/>
      <c r="H311" s="75"/>
      <c r="I311" s="75"/>
      <c r="J311" s="75"/>
      <c r="K311" s="27"/>
      <c r="L311" s="96"/>
      <c r="M311" s="27"/>
      <c r="N311" s="96"/>
      <c r="O311" s="75"/>
      <c r="P311" s="75"/>
      <c r="Q311" s="75"/>
      <c r="R311" s="75"/>
      <c r="S311" s="75"/>
      <c r="T311" s="75"/>
    </row>
    <row r="312" spans="1:20">
      <c r="A312" s="63"/>
      <c r="B312" s="75"/>
      <c r="C312" s="63"/>
      <c r="D312" s="75"/>
      <c r="E312" s="92"/>
      <c r="F312" s="92"/>
      <c r="G312" s="75"/>
      <c r="H312" s="75"/>
      <c r="I312" s="75"/>
      <c r="J312" s="75"/>
      <c r="K312" s="27"/>
      <c r="L312" s="96"/>
      <c r="M312" s="27"/>
      <c r="N312" s="96"/>
      <c r="O312" s="75"/>
      <c r="P312" s="75"/>
      <c r="Q312" s="75"/>
      <c r="R312" s="75"/>
      <c r="S312" s="75"/>
      <c r="T312" s="75"/>
    </row>
    <row r="313" spans="1:20">
      <c r="A313" s="63"/>
      <c r="B313" s="75"/>
      <c r="C313" s="63"/>
      <c r="D313" s="75"/>
      <c r="E313" s="92"/>
      <c r="F313" s="92"/>
      <c r="G313" s="75"/>
      <c r="H313" s="75"/>
      <c r="I313" s="75"/>
      <c r="J313" s="75"/>
      <c r="K313" s="27"/>
      <c r="L313" s="96"/>
      <c r="M313" s="27"/>
      <c r="N313" s="96"/>
      <c r="O313" s="75"/>
      <c r="P313" s="75"/>
      <c r="Q313" s="75"/>
      <c r="R313" s="75"/>
      <c r="S313" s="75"/>
      <c r="T313" s="75"/>
    </row>
    <row r="314" spans="1:20">
      <c r="A314" s="63"/>
      <c r="B314" s="75"/>
      <c r="C314" s="63"/>
      <c r="D314" s="75"/>
      <c r="E314" s="92"/>
      <c r="F314" s="92"/>
      <c r="G314" s="75"/>
      <c r="H314" s="75"/>
      <c r="I314" s="75"/>
      <c r="J314" s="75"/>
      <c r="K314" s="27"/>
      <c r="L314" s="96"/>
      <c r="M314" s="27"/>
      <c r="N314" s="96"/>
      <c r="O314" s="75"/>
      <c r="P314" s="75"/>
      <c r="Q314" s="75"/>
      <c r="R314" s="75"/>
      <c r="S314" s="75"/>
      <c r="T314" s="75"/>
    </row>
    <row r="315" spans="1:20">
      <c r="A315" s="63"/>
      <c r="B315" s="75"/>
      <c r="C315" s="63"/>
      <c r="D315" s="75"/>
      <c r="E315" s="92"/>
      <c r="F315" s="92"/>
      <c r="G315" s="75"/>
      <c r="H315" s="75"/>
      <c r="I315" s="75"/>
      <c r="J315" s="75"/>
      <c r="K315" s="27"/>
      <c r="L315" s="96"/>
      <c r="M315" s="27"/>
      <c r="N315" s="96"/>
      <c r="O315" s="75"/>
      <c r="P315" s="75"/>
      <c r="Q315" s="75"/>
      <c r="R315" s="75"/>
      <c r="S315" s="75"/>
      <c r="T315" s="75"/>
    </row>
    <row r="316" spans="1:20">
      <c r="A316" s="63"/>
      <c r="B316" s="75"/>
      <c r="C316" s="63"/>
      <c r="D316" s="75"/>
      <c r="E316" s="92"/>
      <c r="F316" s="92"/>
      <c r="G316" s="75"/>
      <c r="H316" s="75"/>
      <c r="I316" s="75"/>
      <c r="J316" s="75"/>
      <c r="K316" s="27"/>
      <c r="L316" s="96"/>
      <c r="M316" s="27"/>
      <c r="N316" s="96"/>
      <c r="O316" s="75"/>
      <c r="P316" s="75"/>
      <c r="Q316" s="75"/>
      <c r="R316" s="75"/>
      <c r="S316" s="75"/>
      <c r="T316" s="75"/>
    </row>
    <row r="317" spans="1:20">
      <c r="A317" s="63"/>
      <c r="B317" s="75"/>
      <c r="C317" s="63"/>
      <c r="D317" s="75"/>
      <c r="E317" s="92"/>
      <c r="F317" s="92"/>
      <c r="G317" s="75"/>
      <c r="H317" s="75"/>
      <c r="I317" s="75"/>
      <c r="J317" s="75"/>
      <c r="K317" s="27"/>
      <c r="L317" s="96"/>
      <c r="M317" s="27"/>
      <c r="N317" s="96"/>
      <c r="O317" s="75"/>
      <c r="P317" s="75"/>
      <c r="Q317" s="75"/>
      <c r="R317" s="75"/>
      <c r="S317" s="75"/>
      <c r="T317" s="75"/>
    </row>
    <row r="318" spans="1:20">
      <c r="A318" s="63"/>
      <c r="B318" s="75"/>
      <c r="C318" s="63"/>
      <c r="D318" s="75"/>
      <c r="E318" s="92"/>
      <c r="F318" s="92"/>
      <c r="G318" s="75"/>
      <c r="H318" s="75"/>
      <c r="I318" s="75"/>
      <c r="J318" s="75"/>
      <c r="K318" s="27"/>
      <c r="L318" s="96"/>
      <c r="M318" s="27"/>
      <c r="N318" s="96"/>
      <c r="O318" s="75"/>
      <c r="P318" s="75"/>
      <c r="Q318" s="75"/>
      <c r="R318" s="75"/>
      <c r="S318" s="75"/>
      <c r="T318" s="75"/>
    </row>
    <row r="319" spans="1:20">
      <c r="A319" s="63"/>
      <c r="B319" s="75"/>
      <c r="C319" s="63"/>
      <c r="D319" s="75"/>
      <c r="E319" s="92"/>
      <c r="F319" s="92"/>
      <c r="G319" s="75"/>
      <c r="H319" s="75"/>
      <c r="I319" s="75"/>
      <c r="J319" s="75"/>
      <c r="K319" s="27"/>
      <c r="L319" s="96"/>
      <c r="M319" s="27"/>
      <c r="N319" s="96"/>
      <c r="O319" s="75"/>
      <c r="P319" s="75"/>
      <c r="Q319" s="75"/>
      <c r="R319" s="75"/>
      <c r="S319" s="75"/>
      <c r="T319" s="75"/>
    </row>
    <row r="320" spans="1:20">
      <c r="A320" s="63"/>
      <c r="B320" s="75"/>
      <c r="C320" s="63"/>
      <c r="D320" s="75"/>
      <c r="E320" s="92"/>
      <c r="F320" s="92"/>
      <c r="G320" s="75"/>
      <c r="H320" s="75"/>
      <c r="I320" s="75"/>
      <c r="J320" s="75"/>
      <c r="K320" s="27"/>
      <c r="L320" s="96"/>
      <c r="M320" s="27"/>
      <c r="N320" s="96"/>
      <c r="O320" s="75"/>
      <c r="P320" s="75"/>
      <c r="Q320" s="75"/>
      <c r="R320" s="75"/>
      <c r="S320" s="75"/>
      <c r="T320" s="75"/>
    </row>
    <row r="321" spans="1:20">
      <c r="A321" s="63"/>
      <c r="B321" s="75"/>
      <c r="C321" s="63"/>
      <c r="D321" s="75"/>
      <c r="E321" s="92"/>
      <c r="F321" s="92"/>
      <c r="G321" s="75"/>
      <c r="H321" s="75"/>
      <c r="I321" s="75"/>
      <c r="J321" s="75"/>
      <c r="K321" s="27"/>
      <c r="L321" s="96"/>
      <c r="M321" s="27"/>
      <c r="N321" s="96"/>
      <c r="O321" s="75"/>
      <c r="P321" s="75"/>
      <c r="Q321" s="75"/>
      <c r="R321" s="75"/>
      <c r="S321" s="75"/>
      <c r="T321" s="75"/>
    </row>
    <row r="322" spans="1:20">
      <c r="A322" s="63"/>
      <c r="B322" s="75"/>
      <c r="C322" s="63"/>
      <c r="D322" s="75"/>
      <c r="E322" s="92"/>
      <c r="F322" s="92"/>
      <c r="G322" s="75"/>
      <c r="H322" s="75"/>
      <c r="I322" s="75"/>
      <c r="J322" s="75"/>
      <c r="K322" s="27"/>
      <c r="L322" s="96"/>
      <c r="M322" s="27"/>
      <c r="N322" s="96"/>
      <c r="O322" s="75"/>
      <c r="P322" s="75"/>
      <c r="Q322" s="75"/>
      <c r="R322" s="75"/>
      <c r="S322" s="75"/>
      <c r="T322" s="75"/>
    </row>
    <row r="323" spans="1:20">
      <c r="A323" s="63"/>
      <c r="B323" s="75"/>
      <c r="C323" s="63"/>
      <c r="D323" s="75"/>
      <c r="E323" s="92"/>
      <c r="F323" s="92"/>
      <c r="G323" s="75"/>
      <c r="H323" s="75"/>
      <c r="I323" s="75"/>
      <c r="J323" s="75"/>
      <c r="K323" s="27"/>
      <c r="L323" s="96"/>
      <c r="M323" s="27"/>
      <c r="N323" s="96"/>
      <c r="O323" s="75"/>
      <c r="P323" s="75"/>
      <c r="Q323" s="75"/>
      <c r="R323" s="75"/>
      <c r="S323" s="75"/>
      <c r="T323" s="75"/>
    </row>
    <row r="324" spans="1:20">
      <c r="A324" s="63"/>
      <c r="B324" s="75"/>
      <c r="C324" s="63"/>
      <c r="D324" s="75"/>
      <c r="E324" s="92"/>
      <c r="F324" s="92"/>
      <c r="G324" s="75"/>
      <c r="H324" s="75"/>
      <c r="I324" s="75"/>
      <c r="J324" s="75"/>
      <c r="K324" s="27"/>
      <c r="L324" s="96"/>
      <c r="M324" s="27"/>
      <c r="N324" s="96"/>
      <c r="O324" s="75"/>
      <c r="P324" s="75"/>
      <c r="Q324" s="75"/>
      <c r="R324" s="75"/>
      <c r="S324" s="75"/>
      <c r="T324" s="75"/>
    </row>
    <row r="325" spans="1:20">
      <c r="A325" s="63"/>
      <c r="B325" s="75"/>
      <c r="C325" s="63"/>
      <c r="D325" s="75"/>
      <c r="E325" s="92"/>
      <c r="F325" s="92"/>
      <c r="G325" s="75"/>
      <c r="H325" s="75"/>
      <c r="I325" s="75"/>
      <c r="J325" s="75"/>
      <c r="K325" s="27"/>
      <c r="L325" s="96"/>
      <c r="M325" s="27"/>
      <c r="N325" s="96"/>
      <c r="O325" s="75"/>
      <c r="P325" s="75"/>
      <c r="Q325" s="75"/>
      <c r="R325" s="75"/>
      <c r="S325" s="75"/>
      <c r="T325" s="75"/>
    </row>
    <row r="326" spans="1:20">
      <c r="A326" s="63"/>
      <c r="B326" s="75"/>
      <c r="C326" s="63"/>
      <c r="D326" s="75"/>
      <c r="E326" s="92"/>
      <c r="F326" s="92"/>
      <c r="G326" s="75"/>
      <c r="H326" s="75"/>
      <c r="I326" s="75"/>
      <c r="J326" s="75"/>
      <c r="K326" s="27"/>
      <c r="L326" s="96"/>
      <c r="M326" s="27"/>
      <c r="N326" s="96"/>
      <c r="O326" s="75"/>
      <c r="P326" s="75"/>
      <c r="Q326" s="75"/>
      <c r="R326" s="75"/>
      <c r="S326" s="75"/>
      <c r="T326" s="75"/>
    </row>
    <row r="327" spans="1:20">
      <c r="A327" s="63"/>
      <c r="B327" s="75"/>
      <c r="C327" s="63"/>
      <c r="D327" s="75"/>
      <c r="E327" s="92"/>
      <c r="F327" s="92"/>
      <c r="G327" s="75"/>
      <c r="H327" s="75"/>
      <c r="I327" s="75"/>
      <c r="J327" s="75"/>
      <c r="K327" s="27"/>
      <c r="L327" s="96"/>
      <c r="M327" s="27"/>
      <c r="N327" s="96"/>
      <c r="O327" s="75"/>
      <c r="P327" s="75"/>
      <c r="Q327" s="75"/>
      <c r="R327" s="75"/>
      <c r="S327" s="75"/>
      <c r="T327" s="75"/>
    </row>
    <row r="328" spans="1:20">
      <c r="A328" s="63"/>
      <c r="B328" s="75"/>
      <c r="C328" s="63"/>
      <c r="D328" s="75"/>
      <c r="E328" s="92"/>
      <c r="F328" s="92"/>
      <c r="G328" s="75"/>
      <c r="H328" s="75"/>
      <c r="I328" s="75"/>
      <c r="J328" s="75"/>
      <c r="K328" s="27"/>
      <c r="L328" s="96"/>
      <c r="M328" s="27"/>
      <c r="N328" s="96"/>
      <c r="O328" s="75"/>
      <c r="P328" s="75"/>
      <c r="Q328" s="75"/>
      <c r="R328" s="75"/>
      <c r="S328" s="75"/>
      <c r="T328" s="75"/>
    </row>
    <row r="329" spans="1:20">
      <c r="A329" s="63"/>
      <c r="B329" s="75"/>
      <c r="C329" s="63"/>
      <c r="D329" s="75"/>
      <c r="E329" s="92"/>
      <c r="F329" s="92"/>
      <c r="G329" s="75"/>
      <c r="H329" s="75"/>
      <c r="I329" s="75"/>
      <c r="J329" s="75"/>
      <c r="K329" s="27"/>
      <c r="L329" s="96"/>
      <c r="M329" s="27"/>
      <c r="N329" s="96"/>
      <c r="O329" s="75"/>
      <c r="P329" s="75"/>
      <c r="Q329" s="75"/>
      <c r="R329" s="75"/>
      <c r="S329" s="75"/>
      <c r="T329" s="75"/>
    </row>
    <row r="330" spans="1:20">
      <c r="A330" s="63"/>
      <c r="B330" s="75"/>
      <c r="C330" s="63"/>
      <c r="D330" s="75"/>
      <c r="E330" s="92"/>
      <c r="F330" s="92"/>
      <c r="G330" s="75"/>
      <c r="H330" s="75"/>
      <c r="I330" s="75"/>
      <c r="J330" s="75"/>
      <c r="K330" s="27"/>
      <c r="L330" s="96"/>
      <c r="M330" s="27"/>
      <c r="N330" s="96"/>
      <c r="O330" s="75"/>
      <c r="P330" s="75"/>
      <c r="Q330" s="75"/>
      <c r="R330" s="75"/>
      <c r="S330" s="75"/>
      <c r="T330" s="75"/>
    </row>
    <row r="331" spans="1:20">
      <c r="A331" s="63"/>
      <c r="B331" s="75"/>
      <c r="C331" s="63"/>
      <c r="D331" s="75"/>
      <c r="E331" s="92"/>
      <c r="F331" s="92"/>
      <c r="G331" s="75"/>
      <c r="H331" s="75"/>
      <c r="I331" s="75"/>
      <c r="J331" s="75"/>
      <c r="K331" s="27"/>
      <c r="L331" s="96"/>
      <c r="M331" s="27"/>
      <c r="N331" s="96"/>
      <c r="O331" s="75"/>
      <c r="P331" s="75"/>
      <c r="Q331" s="75"/>
      <c r="R331" s="75"/>
      <c r="S331" s="75"/>
      <c r="T331" s="75"/>
    </row>
    <row r="332" spans="1:20">
      <c r="A332" s="63"/>
      <c r="B332" s="75"/>
      <c r="C332" s="63"/>
      <c r="D332" s="75"/>
      <c r="E332" s="92"/>
      <c r="F332" s="92"/>
      <c r="G332" s="75"/>
      <c r="H332" s="75"/>
      <c r="I332" s="75"/>
      <c r="J332" s="75"/>
      <c r="K332" s="27"/>
      <c r="L332" s="96"/>
      <c r="M332" s="27"/>
      <c r="N332" s="96"/>
      <c r="O332" s="75"/>
      <c r="P332" s="75"/>
      <c r="Q332" s="75"/>
      <c r="R332" s="75"/>
      <c r="S332" s="75"/>
      <c r="T332" s="75"/>
    </row>
    <row r="333" spans="1:20">
      <c r="A333" s="63"/>
      <c r="B333" s="75"/>
      <c r="C333" s="63"/>
      <c r="D333" s="75"/>
      <c r="E333" s="92"/>
      <c r="F333" s="92"/>
      <c r="G333" s="75"/>
      <c r="H333" s="75"/>
      <c r="I333" s="75"/>
      <c r="J333" s="75"/>
      <c r="K333" s="27"/>
      <c r="L333" s="96"/>
      <c r="M333" s="27"/>
      <c r="N333" s="96"/>
      <c r="O333" s="75"/>
      <c r="P333" s="75"/>
      <c r="Q333" s="75"/>
      <c r="R333" s="75"/>
      <c r="S333" s="75"/>
      <c r="T333" s="75"/>
    </row>
    <row r="334" spans="1:20">
      <c r="A334" s="63"/>
      <c r="B334" s="75"/>
      <c r="C334" s="63"/>
      <c r="D334" s="75"/>
      <c r="E334" s="92"/>
      <c r="F334" s="92"/>
      <c r="G334" s="75"/>
      <c r="H334" s="75"/>
      <c r="I334" s="75"/>
      <c r="J334" s="75"/>
      <c r="K334" s="27"/>
      <c r="L334" s="96"/>
      <c r="M334" s="27"/>
      <c r="N334" s="96"/>
      <c r="O334" s="75"/>
      <c r="P334" s="75"/>
      <c r="Q334" s="75"/>
      <c r="R334" s="75"/>
      <c r="S334" s="75"/>
      <c r="T334" s="75"/>
    </row>
    <row r="335" spans="1:20">
      <c r="A335" s="63"/>
      <c r="B335" s="75"/>
      <c r="C335" s="63"/>
      <c r="D335" s="75"/>
      <c r="E335" s="92"/>
      <c r="F335" s="92"/>
      <c r="G335" s="75"/>
      <c r="H335" s="75"/>
      <c r="I335" s="75"/>
      <c r="J335" s="75"/>
      <c r="K335" s="27"/>
      <c r="L335" s="96"/>
      <c r="M335" s="27"/>
      <c r="N335" s="96"/>
      <c r="O335" s="75"/>
      <c r="P335" s="75"/>
      <c r="Q335" s="75"/>
      <c r="R335" s="75"/>
      <c r="S335" s="75"/>
      <c r="T335" s="75"/>
    </row>
    <row r="336" spans="1:20">
      <c r="A336" s="63"/>
      <c r="B336" s="75"/>
      <c r="C336" s="63"/>
      <c r="D336" s="75"/>
      <c r="E336" s="92"/>
      <c r="F336" s="92"/>
      <c r="G336" s="75"/>
      <c r="H336" s="75"/>
      <c r="I336" s="75"/>
      <c r="J336" s="75"/>
      <c r="K336" s="27"/>
      <c r="L336" s="96"/>
      <c r="M336" s="27"/>
      <c r="N336" s="96"/>
      <c r="O336" s="75"/>
      <c r="P336" s="75"/>
      <c r="Q336" s="75"/>
      <c r="R336" s="75"/>
      <c r="S336" s="75"/>
      <c r="T336" s="75"/>
    </row>
    <row r="337" spans="1:20">
      <c r="A337" s="63"/>
      <c r="B337" s="75"/>
      <c r="C337" s="63"/>
      <c r="D337" s="75"/>
      <c r="E337" s="92"/>
      <c r="F337" s="92"/>
      <c r="G337" s="75"/>
      <c r="H337" s="75"/>
      <c r="I337" s="75"/>
      <c r="J337" s="75"/>
      <c r="K337" s="27"/>
      <c r="L337" s="96"/>
      <c r="M337" s="27"/>
      <c r="N337" s="96"/>
      <c r="O337" s="75"/>
      <c r="P337" s="75"/>
      <c r="Q337" s="75"/>
      <c r="R337" s="75"/>
      <c r="S337" s="75"/>
      <c r="T337" s="75"/>
    </row>
    <row r="338" spans="1:20">
      <c r="A338" s="63"/>
      <c r="B338" s="75"/>
      <c r="C338" s="63"/>
      <c r="D338" s="75"/>
      <c r="E338" s="92"/>
      <c r="F338" s="92"/>
      <c r="G338" s="75"/>
      <c r="H338" s="75"/>
      <c r="I338" s="75"/>
      <c r="J338" s="75"/>
      <c r="K338" s="27"/>
      <c r="L338" s="96"/>
      <c r="M338" s="27"/>
      <c r="N338" s="96"/>
      <c r="O338" s="75"/>
      <c r="P338" s="75"/>
      <c r="Q338" s="75"/>
      <c r="R338" s="75"/>
      <c r="S338" s="75"/>
      <c r="T338" s="75"/>
    </row>
    <row r="339" spans="1:20">
      <c r="A339" s="63"/>
      <c r="B339" s="75"/>
      <c r="C339" s="63"/>
      <c r="D339" s="75"/>
      <c r="E339" s="92"/>
      <c r="F339" s="92"/>
      <c r="G339" s="75"/>
      <c r="H339" s="75"/>
      <c r="I339" s="75"/>
      <c r="J339" s="75"/>
      <c r="K339" s="27"/>
      <c r="L339" s="96"/>
      <c r="M339" s="27"/>
      <c r="N339" s="96"/>
      <c r="O339" s="75"/>
      <c r="P339" s="75"/>
      <c r="Q339" s="75"/>
      <c r="R339" s="75"/>
      <c r="S339" s="75"/>
      <c r="T339" s="75"/>
    </row>
    <row r="340" spans="1:20">
      <c r="A340" s="63"/>
      <c r="B340" s="75"/>
      <c r="C340" s="63"/>
      <c r="D340" s="75"/>
      <c r="E340" s="92"/>
      <c r="F340" s="92"/>
      <c r="G340" s="75"/>
      <c r="H340" s="75"/>
      <c r="I340" s="75"/>
      <c r="J340" s="75"/>
      <c r="K340" s="27"/>
      <c r="L340" s="96"/>
      <c r="M340" s="27"/>
      <c r="N340" s="96"/>
      <c r="O340" s="75"/>
      <c r="P340" s="75"/>
      <c r="Q340" s="75"/>
      <c r="R340" s="75"/>
      <c r="S340" s="75"/>
      <c r="T340" s="75"/>
    </row>
    <row r="341" spans="1:20">
      <c r="A341" s="63"/>
      <c r="B341" s="75"/>
      <c r="C341" s="63"/>
      <c r="D341" s="75"/>
      <c r="E341" s="92"/>
      <c r="F341" s="92"/>
      <c r="G341" s="75"/>
      <c r="H341" s="75"/>
      <c r="I341" s="75"/>
      <c r="J341" s="75"/>
      <c r="K341" s="27"/>
      <c r="L341" s="96"/>
      <c r="M341" s="27"/>
      <c r="N341" s="96"/>
      <c r="O341" s="75"/>
      <c r="P341" s="75"/>
      <c r="Q341" s="75"/>
      <c r="R341" s="75"/>
      <c r="S341" s="75"/>
      <c r="T341" s="75"/>
    </row>
    <row r="342" spans="1:20">
      <c r="A342" s="63"/>
      <c r="B342" s="75"/>
      <c r="C342" s="63"/>
      <c r="D342" s="75"/>
      <c r="E342" s="92"/>
      <c r="F342" s="92"/>
      <c r="G342" s="75"/>
      <c r="H342" s="75"/>
      <c r="I342" s="75"/>
      <c r="J342" s="75"/>
      <c r="K342" s="27"/>
      <c r="L342" s="96"/>
      <c r="M342" s="27"/>
      <c r="N342" s="96"/>
      <c r="O342" s="75"/>
      <c r="P342" s="75"/>
      <c r="Q342" s="75"/>
      <c r="R342" s="75"/>
      <c r="S342" s="75"/>
      <c r="T342" s="75"/>
    </row>
    <row r="343" spans="1:20">
      <c r="A343" s="63"/>
      <c r="B343" s="75"/>
      <c r="C343" s="63"/>
      <c r="D343" s="75"/>
      <c r="E343" s="92"/>
      <c r="F343" s="80"/>
      <c r="G343" s="75"/>
      <c r="H343" s="75"/>
      <c r="I343" s="75"/>
      <c r="J343" s="75"/>
      <c r="K343" s="27"/>
      <c r="L343" s="96"/>
      <c r="M343" s="27"/>
      <c r="N343" s="96"/>
      <c r="O343" s="75"/>
      <c r="P343" s="75"/>
      <c r="Q343" s="75"/>
      <c r="R343" s="75"/>
      <c r="S343" s="75"/>
      <c r="T343" s="75"/>
    </row>
    <row r="344" spans="1:20">
      <c r="A344" s="63"/>
      <c r="B344" s="75"/>
      <c r="C344" s="63"/>
      <c r="D344" s="75"/>
      <c r="E344" s="92"/>
      <c r="F344" s="92"/>
      <c r="G344" s="75"/>
      <c r="H344" s="75"/>
      <c r="I344" s="75"/>
      <c r="J344" s="75"/>
      <c r="K344" s="27"/>
      <c r="L344" s="96"/>
      <c r="M344" s="27"/>
      <c r="N344" s="96"/>
      <c r="O344" s="75"/>
      <c r="P344" s="75"/>
      <c r="Q344" s="75"/>
      <c r="R344" s="75"/>
      <c r="S344" s="75"/>
      <c r="T344" s="75"/>
    </row>
    <row r="345" spans="1:20">
      <c r="A345" s="63"/>
      <c r="B345" s="75"/>
      <c r="C345" s="63"/>
      <c r="D345" s="75"/>
      <c r="E345" s="92"/>
      <c r="F345" s="92"/>
      <c r="G345" s="75"/>
      <c r="H345" s="75"/>
      <c r="I345" s="75"/>
      <c r="J345" s="75"/>
      <c r="K345" s="27"/>
      <c r="L345" s="96"/>
      <c r="M345" s="27"/>
      <c r="N345" s="96"/>
      <c r="O345" s="75"/>
      <c r="P345" s="75"/>
      <c r="Q345" s="75"/>
      <c r="R345" s="75"/>
      <c r="S345" s="75"/>
      <c r="T345" s="75"/>
    </row>
    <row r="346" spans="1:20">
      <c r="A346" s="63"/>
      <c r="B346" s="75"/>
      <c r="C346" s="63"/>
      <c r="D346" s="75"/>
      <c r="E346" s="92"/>
      <c r="F346" s="92"/>
      <c r="G346" s="75"/>
      <c r="H346" s="75"/>
      <c r="I346" s="75"/>
      <c r="J346" s="75"/>
      <c r="K346" s="27"/>
      <c r="L346" s="96"/>
      <c r="M346" s="27"/>
      <c r="N346" s="96"/>
      <c r="O346" s="75"/>
      <c r="P346" s="75"/>
      <c r="Q346" s="75"/>
      <c r="R346" s="75"/>
      <c r="S346" s="75"/>
      <c r="T346" s="75"/>
    </row>
    <row r="347" spans="1:20">
      <c r="A347" s="63"/>
      <c r="B347" s="75"/>
      <c r="C347" s="63"/>
      <c r="D347" s="75"/>
      <c r="E347" s="92"/>
      <c r="F347" s="92"/>
      <c r="G347" s="75"/>
      <c r="H347" s="75"/>
      <c r="I347" s="75"/>
      <c r="J347" s="75"/>
      <c r="K347" s="27"/>
      <c r="L347" s="96"/>
      <c r="M347" s="27"/>
      <c r="N347" s="96"/>
      <c r="O347" s="75"/>
      <c r="P347" s="75"/>
      <c r="Q347" s="75"/>
      <c r="R347" s="75"/>
      <c r="S347" s="75"/>
      <c r="T347" s="75"/>
    </row>
    <row r="348" spans="1:20">
      <c r="A348" s="63"/>
      <c r="B348" s="75"/>
      <c r="C348" s="63"/>
      <c r="D348" s="75"/>
      <c r="E348" s="92"/>
      <c r="F348" s="92"/>
      <c r="G348" s="75"/>
      <c r="H348" s="75"/>
      <c r="I348" s="75"/>
      <c r="J348" s="75"/>
      <c r="K348" s="27"/>
      <c r="L348" s="96"/>
      <c r="M348" s="27"/>
      <c r="N348" s="96"/>
      <c r="O348" s="75"/>
      <c r="P348" s="75"/>
      <c r="Q348" s="75"/>
      <c r="R348" s="75"/>
      <c r="S348" s="75"/>
      <c r="T348" s="75"/>
    </row>
    <row r="349" spans="1:20">
      <c r="A349" s="63"/>
      <c r="B349" s="75"/>
      <c r="C349" s="63"/>
      <c r="D349" s="75"/>
      <c r="E349" s="92"/>
      <c r="F349" s="92"/>
      <c r="G349" s="75"/>
      <c r="H349" s="75"/>
      <c r="I349" s="75"/>
      <c r="J349" s="75"/>
      <c r="K349" s="27"/>
      <c r="L349" s="96"/>
      <c r="M349" s="27"/>
      <c r="N349" s="96"/>
      <c r="O349" s="75"/>
      <c r="P349" s="75"/>
      <c r="Q349" s="75"/>
      <c r="R349" s="75"/>
      <c r="S349" s="75"/>
      <c r="T349" s="75"/>
    </row>
    <row r="350" spans="1:20">
      <c r="A350" s="63"/>
      <c r="B350" s="75"/>
      <c r="C350" s="63"/>
      <c r="D350" s="75"/>
      <c r="E350" s="92"/>
      <c r="F350" s="92"/>
      <c r="G350" s="75"/>
      <c r="H350" s="75"/>
      <c r="I350" s="75"/>
      <c r="J350" s="75"/>
      <c r="K350" s="27"/>
      <c r="L350" s="96"/>
      <c r="M350" s="27"/>
      <c r="N350" s="96"/>
      <c r="O350" s="75"/>
      <c r="P350" s="75"/>
      <c r="Q350" s="75"/>
      <c r="R350" s="75"/>
      <c r="S350" s="75"/>
      <c r="T350" s="75"/>
    </row>
    <row r="351" spans="1:20">
      <c r="A351" s="63"/>
      <c r="B351" s="75"/>
      <c r="C351" s="63"/>
      <c r="D351" s="75"/>
      <c r="E351" s="92"/>
      <c r="F351" s="92"/>
      <c r="G351" s="75"/>
      <c r="H351" s="75"/>
      <c r="I351" s="75"/>
      <c r="J351" s="75"/>
      <c r="K351" s="27"/>
      <c r="L351" s="96"/>
      <c r="M351" s="27"/>
      <c r="N351" s="96"/>
      <c r="O351" s="75"/>
      <c r="P351" s="75"/>
      <c r="Q351" s="75"/>
      <c r="R351" s="75"/>
      <c r="S351" s="75"/>
      <c r="T351" s="75"/>
    </row>
    <row r="352" spans="1:20">
      <c r="A352" s="63"/>
      <c r="B352" s="75"/>
      <c r="C352" s="63"/>
      <c r="D352" s="75"/>
      <c r="E352" s="92"/>
      <c r="F352" s="92"/>
      <c r="G352" s="75"/>
      <c r="H352" s="75"/>
      <c r="I352" s="75"/>
      <c r="J352" s="75"/>
      <c r="K352" s="27"/>
      <c r="L352" s="96"/>
      <c r="M352" s="27"/>
      <c r="N352" s="96"/>
      <c r="O352" s="75"/>
      <c r="P352" s="75"/>
      <c r="Q352" s="75"/>
      <c r="R352" s="75"/>
      <c r="S352" s="75"/>
      <c r="T352" s="75"/>
    </row>
    <row r="353" spans="1:20">
      <c r="A353" s="63"/>
      <c r="B353" s="75"/>
      <c r="C353" s="63"/>
      <c r="D353" s="75"/>
      <c r="E353" s="92"/>
      <c r="F353" s="92"/>
      <c r="G353" s="75"/>
      <c r="H353" s="75"/>
      <c r="I353" s="75"/>
      <c r="J353" s="75"/>
      <c r="K353" s="27"/>
      <c r="L353" s="96"/>
      <c r="M353" s="27"/>
      <c r="N353" s="96"/>
      <c r="O353" s="75"/>
      <c r="P353" s="75"/>
      <c r="Q353" s="75"/>
      <c r="R353" s="75"/>
      <c r="S353" s="75"/>
      <c r="T353" s="75"/>
    </row>
    <row r="354" spans="1:20">
      <c r="A354" s="63"/>
      <c r="B354" s="75"/>
      <c r="C354" s="63"/>
      <c r="D354" s="75"/>
      <c r="E354" s="92"/>
      <c r="F354" s="92"/>
      <c r="G354" s="75"/>
      <c r="H354" s="75"/>
      <c r="I354" s="75"/>
      <c r="J354" s="75"/>
      <c r="K354" s="27"/>
      <c r="L354" s="96"/>
      <c r="M354" s="27"/>
      <c r="N354" s="96"/>
      <c r="O354" s="75"/>
      <c r="P354" s="75"/>
      <c r="Q354" s="75"/>
      <c r="R354" s="75"/>
      <c r="S354" s="75"/>
      <c r="T354" s="75"/>
    </row>
    <row r="355" spans="1:20">
      <c r="A355" s="63"/>
      <c r="B355" s="75"/>
      <c r="C355" s="63"/>
      <c r="D355" s="75"/>
      <c r="E355" s="92"/>
      <c r="F355" s="92"/>
      <c r="G355" s="75"/>
      <c r="H355" s="75"/>
      <c r="I355" s="75"/>
      <c r="J355" s="75"/>
      <c r="K355" s="27"/>
      <c r="L355" s="96"/>
      <c r="M355" s="27"/>
      <c r="N355" s="96"/>
      <c r="O355" s="75"/>
      <c r="P355" s="75"/>
      <c r="Q355" s="75"/>
      <c r="R355" s="75"/>
      <c r="S355" s="75"/>
      <c r="T355" s="75"/>
    </row>
    <row r="356" spans="1:20">
      <c r="A356" s="63"/>
      <c r="B356" s="75"/>
      <c r="C356" s="63"/>
      <c r="D356" s="75"/>
      <c r="E356" s="92"/>
      <c r="F356" s="92"/>
      <c r="G356" s="75"/>
      <c r="H356" s="75"/>
      <c r="I356" s="75"/>
      <c r="J356" s="75"/>
      <c r="K356" s="27"/>
      <c r="L356" s="96"/>
      <c r="M356" s="27"/>
      <c r="N356" s="96"/>
      <c r="O356" s="75"/>
      <c r="P356" s="75"/>
      <c r="Q356" s="75"/>
      <c r="R356" s="75"/>
      <c r="S356" s="75"/>
      <c r="T356" s="75"/>
    </row>
    <row r="357" spans="1:20">
      <c r="A357" s="63"/>
      <c r="B357" s="75"/>
      <c r="C357" s="63"/>
      <c r="D357" s="75"/>
      <c r="E357" s="92"/>
      <c r="F357" s="92"/>
      <c r="G357" s="75"/>
      <c r="H357" s="75"/>
      <c r="I357" s="75"/>
      <c r="J357" s="75"/>
      <c r="K357" s="27"/>
      <c r="L357" s="96"/>
      <c r="M357" s="27"/>
      <c r="N357" s="96"/>
      <c r="O357" s="75"/>
      <c r="P357" s="75"/>
      <c r="Q357" s="75"/>
      <c r="R357" s="75"/>
      <c r="S357" s="75"/>
      <c r="T357" s="75"/>
    </row>
    <row r="358" spans="1:20">
      <c r="A358" s="63"/>
      <c r="B358" s="75"/>
      <c r="C358" s="63"/>
      <c r="D358" s="75"/>
      <c r="E358" s="92"/>
      <c r="F358" s="92"/>
      <c r="G358" s="75"/>
      <c r="H358" s="75"/>
      <c r="I358" s="75"/>
      <c r="J358" s="75"/>
      <c r="K358" s="27"/>
      <c r="L358" s="96"/>
      <c r="M358" s="27"/>
      <c r="N358" s="96"/>
      <c r="O358" s="75"/>
      <c r="P358" s="75"/>
      <c r="Q358" s="75"/>
      <c r="R358" s="75"/>
      <c r="S358" s="75"/>
      <c r="T358" s="75"/>
    </row>
    <row r="359" spans="1:20">
      <c r="A359" s="63"/>
      <c r="B359" s="75"/>
      <c r="C359" s="63"/>
      <c r="D359" s="75"/>
      <c r="E359" s="92"/>
      <c r="F359" s="92"/>
      <c r="G359" s="75"/>
      <c r="H359" s="75"/>
      <c r="I359" s="75"/>
      <c r="J359" s="75"/>
      <c r="K359" s="27"/>
      <c r="L359" s="96"/>
      <c r="M359" s="27"/>
      <c r="N359" s="96"/>
      <c r="O359" s="75"/>
      <c r="P359" s="75"/>
      <c r="Q359" s="75"/>
      <c r="R359" s="75"/>
      <c r="S359" s="75"/>
      <c r="T359" s="75"/>
    </row>
    <row r="360" spans="1:20">
      <c r="A360" s="63"/>
      <c r="B360" s="75"/>
      <c r="C360" s="63"/>
      <c r="D360" s="75"/>
      <c r="E360" s="92"/>
      <c r="F360" s="92"/>
      <c r="G360" s="75"/>
      <c r="H360" s="75"/>
      <c r="I360" s="75"/>
      <c r="J360" s="75"/>
      <c r="K360" s="27"/>
      <c r="L360" s="96"/>
      <c r="M360" s="27"/>
      <c r="N360" s="96"/>
      <c r="O360" s="75"/>
      <c r="P360" s="75"/>
      <c r="Q360" s="75"/>
      <c r="R360" s="75"/>
      <c r="S360" s="75"/>
      <c r="T360" s="75"/>
    </row>
    <row r="361" spans="1:20">
      <c r="A361" s="63"/>
      <c r="B361" s="75"/>
      <c r="C361" s="63"/>
      <c r="D361" s="75"/>
      <c r="E361" s="92"/>
      <c r="F361" s="92"/>
      <c r="G361" s="75"/>
      <c r="H361" s="75"/>
      <c r="I361" s="75"/>
      <c r="J361" s="75"/>
      <c r="K361" s="27"/>
      <c r="L361" s="96"/>
      <c r="M361" s="27"/>
      <c r="N361" s="96"/>
      <c r="O361" s="75"/>
      <c r="P361" s="75"/>
      <c r="Q361" s="75"/>
      <c r="R361" s="75"/>
      <c r="S361" s="75"/>
      <c r="T361" s="75"/>
    </row>
    <row r="362" spans="1:20">
      <c r="A362" s="63"/>
      <c r="B362" s="75"/>
      <c r="C362" s="63"/>
      <c r="D362" s="75"/>
      <c r="E362" s="92"/>
      <c r="F362" s="92"/>
      <c r="G362" s="75"/>
      <c r="H362" s="75"/>
      <c r="I362" s="75"/>
      <c r="J362" s="75"/>
      <c r="K362" s="27"/>
      <c r="L362" s="96"/>
      <c r="M362" s="27"/>
      <c r="N362" s="96"/>
      <c r="O362" s="75"/>
      <c r="P362" s="75"/>
      <c r="Q362" s="75"/>
      <c r="R362" s="75"/>
      <c r="S362" s="75"/>
      <c r="T362" s="75"/>
    </row>
    <row r="363" spans="1:20">
      <c r="A363" s="63"/>
      <c r="B363" s="75"/>
      <c r="C363" s="63"/>
      <c r="D363" s="75"/>
      <c r="E363" s="92"/>
      <c r="F363" s="92"/>
      <c r="G363" s="75"/>
      <c r="H363" s="75"/>
      <c r="I363" s="75"/>
      <c r="J363" s="75"/>
      <c r="K363" s="27"/>
      <c r="L363" s="96"/>
      <c r="M363" s="27"/>
      <c r="N363" s="96"/>
      <c r="O363" s="75"/>
      <c r="P363" s="75"/>
      <c r="Q363" s="75"/>
      <c r="R363" s="75"/>
      <c r="S363" s="75"/>
      <c r="T363" s="75"/>
    </row>
    <row r="364" spans="1:20">
      <c r="A364" s="63"/>
      <c r="B364" s="75"/>
      <c r="C364" s="63"/>
      <c r="D364" s="75"/>
      <c r="E364" s="92"/>
      <c r="F364" s="92"/>
      <c r="G364" s="75"/>
      <c r="H364" s="75"/>
      <c r="I364" s="75"/>
      <c r="J364" s="75"/>
      <c r="K364" s="27"/>
      <c r="L364" s="96"/>
      <c r="M364" s="27"/>
      <c r="N364" s="96"/>
      <c r="O364" s="75"/>
      <c r="P364" s="75"/>
      <c r="Q364" s="75"/>
      <c r="R364" s="75"/>
      <c r="S364" s="75"/>
      <c r="T364" s="75"/>
    </row>
    <row r="365" spans="1:20">
      <c r="A365" s="63"/>
      <c r="B365" s="84"/>
      <c r="C365" s="63"/>
      <c r="D365" s="75"/>
      <c r="E365" s="92"/>
      <c r="F365" s="92"/>
      <c r="G365" s="75"/>
      <c r="H365" s="75"/>
      <c r="I365" s="75"/>
      <c r="J365" s="75"/>
      <c r="K365" s="27"/>
      <c r="L365" s="96"/>
      <c r="M365" s="27"/>
      <c r="N365" s="96"/>
      <c r="O365" s="75"/>
      <c r="P365" s="75"/>
      <c r="Q365" s="75"/>
      <c r="R365" s="75"/>
      <c r="S365" s="75"/>
      <c r="T365" s="75"/>
    </row>
    <row r="366" spans="1:20">
      <c r="A366" s="63"/>
      <c r="B366" s="84"/>
      <c r="C366" s="63"/>
      <c r="D366" s="75"/>
      <c r="E366" s="92"/>
      <c r="F366" s="92"/>
      <c r="G366" s="75"/>
      <c r="H366" s="75"/>
      <c r="I366" s="75"/>
      <c r="J366" s="75"/>
      <c r="K366" s="27"/>
      <c r="L366" s="96"/>
      <c r="M366" s="27"/>
      <c r="N366" s="96"/>
      <c r="O366" s="75"/>
      <c r="P366" s="75"/>
      <c r="Q366" s="75"/>
      <c r="R366" s="75"/>
      <c r="S366" s="75"/>
      <c r="T366" s="75"/>
    </row>
    <row r="367" spans="1:20">
      <c r="A367" s="63"/>
      <c r="B367" s="75"/>
      <c r="C367" s="63"/>
      <c r="D367" s="75"/>
      <c r="E367" s="92"/>
      <c r="F367" s="92"/>
      <c r="G367" s="75"/>
      <c r="H367" s="75"/>
      <c r="I367" s="75"/>
      <c r="J367" s="75"/>
      <c r="K367" s="27"/>
      <c r="L367" s="96"/>
      <c r="M367" s="27"/>
      <c r="N367" s="96"/>
      <c r="O367" s="75"/>
      <c r="P367" s="75"/>
      <c r="Q367" s="75"/>
      <c r="R367" s="75"/>
      <c r="S367" s="75"/>
      <c r="T367" s="75"/>
    </row>
    <row r="368" spans="1:20">
      <c r="A368" s="63"/>
      <c r="B368" s="75"/>
      <c r="C368" s="63"/>
      <c r="D368" s="75"/>
      <c r="E368" s="92"/>
      <c r="F368" s="92"/>
      <c r="G368" s="75"/>
      <c r="H368" s="75"/>
      <c r="I368" s="75"/>
      <c r="J368" s="75"/>
      <c r="K368" s="27"/>
      <c r="L368" s="96"/>
      <c r="M368" s="27"/>
      <c r="N368" s="96"/>
      <c r="O368" s="75"/>
      <c r="P368" s="75"/>
      <c r="Q368" s="75"/>
      <c r="R368" s="75"/>
      <c r="S368" s="75"/>
      <c r="T368" s="75"/>
    </row>
    <row r="369" spans="1:20">
      <c r="A369" s="63"/>
      <c r="B369" s="75"/>
      <c r="C369" s="63"/>
      <c r="D369" s="75"/>
      <c r="E369" s="92"/>
      <c r="F369" s="92"/>
      <c r="G369" s="75"/>
      <c r="H369" s="75"/>
      <c r="I369" s="75"/>
      <c r="J369" s="75"/>
      <c r="K369" s="27"/>
      <c r="L369" s="96"/>
      <c r="M369" s="27"/>
      <c r="N369" s="96"/>
      <c r="O369" s="75"/>
      <c r="P369" s="75"/>
      <c r="Q369" s="75"/>
      <c r="R369" s="75"/>
      <c r="S369" s="75"/>
      <c r="T369" s="75"/>
    </row>
    <row r="370" spans="1:20">
      <c r="A370" s="63"/>
      <c r="B370" s="75"/>
      <c r="C370" s="63"/>
      <c r="D370" s="75"/>
      <c r="E370" s="92"/>
      <c r="F370" s="92"/>
      <c r="G370" s="75"/>
      <c r="H370" s="75"/>
      <c r="I370" s="75"/>
      <c r="J370" s="75"/>
      <c r="K370" s="27"/>
      <c r="L370" s="96"/>
      <c r="M370" s="27"/>
      <c r="N370" s="96"/>
      <c r="O370" s="75"/>
      <c r="P370" s="75"/>
      <c r="Q370" s="75"/>
      <c r="R370" s="75"/>
      <c r="S370" s="75"/>
      <c r="T370" s="75"/>
    </row>
    <row r="371" spans="1:20">
      <c r="A371" s="63"/>
      <c r="B371" s="75"/>
      <c r="C371" s="63"/>
      <c r="D371" s="75"/>
      <c r="E371" s="92"/>
      <c r="F371" s="92"/>
      <c r="G371" s="75"/>
      <c r="H371" s="75"/>
      <c r="I371" s="75"/>
      <c r="J371" s="75"/>
      <c r="K371" s="27"/>
      <c r="L371" s="96"/>
      <c r="M371" s="27"/>
      <c r="N371" s="96"/>
      <c r="O371" s="75"/>
      <c r="P371" s="75"/>
      <c r="Q371" s="75"/>
      <c r="R371" s="75"/>
      <c r="S371" s="75"/>
      <c r="T371" s="75"/>
    </row>
    <row r="372" spans="1:20">
      <c r="A372" s="63"/>
      <c r="B372" s="75"/>
      <c r="C372" s="63"/>
      <c r="D372" s="75"/>
      <c r="E372" s="92"/>
      <c r="F372" s="92"/>
      <c r="G372" s="75"/>
      <c r="H372" s="75"/>
      <c r="I372" s="75"/>
      <c r="J372" s="75"/>
      <c r="K372" s="27"/>
      <c r="L372" s="96"/>
      <c r="M372" s="27"/>
      <c r="N372" s="96"/>
      <c r="O372" s="75"/>
      <c r="P372" s="75"/>
      <c r="Q372" s="75"/>
      <c r="R372" s="75"/>
      <c r="S372" s="75"/>
      <c r="T372" s="75"/>
    </row>
    <row r="373" spans="1:20">
      <c r="A373" s="63"/>
      <c r="B373" s="75"/>
      <c r="C373" s="63"/>
      <c r="D373" s="75"/>
      <c r="E373" s="92"/>
      <c r="F373" s="92"/>
      <c r="G373" s="75"/>
      <c r="H373" s="75"/>
      <c r="I373" s="75"/>
      <c r="J373" s="75"/>
      <c r="K373" s="27"/>
      <c r="L373" s="96"/>
      <c r="M373" s="27"/>
      <c r="N373" s="96"/>
      <c r="O373" s="75"/>
      <c r="P373" s="75"/>
      <c r="Q373" s="75"/>
      <c r="R373" s="75"/>
      <c r="S373" s="75"/>
      <c r="T373" s="75"/>
    </row>
    <row r="374" spans="1:20">
      <c r="A374" s="63"/>
      <c r="B374" s="75"/>
      <c r="C374" s="63"/>
      <c r="D374" s="75"/>
      <c r="E374" s="92"/>
      <c r="F374" s="92"/>
      <c r="G374" s="75"/>
      <c r="H374" s="75"/>
      <c r="I374" s="75"/>
      <c r="J374" s="75"/>
      <c r="K374" s="27"/>
      <c r="L374" s="96"/>
      <c r="M374" s="27"/>
      <c r="N374" s="96"/>
      <c r="O374" s="75"/>
      <c r="P374" s="75"/>
      <c r="Q374" s="75"/>
      <c r="R374" s="75"/>
      <c r="S374" s="75"/>
      <c r="T374" s="75"/>
    </row>
    <row r="375" spans="1:20">
      <c r="A375" s="63"/>
      <c r="B375" s="75"/>
      <c r="C375" s="63"/>
      <c r="D375" s="75"/>
      <c r="E375" s="92"/>
      <c r="F375" s="92"/>
      <c r="G375" s="75"/>
      <c r="H375" s="75"/>
      <c r="I375" s="75"/>
      <c r="J375" s="75"/>
      <c r="K375" s="27"/>
      <c r="L375" s="96"/>
      <c r="M375" s="27"/>
      <c r="N375" s="96"/>
      <c r="O375" s="75"/>
      <c r="P375" s="75"/>
      <c r="Q375" s="75"/>
      <c r="R375" s="75"/>
      <c r="S375" s="75"/>
      <c r="T375" s="75"/>
    </row>
    <row r="376" spans="1:20">
      <c r="A376" s="63"/>
      <c r="B376" s="75"/>
      <c r="C376" s="63"/>
      <c r="D376" s="75"/>
      <c r="E376" s="92"/>
      <c r="F376" s="92"/>
      <c r="G376" s="75"/>
      <c r="H376" s="75"/>
      <c r="I376" s="75"/>
      <c r="J376" s="75"/>
      <c r="K376" s="27"/>
      <c r="L376" s="96"/>
      <c r="M376" s="27"/>
      <c r="N376" s="96"/>
      <c r="O376" s="75"/>
      <c r="P376" s="75"/>
      <c r="Q376" s="75"/>
      <c r="R376" s="75"/>
      <c r="S376" s="75"/>
      <c r="T376" s="75"/>
    </row>
    <row r="377" spans="1:20">
      <c r="A377" s="63"/>
      <c r="B377" s="75"/>
      <c r="C377" s="63"/>
      <c r="D377" s="75"/>
      <c r="E377" s="92"/>
      <c r="F377" s="92"/>
      <c r="G377" s="75"/>
      <c r="H377" s="75"/>
      <c r="I377" s="75"/>
      <c r="J377" s="75"/>
      <c r="K377" s="27"/>
      <c r="L377" s="96"/>
      <c r="M377" s="27"/>
      <c r="N377" s="96"/>
      <c r="O377" s="75"/>
      <c r="P377" s="75"/>
      <c r="Q377" s="75"/>
      <c r="R377" s="75"/>
      <c r="S377" s="75"/>
      <c r="T377" s="75"/>
    </row>
    <row r="378" spans="1:20">
      <c r="A378" s="63"/>
      <c r="B378" s="75"/>
      <c r="C378" s="63"/>
      <c r="D378" s="75"/>
      <c r="E378" s="92"/>
      <c r="F378" s="92"/>
      <c r="G378" s="75"/>
      <c r="H378" s="75"/>
      <c r="I378" s="75"/>
      <c r="J378" s="75"/>
      <c r="K378" s="27"/>
      <c r="L378" s="96"/>
      <c r="M378" s="27"/>
      <c r="N378" s="96"/>
      <c r="O378" s="75"/>
      <c r="P378" s="75"/>
      <c r="Q378" s="75"/>
      <c r="R378" s="75"/>
      <c r="S378" s="75"/>
      <c r="T378" s="75"/>
    </row>
    <row r="379" spans="1:20">
      <c r="A379" s="63"/>
      <c r="B379" s="75"/>
      <c r="C379" s="63"/>
      <c r="D379" s="75"/>
      <c r="E379" s="92"/>
      <c r="F379" s="92"/>
      <c r="G379" s="75"/>
      <c r="H379" s="75"/>
      <c r="I379" s="75"/>
      <c r="J379" s="75"/>
      <c r="K379" s="27"/>
      <c r="L379" s="96"/>
      <c r="M379" s="27"/>
      <c r="N379" s="96"/>
      <c r="O379" s="75"/>
      <c r="P379" s="75"/>
      <c r="Q379" s="75"/>
      <c r="R379" s="75"/>
      <c r="S379" s="75"/>
      <c r="T379" s="75"/>
    </row>
    <row r="380" spans="1:20">
      <c r="A380" s="63"/>
      <c r="B380" s="75"/>
      <c r="C380" s="63"/>
      <c r="D380" s="75"/>
      <c r="E380" s="92"/>
      <c r="F380" s="92"/>
      <c r="G380" s="75"/>
      <c r="H380" s="75"/>
      <c r="I380" s="75"/>
      <c r="J380" s="75"/>
      <c r="K380" s="27"/>
      <c r="L380" s="96"/>
      <c r="M380" s="27"/>
      <c r="N380" s="96"/>
      <c r="O380" s="75"/>
      <c r="P380" s="75"/>
      <c r="Q380" s="75"/>
      <c r="R380" s="75"/>
      <c r="S380" s="75"/>
      <c r="T380" s="75"/>
    </row>
    <row r="381" spans="1:20">
      <c r="A381" s="63"/>
      <c r="B381" s="75"/>
      <c r="C381" s="63"/>
      <c r="D381" s="75"/>
      <c r="E381" s="92"/>
      <c r="F381" s="92"/>
      <c r="G381" s="75"/>
      <c r="H381" s="75"/>
      <c r="I381" s="75"/>
      <c r="J381" s="75"/>
      <c r="K381" s="27"/>
      <c r="L381" s="96"/>
      <c r="M381" s="27"/>
      <c r="N381" s="96"/>
      <c r="O381" s="75"/>
      <c r="P381" s="75"/>
      <c r="Q381" s="75"/>
      <c r="R381" s="75"/>
      <c r="S381" s="75"/>
      <c r="T381" s="75"/>
    </row>
    <row r="382" spans="1:20">
      <c r="A382" s="63"/>
      <c r="B382" s="75"/>
      <c r="C382" s="63"/>
      <c r="D382" s="75"/>
      <c r="E382" s="92"/>
      <c r="F382" s="92"/>
      <c r="G382" s="75"/>
      <c r="H382" s="75"/>
      <c r="I382" s="75"/>
      <c r="J382" s="75"/>
      <c r="K382" s="27"/>
      <c r="L382" s="96"/>
      <c r="M382" s="27"/>
      <c r="N382" s="96"/>
      <c r="O382" s="75"/>
      <c r="P382" s="75"/>
      <c r="Q382" s="75"/>
      <c r="R382" s="75"/>
      <c r="S382" s="75"/>
      <c r="T382" s="75"/>
    </row>
    <row r="383" spans="1:20">
      <c r="A383" s="63"/>
      <c r="B383" s="75"/>
      <c r="C383" s="63"/>
      <c r="D383" s="75"/>
      <c r="E383" s="92"/>
      <c r="F383" s="92"/>
      <c r="G383" s="75"/>
      <c r="H383" s="75"/>
      <c r="I383" s="75"/>
      <c r="J383" s="75"/>
      <c r="K383" s="27"/>
      <c r="L383" s="96"/>
      <c r="M383" s="27"/>
      <c r="N383" s="96"/>
      <c r="O383" s="75"/>
      <c r="P383" s="75"/>
      <c r="Q383" s="75"/>
      <c r="R383" s="75"/>
      <c r="S383" s="75"/>
      <c r="T383" s="75"/>
    </row>
    <row r="384" spans="1:20">
      <c r="A384" s="63"/>
      <c r="B384" s="75"/>
      <c r="C384" s="63"/>
      <c r="D384" s="75"/>
      <c r="E384" s="92"/>
      <c r="F384" s="92"/>
      <c r="G384" s="75"/>
      <c r="H384" s="75"/>
      <c r="I384" s="75"/>
      <c r="J384" s="75"/>
      <c r="K384" s="27"/>
      <c r="L384" s="96"/>
      <c r="M384" s="27"/>
      <c r="N384" s="96"/>
      <c r="O384" s="75"/>
      <c r="P384" s="75"/>
      <c r="Q384" s="75"/>
      <c r="R384" s="75"/>
      <c r="S384" s="75"/>
      <c r="T384" s="75"/>
    </row>
    <row r="385" spans="1:20">
      <c r="A385" s="63"/>
      <c r="B385" s="75"/>
      <c r="C385" s="63"/>
      <c r="D385" s="75"/>
      <c r="E385" s="92"/>
      <c r="F385" s="92"/>
      <c r="G385" s="75"/>
      <c r="H385" s="75"/>
      <c r="I385" s="75"/>
      <c r="J385" s="75"/>
      <c r="K385" s="27"/>
      <c r="L385" s="96"/>
      <c r="M385" s="27"/>
      <c r="N385" s="96"/>
      <c r="O385" s="75"/>
      <c r="P385" s="75"/>
      <c r="Q385" s="75"/>
      <c r="R385" s="75"/>
      <c r="S385" s="75"/>
      <c r="T385" s="75"/>
    </row>
    <row r="386" spans="1:20">
      <c r="A386" s="63"/>
      <c r="B386" s="75"/>
      <c r="C386" s="63"/>
      <c r="D386" s="75"/>
      <c r="E386" s="92"/>
      <c r="F386" s="92"/>
      <c r="G386" s="75"/>
      <c r="H386" s="75"/>
      <c r="I386" s="75"/>
      <c r="J386" s="75"/>
      <c r="K386" s="27"/>
      <c r="L386" s="96"/>
      <c r="M386" s="27"/>
      <c r="N386" s="96"/>
      <c r="O386" s="75"/>
      <c r="P386" s="75"/>
      <c r="Q386" s="75"/>
      <c r="R386" s="75"/>
      <c r="S386" s="75"/>
      <c r="T386" s="75"/>
    </row>
    <row r="387" spans="1:20">
      <c r="A387" s="63"/>
      <c r="B387" s="75"/>
      <c r="C387" s="63"/>
      <c r="D387" s="75"/>
      <c r="E387" s="92"/>
      <c r="F387" s="92"/>
      <c r="G387" s="75"/>
      <c r="H387" s="75"/>
      <c r="I387" s="75"/>
      <c r="J387" s="75"/>
      <c r="K387" s="27"/>
      <c r="L387" s="96"/>
      <c r="M387" s="27"/>
      <c r="N387" s="96"/>
      <c r="O387" s="75"/>
      <c r="P387" s="75"/>
      <c r="Q387" s="75"/>
      <c r="R387" s="75"/>
      <c r="S387" s="75"/>
      <c r="T387" s="75"/>
    </row>
    <row r="388" spans="1:20">
      <c r="A388" s="63"/>
      <c r="B388" s="75"/>
      <c r="C388" s="63"/>
      <c r="D388" s="75"/>
      <c r="E388" s="92"/>
      <c r="F388" s="92"/>
      <c r="G388" s="75"/>
      <c r="H388" s="75"/>
      <c r="I388" s="75"/>
      <c r="J388" s="75"/>
      <c r="K388" s="27"/>
      <c r="L388" s="96"/>
      <c r="M388" s="27"/>
      <c r="N388" s="96"/>
      <c r="O388" s="75"/>
      <c r="P388" s="75"/>
      <c r="Q388" s="75"/>
      <c r="R388" s="75"/>
      <c r="S388" s="75"/>
      <c r="T388" s="75"/>
    </row>
    <row r="389" spans="1:20">
      <c r="A389" s="63"/>
      <c r="B389" s="75"/>
      <c r="C389" s="63"/>
      <c r="D389" s="75"/>
      <c r="E389" s="92"/>
      <c r="F389" s="92"/>
      <c r="G389" s="75"/>
      <c r="H389" s="75"/>
      <c r="I389" s="75"/>
      <c r="J389" s="75"/>
      <c r="K389" s="27"/>
      <c r="L389" s="96"/>
      <c r="M389" s="27"/>
      <c r="N389" s="96"/>
      <c r="O389" s="75"/>
      <c r="P389" s="75"/>
      <c r="Q389" s="75"/>
      <c r="R389" s="75"/>
      <c r="S389" s="75"/>
      <c r="T389" s="75"/>
    </row>
    <row r="390" spans="1:20">
      <c r="A390" s="63"/>
      <c r="B390" s="75"/>
      <c r="C390" s="63"/>
      <c r="D390" s="75"/>
      <c r="E390" s="92"/>
      <c r="F390" s="92"/>
      <c r="G390" s="75"/>
      <c r="H390" s="75"/>
      <c r="I390" s="75"/>
      <c r="J390" s="75"/>
      <c r="K390" s="27"/>
      <c r="L390" s="96"/>
      <c r="M390" s="27"/>
      <c r="N390" s="96"/>
      <c r="O390" s="75"/>
      <c r="P390" s="75"/>
      <c r="Q390" s="75"/>
      <c r="R390" s="75"/>
      <c r="S390" s="75"/>
      <c r="T390" s="75"/>
    </row>
    <row r="391" spans="1:20">
      <c r="A391" s="63"/>
      <c r="B391" s="75"/>
      <c r="C391" s="63"/>
      <c r="D391" s="75"/>
      <c r="E391" s="92"/>
      <c r="F391" s="92"/>
      <c r="G391" s="75"/>
      <c r="H391" s="75"/>
      <c r="I391" s="75"/>
      <c r="J391" s="75"/>
      <c r="K391" s="27"/>
      <c r="L391" s="96"/>
      <c r="M391" s="27"/>
      <c r="N391" s="96"/>
      <c r="O391" s="75"/>
      <c r="P391" s="75"/>
      <c r="Q391" s="75"/>
      <c r="R391" s="75"/>
      <c r="S391" s="75"/>
      <c r="T391" s="75"/>
    </row>
    <row r="392" spans="1:20">
      <c r="A392" s="63"/>
      <c r="B392" s="75"/>
      <c r="C392" s="63"/>
      <c r="D392" s="75"/>
      <c r="E392" s="92"/>
      <c r="F392" s="92"/>
      <c r="G392" s="75"/>
      <c r="H392" s="75"/>
      <c r="I392" s="75"/>
      <c r="J392" s="75"/>
      <c r="K392" s="27"/>
      <c r="L392" s="96"/>
      <c r="M392" s="27"/>
      <c r="N392" s="96"/>
      <c r="O392" s="75"/>
      <c r="P392" s="75"/>
      <c r="Q392" s="75"/>
      <c r="R392" s="75"/>
      <c r="S392" s="75"/>
      <c r="T392" s="75"/>
    </row>
    <row r="393" spans="1:20">
      <c r="A393" s="63"/>
      <c r="B393" s="75"/>
      <c r="C393" s="63"/>
      <c r="D393" s="75"/>
      <c r="E393" s="92"/>
      <c r="F393" s="92"/>
      <c r="G393" s="75"/>
      <c r="H393" s="75"/>
      <c r="I393" s="75"/>
      <c r="J393" s="75"/>
      <c r="K393" s="27"/>
      <c r="L393" s="96"/>
      <c r="M393" s="27"/>
      <c r="N393" s="96"/>
      <c r="O393" s="75"/>
      <c r="P393" s="75"/>
      <c r="Q393" s="75"/>
      <c r="R393" s="75"/>
      <c r="S393" s="75"/>
      <c r="T393" s="75"/>
    </row>
    <row r="394" spans="1:20">
      <c r="A394" s="63"/>
      <c r="B394" s="75"/>
      <c r="C394" s="63"/>
      <c r="D394" s="75"/>
      <c r="E394" s="92"/>
      <c r="F394" s="92"/>
      <c r="G394" s="75"/>
      <c r="H394" s="75"/>
      <c r="I394" s="75"/>
      <c r="J394" s="75"/>
      <c r="K394" s="27"/>
      <c r="L394" s="96"/>
      <c r="M394" s="27"/>
      <c r="N394" s="96"/>
      <c r="O394" s="75"/>
      <c r="P394" s="75"/>
      <c r="Q394" s="75"/>
      <c r="R394" s="75"/>
      <c r="S394" s="75"/>
      <c r="T394" s="75"/>
    </row>
    <row r="395" spans="1:20">
      <c r="A395" s="63"/>
      <c r="B395" s="75"/>
      <c r="C395" s="63"/>
      <c r="D395" s="75"/>
      <c r="E395" s="92"/>
      <c r="F395" s="92"/>
      <c r="G395" s="75"/>
      <c r="H395" s="75"/>
      <c r="I395" s="75"/>
      <c r="J395" s="75"/>
      <c r="K395" s="27"/>
      <c r="L395" s="96"/>
      <c r="M395" s="27"/>
      <c r="N395" s="96"/>
      <c r="O395" s="75"/>
      <c r="P395" s="75"/>
      <c r="Q395" s="75"/>
      <c r="R395" s="75"/>
      <c r="S395" s="75"/>
      <c r="T395" s="75"/>
    </row>
    <row r="396" spans="1:20">
      <c r="A396" s="63"/>
      <c r="B396" s="75"/>
      <c r="C396" s="63"/>
      <c r="D396" s="75"/>
      <c r="E396" s="92"/>
      <c r="F396" s="92"/>
      <c r="G396" s="75"/>
      <c r="H396" s="75"/>
      <c r="I396" s="75"/>
      <c r="J396" s="75"/>
      <c r="K396" s="27"/>
      <c r="L396" s="96"/>
      <c r="M396" s="27"/>
      <c r="N396" s="96"/>
      <c r="O396" s="75"/>
      <c r="P396" s="75"/>
      <c r="Q396" s="75"/>
      <c r="R396" s="75"/>
      <c r="S396" s="75"/>
      <c r="T396" s="75"/>
    </row>
    <row r="397" spans="1:20">
      <c r="A397" s="63"/>
      <c r="B397" s="75"/>
      <c r="C397" s="63"/>
      <c r="D397" s="75"/>
      <c r="E397" s="92"/>
      <c r="F397" s="92"/>
      <c r="G397" s="75"/>
      <c r="H397" s="75"/>
      <c r="I397" s="75"/>
      <c r="J397" s="75"/>
      <c r="K397" s="27"/>
      <c r="L397" s="96"/>
      <c r="M397" s="27"/>
      <c r="N397" s="96"/>
      <c r="O397" s="75"/>
      <c r="P397" s="75"/>
      <c r="Q397" s="75"/>
      <c r="R397" s="75"/>
      <c r="S397" s="75"/>
      <c r="T397" s="75"/>
    </row>
    <row r="398" spans="1:20">
      <c r="A398" s="63"/>
      <c r="B398" s="75"/>
      <c r="C398" s="63"/>
      <c r="D398" s="75"/>
      <c r="E398" s="92"/>
      <c r="F398" s="92"/>
      <c r="G398" s="75"/>
      <c r="H398" s="75"/>
      <c r="I398" s="75"/>
      <c r="J398" s="75"/>
      <c r="K398" s="27"/>
      <c r="L398" s="96"/>
      <c r="M398" s="27"/>
      <c r="N398" s="96"/>
      <c r="O398" s="75"/>
      <c r="P398" s="75"/>
      <c r="Q398" s="75"/>
      <c r="R398" s="75"/>
      <c r="S398" s="75"/>
      <c r="T398" s="75"/>
    </row>
    <row r="399" spans="1:20">
      <c r="A399" s="63"/>
      <c r="B399" s="75"/>
      <c r="C399" s="63"/>
      <c r="D399" s="75"/>
      <c r="E399" s="92"/>
      <c r="F399" s="92"/>
      <c r="G399" s="75"/>
      <c r="H399" s="75"/>
      <c r="I399" s="75"/>
      <c r="J399" s="75"/>
      <c r="K399" s="27"/>
      <c r="L399" s="96"/>
      <c r="M399" s="27"/>
      <c r="N399" s="96"/>
      <c r="O399" s="75"/>
      <c r="P399" s="75"/>
      <c r="Q399" s="75"/>
      <c r="R399" s="75"/>
      <c r="S399" s="75"/>
      <c r="T399" s="75"/>
    </row>
    <row r="400" spans="1:20">
      <c r="A400" s="63"/>
      <c r="B400" s="75"/>
      <c r="C400" s="63"/>
      <c r="D400" s="75"/>
      <c r="E400" s="92"/>
      <c r="F400" s="92"/>
      <c r="G400" s="75"/>
      <c r="H400" s="75"/>
      <c r="I400" s="75"/>
      <c r="J400" s="75"/>
      <c r="K400" s="27"/>
      <c r="L400" s="96"/>
      <c r="M400" s="27"/>
      <c r="N400" s="96"/>
      <c r="O400" s="75"/>
      <c r="P400" s="75"/>
      <c r="Q400" s="75"/>
      <c r="R400" s="75"/>
      <c r="S400" s="75"/>
      <c r="T400" s="75"/>
    </row>
    <row r="401" spans="1:20">
      <c r="A401" s="63"/>
      <c r="B401" s="75"/>
      <c r="C401" s="63"/>
      <c r="D401" s="75"/>
      <c r="E401" s="92"/>
      <c r="F401" s="92"/>
      <c r="G401" s="75"/>
      <c r="H401" s="75"/>
      <c r="I401" s="75"/>
      <c r="J401" s="75"/>
      <c r="K401" s="27"/>
      <c r="L401" s="96"/>
      <c r="M401" s="27"/>
      <c r="N401" s="96"/>
      <c r="O401" s="75"/>
      <c r="P401" s="75"/>
      <c r="Q401" s="75"/>
      <c r="R401" s="75"/>
      <c r="S401" s="75"/>
      <c r="T401" s="75"/>
    </row>
    <row r="402" spans="1:20">
      <c r="A402" s="63"/>
      <c r="B402" s="84"/>
      <c r="C402" s="63"/>
      <c r="D402" s="75"/>
      <c r="E402" s="92"/>
      <c r="F402" s="92"/>
      <c r="G402" s="75"/>
      <c r="H402" s="75"/>
      <c r="I402" s="75"/>
      <c r="J402" s="75"/>
      <c r="K402" s="27"/>
      <c r="L402" s="96"/>
      <c r="M402" s="27"/>
      <c r="N402" s="96"/>
      <c r="O402" s="75"/>
      <c r="P402" s="75"/>
      <c r="Q402" s="75"/>
      <c r="R402" s="75"/>
      <c r="S402" s="75"/>
      <c r="T402" s="75"/>
    </row>
    <row r="403" spans="1:20">
      <c r="A403" s="63"/>
      <c r="B403" s="84"/>
      <c r="C403" s="63"/>
      <c r="D403" s="75"/>
      <c r="E403" s="92"/>
      <c r="F403" s="92"/>
      <c r="G403" s="75"/>
      <c r="H403" s="75"/>
      <c r="I403" s="75"/>
      <c r="J403" s="75"/>
      <c r="K403" s="27"/>
      <c r="L403" s="96"/>
      <c r="M403" s="27"/>
      <c r="N403" s="96"/>
      <c r="O403" s="75"/>
      <c r="P403" s="75"/>
      <c r="Q403" s="75"/>
      <c r="R403" s="75"/>
      <c r="S403" s="75"/>
      <c r="T403" s="75"/>
    </row>
    <row r="404" spans="1:20">
      <c r="A404" s="63"/>
      <c r="B404" s="75"/>
      <c r="C404" s="63"/>
      <c r="D404" s="75"/>
      <c r="E404" s="92"/>
      <c r="F404" s="92"/>
      <c r="G404" s="75"/>
      <c r="H404" s="75"/>
      <c r="I404" s="75"/>
      <c r="J404" s="75"/>
      <c r="K404" s="27"/>
      <c r="L404" s="96"/>
      <c r="M404" s="27"/>
      <c r="N404" s="96"/>
      <c r="O404" s="75"/>
      <c r="P404" s="75"/>
      <c r="Q404" s="75"/>
      <c r="R404" s="75"/>
      <c r="S404" s="75"/>
      <c r="T404" s="75"/>
    </row>
    <row r="405" spans="1:20">
      <c r="A405" s="63"/>
      <c r="B405" s="75"/>
      <c r="C405" s="63"/>
      <c r="D405" s="75"/>
      <c r="E405" s="92"/>
      <c r="F405" s="92"/>
      <c r="G405" s="75"/>
      <c r="H405" s="75"/>
      <c r="I405" s="75"/>
      <c r="J405" s="75"/>
      <c r="K405" s="27"/>
      <c r="L405" s="96"/>
      <c r="M405" s="27"/>
      <c r="N405" s="96"/>
      <c r="O405" s="75"/>
      <c r="P405" s="75"/>
      <c r="Q405" s="75"/>
      <c r="R405" s="75"/>
      <c r="S405" s="75"/>
      <c r="T405" s="75"/>
    </row>
    <row r="406" spans="1:20">
      <c r="A406" s="63"/>
      <c r="B406" s="75"/>
      <c r="C406" s="63"/>
      <c r="D406" s="75"/>
      <c r="E406" s="92"/>
      <c r="F406" s="92"/>
      <c r="G406" s="75"/>
      <c r="H406" s="75"/>
      <c r="I406" s="75"/>
      <c r="J406" s="75"/>
      <c r="K406" s="27"/>
      <c r="L406" s="96"/>
      <c r="M406" s="27"/>
      <c r="N406" s="96"/>
      <c r="O406" s="75"/>
      <c r="P406" s="75"/>
      <c r="Q406" s="75"/>
      <c r="R406" s="75"/>
      <c r="S406" s="75"/>
      <c r="T406" s="75"/>
    </row>
    <row r="407" spans="1:20">
      <c r="A407" s="63"/>
      <c r="B407" s="75"/>
      <c r="C407" s="63"/>
      <c r="D407" s="75"/>
      <c r="E407" s="92"/>
      <c r="F407" s="92"/>
      <c r="G407" s="75"/>
      <c r="H407" s="75"/>
      <c r="I407" s="75"/>
      <c r="J407" s="75"/>
      <c r="K407" s="27"/>
      <c r="L407" s="96"/>
      <c r="M407" s="27"/>
      <c r="N407" s="96"/>
      <c r="O407" s="75"/>
      <c r="P407" s="75"/>
      <c r="Q407" s="75"/>
      <c r="R407" s="75"/>
      <c r="S407" s="75"/>
      <c r="T407" s="75"/>
    </row>
    <row r="408" spans="1:20">
      <c r="A408" s="63"/>
      <c r="B408" s="75"/>
      <c r="C408" s="63"/>
      <c r="D408" s="75"/>
      <c r="E408" s="92"/>
      <c r="F408" s="92"/>
      <c r="G408" s="75"/>
      <c r="H408" s="75"/>
      <c r="I408" s="75"/>
      <c r="J408" s="75"/>
      <c r="K408" s="27"/>
      <c r="L408" s="96"/>
      <c r="M408" s="27"/>
      <c r="N408" s="96"/>
      <c r="O408" s="75"/>
      <c r="P408" s="75"/>
      <c r="Q408" s="75"/>
      <c r="R408" s="75"/>
      <c r="S408" s="75"/>
      <c r="T408" s="75"/>
    </row>
    <row r="409" spans="1:20">
      <c r="A409" s="63"/>
      <c r="B409" s="75"/>
      <c r="C409" s="63"/>
      <c r="D409" s="75"/>
      <c r="E409" s="92"/>
      <c r="F409" s="92"/>
      <c r="G409" s="75"/>
      <c r="H409" s="75"/>
      <c r="I409" s="75"/>
      <c r="J409" s="75"/>
      <c r="K409" s="27"/>
      <c r="L409" s="96"/>
      <c r="M409" s="27"/>
      <c r="N409" s="96"/>
      <c r="O409" s="75"/>
      <c r="P409" s="75"/>
      <c r="Q409" s="75"/>
      <c r="R409" s="75"/>
      <c r="S409" s="75"/>
      <c r="T409" s="75"/>
    </row>
    <row r="410" spans="1:20">
      <c r="A410" s="63"/>
      <c r="B410" s="75"/>
      <c r="C410" s="63"/>
      <c r="D410" s="75"/>
      <c r="E410" s="92"/>
      <c r="F410" s="92"/>
      <c r="G410" s="75"/>
      <c r="H410" s="75"/>
      <c r="I410" s="75"/>
      <c r="J410" s="75"/>
      <c r="K410" s="27"/>
      <c r="L410" s="96"/>
      <c r="M410" s="27"/>
      <c r="N410" s="96"/>
      <c r="O410" s="75"/>
      <c r="P410" s="75"/>
      <c r="Q410" s="75"/>
      <c r="R410" s="75"/>
      <c r="S410" s="75"/>
      <c r="T410" s="75"/>
    </row>
    <row r="411" spans="1:20">
      <c r="A411" s="63"/>
      <c r="B411" s="75"/>
      <c r="C411" s="63"/>
      <c r="D411" s="75"/>
      <c r="E411" s="92"/>
      <c r="F411" s="92"/>
      <c r="G411" s="75"/>
      <c r="H411" s="75"/>
      <c r="I411" s="75"/>
      <c r="J411" s="75"/>
      <c r="K411" s="27"/>
      <c r="L411" s="96"/>
      <c r="M411" s="27"/>
      <c r="N411" s="96"/>
      <c r="O411" s="75"/>
      <c r="P411" s="75"/>
      <c r="Q411" s="75"/>
      <c r="R411" s="75"/>
      <c r="S411" s="75"/>
      <c r="T411" s="75"/>
    </row>
    <row r="412" spans="1:20">
      <c r="A412" s="63"/>
      <c r="B412" s="75"/>
      <c r="C412" s="63"/>
      <c r="D412" s="75"/>
      <c r="E412" s="92"/>
      <c r="F412" s="92"/>
      <c r="G412" s="75"/>
      <c r="H412" s="75"/>
      <c r="I412" s="75"/>
      <c r="J412" s="75"/>
      <c r="K412" s="27"/>
      <c r="L412" s="96"/>
      <c r="M412" s="27"/>
      <c r="N412" s="96"/>
      <c r="O412" s="75"/>
      <c r="P412" s="75"/>
      <c r="Q412" s="75"/>
      <c r="R412" s="75"/>
      <c r="S412" s="75"/>
      <c r="T412" s="75"/>
    </row>
    <row r="413" spans="1:20">
      <c r="A413" s="63"/>
      <c r="B413" s="75"/>
      <c r="C413" s="63"/>
      <c r="D413" s="75"/>
      <c r="E413" s="92"/>
      <c r="F413" s="92"/>
      <c r="G413" s="75"/>
      <c r="H413" s="75"/>
      <c r="I413" s="75"/>
      <c r="J413" s="75"/>
      <c r="K413" s="27"/>
      <c r="L413" s="96"/>
      <c r="M413" s="27"/>
      <c r="N413" s="96"/>
      <c r="O413" s="75"/>
      <c r="P413" s="75"/>
      <c r="Q413" s="75"/>
      <c r="R413" s="75"/>
      <c r="S413" s="75"/>
      <c r="T413" s="75"/>
    </row>
    <row r="414" spans="1:20">
      <c r="A414" s="63"/>
      <c r="B414" s="75"/>
      <c r="C414" s="63"/>
      <c r="D414" s="75"/>
      <c r="E414" s="92"/>
      <c r="F414" s="92"/>
      <c r="G414" s="75"/>
      <c r="H414" s="75"/>
      <c r="I414" s="75"/>
      <c r="J414" s="75"/>
      <c r="K414" s="27"/>
      <c r="L414" s="96"/>
      <c r="M414" s="27"/>
      <c r="N414" s="96"/>
      <c r="O414" s="75"/>
      <c r="P414" s="75"/>
      <c r="Q414" s="75"/>
      <c r="R414" s="75"/>
      <c r="S414" s="75"/>
      <c r="T414" s="75"/>
    </row>
    <row r="415" spans="1:20">
      <c r="A415" s="63"/>
      <c r="B415" s="75"/>
      <c r="C415" s="63"/>
      <c r="D415" s="75"/>
      <c r="E415" s="92"/>
      <c r="F415" s="92"/>
      <c r="G415" s="75"/>
      <c r="H415" s="75"/>
      <c r="I415" s="75"/>
      <c r="J415" s="75"/>
      <c r="K415" s="27"/>
      <c r="L415" s="96"/>
      <c r="M415" s="27"/>
      <c r="N415" s="96"/>
      <c r="O415" s="75"/>
      <c r="P415" s="75"/>
      <c r="Q415" s="75"/>
      <c r="R415" s="75"/>
      <c r="S415" s="75"/>
      <c r="T415" s="75"/>
    </row>
    <row r="416" spans="1:20">
      <c r="A416" s="63"/>
      <c r="B416" s="75"/>
      <c r="C416" s="63"/>
      <c r="D416" s="75"/>
      <c r="E416" s="92"/>
      <c r="F416" s="92"/>
      <c r="G416" s="75"/>
      <c r="H416" s="75"/>
      <c r="I416" s="75"/>
      <c r="J416" s="75"/>
      <c r="K416" s="27"/>
      <c r="L416" s="96"/>
      <c r="M416" s="27"/>
      <c r="N416" s="96"/>
      <c r="O416" s="75"/>
      <c r="P416" s="75"/>
      <c r="Q416" s="75"/>
      <c r="R416" s="75"/>
      <c r="S416" s="75"/>
      <c r="T416" s="75"/>
    </row>
    <row r="417" spans="1:20">
      <c r="A417" s="63"/>
      <c r="B417" s="75"/>
      <c r="C417" s="63"/>
      <c r="D417" s="75"/>
      <c r="E417" s="92"/>
      <c r="F417" s="92"/>
      <c r="G417" s="75"/>
      <c r="H417" s="75"/>
      <c r="I417" s="75"/>
      <c r="J417" s="75"/>
      <c r="K417" s="27"/>
      <c r="L417" s="96"/>
      <c r="M417" s="27"/>
      <c r="N417" s="96"/>
      <c r="O417" s="75"/>
      <c r="P417" s="75"/>
      <c r="Q417" s="75"/>
      <c r="R417" s="75"/>
      <c r="S417" s="75"/>
      <c r="T417" s="75"/>
    </row>
    <row r="418" spans="1:20">
      <c r="A418" s="63"/>
      <c r="B418" s="75"/>
      <c r="C418" s="63"/>
      <c r="D418" s="75"/>
      <c r="E418" s="92"/>
      <c r="F418" s="92"/>
      <c r="G418" s="75"/>
      <c r="H418" s="75"/>
      <c r="I418" s="75"/>
      <c r="J418" s="75"/>
      <c r="K418" s="27"/>
      <c r="L418" s="96"/>
      <c r="M418" s="27"/>
      <c r="N418" s="96"/>
      <c r="O418" s="75"/>
      <c r="P418" s="75"/>
      <c r="Q418" s="75"/>
      <c r="R418" s="75"/>
      <c r="S418" s="75"/>
      <c r="T418" s="75"/>
    </row>
    <row r="419" spans="1:20">
      <c r="A419" s="63"/>
      <c r="B419" s="75"/>
      <c r="C419" s="63"/>
      <c r="D419" s="75"/>
      <c r="E419" s="92"/>
      <c r="F419" s="92"/>
      <c r="G419" s="75"/>
      <c r="H419" s="75"/>
      <c r="I419" s="75"/>
      <c r="J419" s="75"/>
      <c r="K419" s="27"/>
      <c r="L419" s="96"/>
      <c r="M419" s="27"/>
      <c r="N419" s="96"/>
      <c r="O419" s="75"/>
      <c r="P419" s="75"/>
      <c r="Q419" s="75"/>
      <c r="R419" s="75"/>
      <c r="S419" s="75"/>
      <c r="T419" s="75"/>
    </row>
    <row r="420" spans="1:20">
      <c r="A420" s="63"/>
      <c r="B420" s="75"/>
      <c r="C420" s="63"/>
      <c r="D420" s="75"/>
      <c r="E420" s="92"/>
      <c r="F420" s="92"/>
      <c r="G420" s="75"/>
      <c r="H420" s="75"/>
      <c r="I420" s="75"/>
      <c r="J420" s="75"/>
      <c r="K420" s="27"/>
      <c r="L420" s="96"/>
      <c r="M420" s="27"/>
      <c r="N420" s="96"/>
      <c r="O420" s="75"/>
      <c r="P420" s="75"/>
      <c r="Q420" s="75"/>
      <c r="R420" s="75"/>
      <c r="S420" s="75"/>
      <c r="T420" s="75"/>
    </row>
    <row r="421" spans="1:20">
      <c r="A421" s="63"/>
      <c r="B421" s="75"/>
      <c r="C421" s="63"/>
      <c r="D421" s="75"/>
      <c r="E421" s="92"/>
      <c r="F421" s="92"/>
      <c r="G421" s="75"/>
      <c r="H421" s="75"/>
      <c r="I421" s="75"/>
      <c r="J421" s="75"/>
      <c r="K421" s="27"/>
      <c r="L421" s="96"/>
      <c r="M421" s="27"/>
      <c r="N421" s="96"/>
      <c r="O421" s="75"/>
      <c r="P421" s="75"/>
      <c r="Q421" s="75"/>
      <c r="R421" s="75"/>
      <c r="S421" s="75"/>
      <c r="T421" s="75"/>
    </row>
    <row r="422" spans="1:20">
      <c r="A422" s="63"/>
      <c r="B422" s="75"/>
      <c r="C422" s="63"/>
      <c r="D422" s="75"/>
      <c r="E422" s="92"/>
      <c r="F422" s="92"/>
      <c r="G422" s="75"/>
      <c r="H422" s="75"/>
      <c r="I422" s="75"/>
      <c r="J422" s="75"/>
      <c r="K422" s="27"/>
      <c r="L422" s="96"/>
      <c r="M422" s="27"/>
      <c r="N422" s="96"/>
      <c r="O422" s="75"/>
      <c r="P422" s="75"/>
      <c r="Q422" s="75"/>
      <c r="R422" s="75"/>
      <c r="S422" s="75"/>
      <c r="T422" s="75"/>
    </row>
    <row r="423" spans="1:20">
      <c r="A423" s="63"/>
      <c r="B423" s="75"/>
      <c r="C423" s="63"/>
      <c r="D423" s="75"/>
      <c r="E423" s="92"/>
      <c r="F423" s="92"/>
      <c r="G423" s="75"/>
      <c r="H423" s="75"/>
      <c r="I423" s="75"/>
      <c r="J423" s="75"/>
      <c r="K423" s="27"/>
      <c r="L423" s="96"/>
      <c r="M423" s="27"/>
      <c r="N423" s="96"/>
      <c r="O423" s="75"/>
      <c r="P423" s="75"/>
      <c r="Q423" s="75"/>
      <c r="R423" s="75"/>
      <c r="S423" s="75"/>
      <c r="T423" s="75"/>
    </row>
    <row r="424" spans="1:20">
      <c r="A424" s="63"/>
      <c r="B424" s="75"/>
      <c r="C424" s="63"/>
      <c r="D424" s="75"/>
      <c r="E424" s="92"/>
      <c r="F424" s="92"/>
      <c r="G424" s="75"/>
      <c r="H424" s="75"/>
      <c r="I424" s="75"/>
      <c r="J424" s="75"/>
      <c r="K424" s="27"/>
      <c r="L424" s="96"/>
      <c r="M424" s="27"/>
      <c r="N424" s="96"/>
      <c r="O424" s="75"/>
      <c r="P424" s="75"/>
      <c r="Q424" s="75"/>
      <c r="R424" s="75"/>
      <c r="S424" s="75"/>
      <c r="T424" s="75"/>
    </row>
    <row r="425" spans="1:20">
      <c r="A425" s="63"/>
      <c r="B425" s="75"/>
      <c r="C425" s="63"/>
      <c r="D425" s="75"/>
      <c r="E425" s="92"/>
      <c r="F425" s="92"/>
      <c r="G425" s="75"/>
      <c r="H425" s="75"/>
      <c r="I425" s="75"/>
      <c r="J425" s="75"/>
      <c r="K425" s="27"/>
      <c r="L425" s="96"/>
      <c r="M425" s="27"/>
      <c r="N425" s="96"/>
      <c r="O425" s="75"/>
      <c r="P425" s="75"/>
      <c r="Q425" s="75"/>
      <c r="R425" s="75"/>
      <c r="S425" s="75"/>
      <c r="T425" s="75"/>
    </row>
    <row r="426" spans="1:20">
      <c r="A426" s="63"/>
      <c r="B426" s="75"/>
      <c r="C426" s="63"/>
      <c r="D426" s="75"/>
      <c r="E426" s="92"/>
      <c r="F426" s="92"/>
      <c r="G426" s="75"/>
      <c r="H426" s="75"/>
      <c r="I426" s="75"/>
      <c r="J426" s="75"/>
      <c r="K426" s="27"/>
      <c r="L426" s="96"/>
      <c r="M426" s="27"/>
      <c r="N426" s="96"/>
      <c r="O426" s="75"/>
      <c r="P426" s="75"/>
      <c r="Q426" s="75"/>
      <c r="R426" s="75"/>
      <c r="S426" s="75"/>
      <c r="T426" s="75"/>
    </row>
    <row r="427" spans="1:20">
      <c r="A427" s="63"/>
      <c r="B427" s="75"/>
      <c r="C427" s="63"/>
      <c r="D427" s="75"/>
      <c r="E427" s="92"/>
      <c r="F427" s="92"/>
      <c r="G427" s="75"/>
      <c r="H427" s="75"/>
      <c r="I427" s="75"/>
      <c r="J427" s="75"/>
      <c r="K427" s="27"/>
      <c r="L427" s="96"/>
      <c r="M427" s="27"/>
      <c r="N427" s="96"/>
      <c r="O427" s="75"/>
      <c r="P427" s="75"/>
      <c r="Q427" s="75"/>
      <c r="R427" s="75"/>
      <c r="S427" s="75"/>
      <c r="T427" s="75"/>
    </row>
    <row r="428" spans="1:20">
      <c r="A428" s="63"/>
      <c r="B428" s="75"/>
      <c r="C428" s="63"/>
      <c r="D428" s="92"/>
      <c r="E428" s="92"/>
      <c r="F428" s="80"/>
      <c r="G428" s="75"/>
      <c r="H428" s="75"/>
      <c r="I428" s="75"/>
      <c r="J428" s="75"/>
      <c r="K428" s="27"/>
      <c r="L428" s="96"/>
      <c r="M428" s="27"/>
      <c r="N428" s="96"/>
      <c r="O428" s="75"/>
      <c r="P428" s="75"/>
      <c r="Q428" s="75"/>
      <c r="R428" s="75"/>
      <c r="S428" s="75"/>
      <c r="T428" s="75"/>
    </row>
    <row r="429" spans="1:20">
      <c r="A429" s="63"/>
      <c r="B429" s="84"/>
      <c r="C429" s="63"/>
      <c r="D429" s="92"/>
      <c r="E429" s="92"/>
      <c r="F429" s="92"/>
      <c r="G429" s="75"/>
      <c r="H429" s="75"/>
      <c r="I429" s="75"/>
      <c r="J429" s="75"/>
      <c r="K429" s="27"/>
      <c r="L429" s="96"/>
      <c r="M429" s="27"/>
      <c r="N429" s="96"/>
      <c r="O429" s="75"/>
      <c r="P429" s="75"/>
      <c r="Q429" s="75"/>
      <c r="R429" s="75"/>
      <c r="S429" s="75"/>
      <c r="T429" s="75"/>
    </row>
    <row r="430" spans="1:20">
      <c r="A430" s="63"/>
      <c r="B430" s="75"/>
      <c r="C430" s="63"/>
      <c r="D430" s="92"/>
      <c r="E430" s="92"/>
      <c r="F430" s="92"/>
      <c r="G430" s="75"/>
      <c r="H430" s="75"/>
      <c r="I430" s="75"/>
      <c r="J430" s="75"/>
      <c r="K430" s="27"/>
      <c r="L430" s="96"/>
      <c r="M430" s="27"/>
      <c r="N430" s="96"/>
      <c r="O430" s="75"/>
      <c r="P430" s="75"/>
      <c r="Q430" s="75"/>
      <c r="R430" s="75"/>
      <c r="S430" s="75"/>
      <c r="T430" s="75"/>
    </row>
    <row r="431" spans="1:20">
      <c r="A431" s="63"/>
      <c r="B431" s="75"/>
      <c r="C431" s="63"/>
      <c r="D431" s="92"/>
      <c r="E431" s="92"/>
      <c r="F431" s="80"/>
      <c r="G431" s="75"/>
      <c r="H431" s="75"/>
      <c r="I431" s="75"/>
      <c r="J431" s="75"/>
      <c r="K431" s="27"/>
      <c r="L431" s="96"/>
      <c r="M431" s="27"/>
      <c r="N431" s="96"/>
      <c r="O431" s="75"/>
      <c r="P431" s="75"/>
      <c r="Q431" s="75"/>
      <c r="R431" s="75"/>
      <c r="S431" s="75"/>
      <c r="T431" s="75"/>
    </row>
    <row r="432" spans="1:20">
      <c r="A432" s="63"/>
      <c r="B432" s="75"/>
      <c r="C432" s="63"/>
      <c r="D432" s="92"/>
      <c r="E432" s="92"/>
      <c r="F432" s="92"/>
      <c r="G432" s="75"/>
      <c r="H432" s="75"/>
      <c r="I432" s="75"/>
      <c r="J432" s="75"/>
      <c r="K432" s="27"/>
      <c r="L432" s="96"/>
      <c r="M432" s="27"/>
      <c r="N432" s="96"/>
      <c r="O432" s="75"/>
      <c r="P432" s="75"/>
      <c r="Q432" s="75"/>
      <c r="R432" s="75"/>
      <c r="S432" s="75"/>
      <c r="T432" s="75"/>
    </row>
    <row r="433" spans="1:20">
      <c r="A433" s="63"/>
      <c r="B433" s="75"/>
      <c r="C433" s="63"/>
      <c r="D433" s="75"/>
      <c r="E433" s="92"/>
      <c r="F433" s="92"/>
      <c r="G433" s="75"/>
      <c r="H433" s="75"/>
      <c r="I433" s="75"/>
      <c r="J433" s="75"/>
      <c r="K433" s="27"/>
      <c r="L433" s="96"/>
      <c r="M433" s="27"/>
      <c r="N433" s="96"/>
      <c r="O433" s="75"/>
      <c r="P433" s="75"/>
      <c r="Q433" s="75"/>
      <c r="R433" s="75"/>
      <c r="S433" s="75"/>
      <c r="T433" s="75"/>
    </row>
    <row r="434" spans="1:20">
      <c r="A434" s="63"/>
      <c r="B434" s="75"/>
      <c r="C434" s="63"/>
      <c r="D434" s="75"/>
      <c r="E434" s="92"/>
      <c r="F434" s="92"/>
      <c r="G434" s="75"/>
      <c r="H434" s="75"/>
      <c r="I434" s="75"/>
      <c r="J434" s="75"/>
      <c r="K434" s="27"/>
      <c r="L434" s="96"/>
      <c r="M434" s="27"/>
      <c r="N434" s="96"/>
      <c r="O434" s="75"/>
      <c r="P434" s="75"/>
      <c r="Q434" s="75"/>
      <c r="R434" s="75"/>
      <c r="S434" s="75"/>
      <c r="T434" s="75"/>
    </row>
    <row r="435" spans="1:20">
      <c r="A435" s="63"/>
      <c r="B435" s="75"/>
      <c r="C435" s="63"/>
      <c r="D435" s="75"/>
      <c r="E435" s="92"/>
      <c r="F435" s="92"/>
      <c r="G435" s="75"/>
      <c r="H435" s="75"/>
      <c r="I435" s="75"/>
      <c r="J435" s="75"/>
      <c r="K435" s="27"/>
      <c r="L435" s="96"/>
      <c r="M435" s="27"/>
      <c r="N435" s="96"/>
      <c r="O435" s="75"/>
      <c r="P435" s="75"/>
      <c r="Q435" s="75"/>
      <c r="R435" s="75"/>
      <c r="S435" s="75"/>
      <c r="T435" s="75"/>
    </row>
    <row r="436" spans="1:20">
      <c r="A436" s="63"/>
      <c r="B436" s="84"/>
      <c r="C436" s="63"/>
      <c r="D436" s="75"/>
      <c r="E436" s="92"/>
      <c r="F436" s="80"/>
      <c r="G436" s="75"/>
      <c r="H436" s="75"/>
      <c r="I436" s="75"/>
      <c r="J436" s="75"/>
      <c r="K436" s="27"/>
      <c r="L436" s="96"/>
      <c r="M436" s="27"/>
      <c r="N436" s="96"/>
      <c r="O436" s="75"/>
      <c r="P436" s="75"/>
      <c r="Q436" s="75"/>
      <c r="R436" s="75"/>
      <c r="S436" s="75"/>
      <c r="T436" s="75"/>
    </row>
    <row r="437" spans="1:20">
      <c r="A437" s="63"/>
      <c r="B437" s="75"/>
      <c r="C437" s="63"/>
      <c r="D437" s="75"/>
      <c r="E437" s="92"/>
      <c r="F437" s="92"/>
      <c r="G437" s="75"/>
      <c r="H437" s="75"/>
      <c r="I437" s="75"/>
      <c r="J437" s="75"/>
      <c r="K437" s="27"/>
      <c r="L437" s="96"/>
      <c r="M437" s="27"/>
      <c r="N437" s="96"/>
      <c r="O437" s="75"/>
      <c r="P437" s="75"/>
      <c r="Q437" s="75"/>
      <c r="R437" s="75"/>
      <c r="S437" s="75"/>
      <c r="T437" s="75"/>
    </row>
    <row r="438" spans="1:20">
      <c r="A438" s="63"/>
      <c r="B438" s="75"/>
      <c r="C438" s="63"/>
      <c r="D438" s="75"/>
      <c r="E438" s="92"/>
      <c r="F438" s="92"/>
      <c r="G438" s="75"/>
      <c r="H438" s="75"/>
      <c r="I438" s="75"/>
      <c r="J438" s="75"/>
      <c r="K438" s="27"/>
      <c r="L438" s="96"/>
      <c r="M438" s="27"/>
      <c r="N438" s="96"/>
      <c r="O438" s="75"/>
      <c r="P438" s="75"/>
      <c r="Q438" s="75"/>
      <c r="R438" s="75"/>
      <c r="S438" s="75"/>
      <c r="T438" s="75"/>
    </row>
    <row r="439" spans="1:20">
      <c r="A439" s="63"/>
      <c r="B439" s="75"/>
      <c r="C439" s="63"/>
      <c r="D439" s="75"/>
      <c r="E439" s="92"/>
      <c r="F439" s="92"/>
      <c r="G439" s="75"/>
      <c r="H439" s="75"/>
      <c r="I439" s="75"/>
      <c r="J439" s="75"/>
      <c r="K439" s="27"/>
      <c r="L439" s="96"/>
      <c r="M439" s="27"/>
      <c r="N439" s="96"/>
      <c r="O439" s="75"/>
      <c r="P439" s="75"/>
      <c r="Q439" s="75"/>
      <c r="R439" s="75"/>
      <c r="S439" s="75"/>
      <c r="T439" s="75"/>
    </row>
    <row r="440" spans="1:20">
      <c r="A440" s="63"/>
      <c r="B440" s="75"/>
      <c r="C440" s="63"/>
      <c r="D440" s="75"/>
      <c r="E440" s="92"/>
      <c r="F440" s="92"/>
      <c r="G440" s="75"/>
      <c r="H440" s="75"/>
      <c r="I440" s="75"/>
      <c r="J440" s="75"/>
      <c r="K440" s="27"/>
      <c r="L440" s="96"/>
      <c r="M440" s="27"/>
      <c r="N440" s="96"/>
      <c r="O440" s="75"/>
      <c r="P440" s="75"/>
      <c r="Q440" s="75"/>
      <c r="R440" s="75"/>
      <c r="S440" s="75"/>
      <c r="T440" s="75"/>
    </row>
    <row r="441" spans="1:20">
      <c r="A441" s="63"/>
      <c r="B441" s="75"/>
      <c r="C441" s="63"/>
      <c r="D441" s="75"/>
      <c r="E441" s="92"/>
      <c r="F441" s="92"/>
      <c r="G441" s="75"/>
      <c r="H441" s="75"/>
      <c r="I441" s="75"/>
      <c r="J441" s="75"/>
      <c r="K441" s="27"/>
      <c r="L441" s="96"/>
      <c r="M441" s="27"/>
      <c r="N441" s="96"/>
      <c r="O441" s="75"/>
      <c r="P441" s="75"/>
      <c r="Q441" s="75"/>
      <c r="R441" s="75"/>
      <c r="S441" s="75"/>
      <c r="T441" s="75"/>
    </row>
    <row r="442" spans="1:20">
      <c r="A442" s="63"/>
      <c r="B442" s="75"/>
      <c r="C442" s="63"/>
      <c r="D442" s="75"/>
      <c r="E442" s="92"/>
      <c r="F442" s="92"/>
      <c r="G442" s="75"/>
      <c r="H442" s="75"/>
      <c r="I442" s="75"/>
      <c r="J442" s="75"/>
      <c r="K442" s="27"/>
      <c r="L442" s="96"/>
      <c r="M442" s="27"/>
      <c r="N442" s="96"/>
      <c r="O442" s="75"/>
      <c r="P442" s="75"/>
      <c r="Q442" s="75"/>
      <c r="R442" s="75"/>
      <c r="S442" s="75"/>
      <c r="T442" s="75"/>
    </row>
    <row r="443" spans="1:20">
      <c r="A443" s="63"/>
      <c r="B443" s="75"/>
      <c r="C443" s="63"/>
      <c r="D443" s="75"/>
      <c r="E443" s="92"/>
      <c r="F443" s="92"/>
      <c r="G443" s="75"/>
      <c r="H443" s="75"/>
      <c r="I443" s="75"/>
      <c r="J443" s="75"/>
      <c r="K443" s="27"/>
      <c r="L443" s="96"/>
      <c r="M443" s="27"/>
      <c r="N443" s="96"/>
      <c r="O443" s="75"/>
      <c r="P443" s="75"/>
      <c r="Q443" s="75"/>
      <c r="R443" s="75"/>
      <c r="S443" s="75"/>
      <c r="T443" s="75"/>
    </row>
    <row r="444" spans="1:20">
      <c r="A444" s="63"/>
      <c r="B444" s="75"/>
      <c r="C444" s="63"/>
      <c r="D444" s="75"/>
      <c r="E444" s="92"/>
      <c r="F444" s="92"/>
      <c r="G444" s="75"/>
      <c r="H444" s="75"/>
      <c r="I444" s="75"/>
      <c r="J444" s="75"/>
      <c r="K444" s="27"/>
      <c r="L444" s="96"/>
      <c r="M444" s="27"/>
      <c r="N444" s="96"/>
      <c r="O444" s="75"/>
      <c r="P444" s="75"/>
      <c r="Q444" s="75"/>
      <c r="R444" s="75"/>
      <c r="S444" s="75"/>
      <c r="T444" s="75"/>
    </row>
    <row r="445" spans="1:20">
      <c r="A445" s="63"/>
      <c r="B445" s="75"/>
      <c r="C445" s="63"/>
      <c r="D445" s="75"/>
      <c r="E445" s="92"/>
      <c r="F445" s="92"/>
      <c r="G445" s="75"/>
      <c r="H445" s="75"/>
      <c r="I445" s="75"/>
      <c r="J445" s="75"/>
      <c r="K445" s="27"/>
      <c r="L445" s="96"/>
      <c r="M445" s="27"/>
      <c r="N445" s="96"/>
      <c r="O445" s="75"/>
      <c r="P445" s="75"/>
      <c r="Q445" s="75"/>
      <c r="R445" s="75"/>
      <c r="S445" s="75"/>
      <c r="T445" s="75"/>
    </row>
    <row r="446" spans="1:20">
      <c r="A446" s="63"/>
      <c r="B446" s="75"/>
      <c r="C446" s="63"/>
      <c r="D446" s="75"/>
      <c r="E446" s="92"/>
      <c r="F446" s="92"/>
      <c r="G446" s="75"/>
      <c r="H446" s="75"/>
      <c r="I446" s="75"/>
      <c r="J446" s="75"/>
      <c r="K446" s="27"/>
      <c r="L446" s="96"/>
      <c r="M446" s="27"/>
      <c r="N446" s="96"/>
      <c r="O446" s="75"/>
      <c r="P446" s="75"/>
      <c r="Q446" s="75"/>
      <c r="R446" s="75"/>
      <c r="S446" s="75"/>
      <c r="T446" s="75"/>
    </row>
    <row r="447" spans="1:20">
      <c r="A447" s="63"/>
      <c r="B447" s="75"/>
      <c r="C447" s="63"/>
      <c r="D447" s="75"/>
      <c r="E447" s="92"/>
      <c r="F447" s="92"/>
      <c r="G447" s="75"/>
      <c r="H447" s="75"/>
      <c r="I447" s="75"/>
      <c r="J447" s="75"/>
      <c r="K447" s="27"/>
      <c r="L447" s="96"/>
      <c r="M447" s="27"/>
      <c r="N447" s="96"/>
      <c r="O447" s="75"/>
      <c r="P447" s="75"/>
      <c r="Q447" s="75"/>
      <c r="R447" s="75"/>
      <c r="S447" s="75"/>
      <c r="T447" s="75"/>
    </row>
    <row r="448" spans="1:20">
      <c r="A448" s="63"/>
      <c r="B448" s="75"/>
      <c r="C448" s="63"/>
      <c r="D448" s="75"/>
      <c r="E448" s="92"/>
      <c r="F448" s="92"/>
      <c r="G448" s="75"/>
      <c r="H448" s="75"/>
      <c r="I448" s="75"/>
      <c r="J448" s="75"/>
      <c r="K448" s="27"/>
      <c r="L448" s="96"/>
      <c r="M448" s="27"/>
      <c r="N448" s="96"/>
      <c r="O448" s="75"/>
      <c r="P448" s="75"/>
      <c r="Q448" s="75"/>
      <c r="R448" s="75"/>
      <c r="S448" s="75"/>
      <c r="T448" s="75"/>
    </row>
    <row r="449" spans="1:20">
      <c r="A449" s="63"/>
      <c r="B449" s="75"/>
      <c r="C449" s="63"/>
      <c r="D449" s="75"/>
      <c r="E449" s="92"/>
      <c r="F449" s="92"/>
      <c r="G449" s="75"/>
      <c r="H449" s="75"/>
      <c r="I449" s="75"/>
      <c r="J449" s="75"/>
      <c r="K449" s="27"/>
      <c r="L449" s="96"/>
      <c r="M449" s="27"/>
      <c r="N449" s="96"/>
      <c r="O449" s="75"/>
      <c r="P449" s="75"/>
      <c r="Q449" s="75"/>
      <c r="R449" s="75"/>
      <c r="S449" s="75"/>
      <c r="T449" s="75"/>
    </row>
    <row r="450" spans="1:20">
      <c r="A450" s="63"/>
      <c r="B450" s="75"/>
      <c r="C450" s="63"/>
      <c r="D450" s="75"/>
      <c r="E450" s="92"/>
      <c r="F450" s="92"/>
      <c r="G450" s="75"/>
      <c r="H450" s="75"/>
      <c r="I450" s="75"/>
      <c r="J450" s="75"/>
      <c r="K450" s="27"/>
      <c r="L450" s="96"/>
      <c r="M450" s="27"/>
      <c r="N450" s="96"/>
      <c r="O450" s="75"/>
      <c r="P450" s="75"/>
      <c r="Q450" s="75"/>
      <c r="R450" s="75"/>
      <c r="S450" s="75"/>
      <c r="T450" s="75"/>
    </row>
    <row r="451" spans="1:20">
      <c r="A451" s="63"/>
      <c r="B451" s="75"/>
      <c r="C451" s="63"/>
      <c r="D451" s="75"/>
      <c r="E451" s="92"/>
      <c r="F451" s="92"/>
      <c r="G451" s="75"/>
      <c r="H451" s="75"/>
      <c r="I451" s="75"/>
      <c r="J451" s="75"/>
      <c r="K451" s="27"/>
      <c r="L451" s="96"/>
      <c r="M451" s="27"/>
      <c r="N451" s="96"/>
      <c r="O451" s="75"/>
      <c r="P451" s="75"/>
      <c r="Q451" s="75"/>
      <c r="R451" s="75"/>
      <c r="S451" s="75"/>
      <c r="T451" s="75"/>
    </row>
    <row r="452" spans="1:20">
      <c r="A452" s="63"/>
      <c r="B452" s="75"/>
      <c r="C452" s="63"/>
      <c r="D452" s="75"/>
      <c r="E452" s="92"/>
      <c r="F452" s="92"/>
      <c r="G452" s="75"/>
      <c r="H452" s="75"/>
      <c r="I452" s="75"/>
      <c r="J452" s="75"/>
      <c r="K452" s="27"/>
      <c r="L452" s="96"/>
      <c r="M452" s="27"/>
      <c r="N452" s="96"/>
      <c r="O452" s="75"/>
      <c r="P452" s="75"/>
      <c r="Q452" s="75"/>
      <c r="R452" s="75"/>
      <c r="S452" s="75"/>
      <c r="T452" s="75"/>
    </row>
    <row r="453" spans="1:20">
      <c r="A453" s="63"/>
      <c r="B453" s="75"/>
      <c r="C453" s="63"/>
      <c r="D453" s="75"/>
      <c r="E453" s="92"/>
      <c r="F453" s="92"/>
      <c r="G453" s="75"/>
      <c r="H453" s="75"/>
      <c r="I453" s="75"/>
      <c r="J453" s="75"/>
      <c r="K453" s="27"/>
      <c r="L453" s="96"/>
      <c r="M453" s="27"/>
      <c r="N453" s="96"/>
      <c r="O453" s="75"/>
      <c r="P453" s="75"/>
      <c r="Q453" s="75"/>
      <c r="R453" s="75"/>
      <c r="S453" s="75"/>
      <c r="T453" s="75"/>
    </row>
    <row r="454" spans="1:20">
      <c r="A454" s="63"/>
      <c r="B454" s="75"/>
      <c r="C454" s="63"/>
      <c r="D454" s="75"/>
      <c r="E454" s="92"/>
      <c r="F454" s="92"/>
      <c r="G454" s="75"/>
      <c r="H454" s="75"/>
      <c r="I454" s="75"/>
      <c r="J454" s="75"/>
      <c r="K454" s="27"/>
      <c r="L454" s="96"/>
      <c r="M454" s="27"/>
      <c r="N454" s="96"/>
      <c r="O454" s="75"/>
      <c r="P454" s="75"/>
      <c r="Q454" s="75"/>
      <c r="R454" s="75"/>
      <c r="S454" s="75"/>
      <c r="T454" s="75"/>
    </row>
    <row r="455" spans="1:20">
      <c r="A455" s="63"/>
      <c r="B455" s="75"/>
      <c r="C455" s="63"/>
      <c r="D455" s="75"/>
      <c r="E455" s="92"/>
      <c r="F455" s="92"/>
      <c r="G455" s="75"/>
      <c r="H455" s="75"/>
      <c r="I455" s="75"/>
      <c r="J455" s="75"/>
      <c r="K455" s="27"/>
      <c r="L455" s="96"/>
      <c r="M455" s="27"/>
      <c r="N455" s="96"/>
      <c r="O455" s="75"/>
      <c r="P455" s="75"/>
      <c r="Q455" s="75"/>
      <c r="R455" s="75"/>
      <c r="S455" s="75"/>
      <c r="T455" s="75"/>
    </row>
    <row r="456" spans="1:20">
      <c r="A456" s="63"/>
      <c r="B456" s="75"/>
      <c r="C456" s="63"/>
      <c r="D456" s="75"/>
      <c r="E456" s="92"/>
      <c r="F456" s="92"/>
      <c r="G456" s="75"/>
      <c r="H456" s="75"/>
      <c r="I456" s="75"/>
      <c r="J456" s="75"/>
      <c r="K456" s="27"/>
      <c r="L456" s="96"/>
      <c r="M456" s="27"/>
      <c r="N456" s="96"/>
      <c r="O456" s="75"/>
      <c r="P456" s="75"/>
      <c r="Q456" s="75"/>
      <c r="R456" s="75"/>
      <c r="S456" s="75"/>
      <c r="T456" s="75"/>
    </row>
    <row r="457" spans="1:20">
      <c r="A457" s="63"/>
      <c r="B457" s="75"/>
      <c r="C457" s="63"/>
      <c r="D457" s="75"/>
      <c r="E457" s="92"/>
      <c r="F457" s="92"/>
      <c r="G457" s="75"/>
      <c r="H457" s="75"/>
      <c r="I457" s="75"/>
      <c r="J457" s="75"/>
      <c r="K457" s="27"/>
      <c r="L457" s="96"/>
      <c r="M457" s="27"/>
      <c r="N457" s="96"/>
      <c r="O457" s="75"/>
      <c r="P457" s="75"/>
      <c r="Q457" s="75"/>
      <c r="R457" s="75"/>
      <c r="S457" s="75"/>
      <c r="T457" s="75"/>
    </row>
    <row r="458" spans="1:20">
      <c r="A458" s="63"/>
      <c r="B458" s="75"/>
      <c r="C458" s="63"/>
      <c r="D458" s="75"/>
      <c r="E458" s="92"/>
      <c r="F458" s="92"/>
      <c r="G458" s="75"/>
      <c r="H458" s="75"/>
      <c r="I458" s="75"/>
      <c r="J458" s="75"/>
      <c r="K458" s="27"/>
      <c r="L458" s="96"/>
      <c r="M458" s="27"/>
      <c r="N458" s="96"/>
      <c r="O458" s="75"/>
      <c r="P458" s="75"/>
      <c r="Q458" s="75"/>
      <c r="R458" s="75"/>
      <c r="S458" s="75"/>
      <c r="T458" s="75"/>
    </row>
    <row r="459" spans="1:20">
      <c r="A459" s="63"/>
      <c r="B459" s="75"/>
      <c r="C459" s="63"/>
      <c r="D459" s="75"/>
      <c r="E459" s="92"/>
      <c r="F459" s="92"/>
      <c r="G459" s="75"/>
      <c r="H459" s="75"/>
      <c r="I459" s="75"/>
      <c r="J459" s="75"/>
      <c r="K459" s="27"/>
      <c r="L459" s="96"/>
      <c r="M459" s="27"/>
      <c r="N459" s="96"/>
      <c r="O459" s="75"/>
      <c r="P459" s="75"/>
      <c r="Q459" s="75"/>
      <c r="R459" s="75"/>
      <c r="S459" s="75"/>
      <c r="T459" s="75"/>
    </row>
    <row r="460" spans="1:20">
      <c r="A460" s="63"/>
      <c r="B460" s="75"/>
      <c r="C460" s="63"/>
      <c r="D460" s="75"/>
      <c r="E460" s="92"/>
      <c r="F460" s="92"/>
      <c r="G460" s="75"/>
      <c r="H460" s="75"/>
      <c r="I460" s="75"/>
      <c r="J460" s="75"/>
      <c r="K460" s="27"/>
      <c r="L460" s="96"/>
      <c r="M460" s="27"/>
      <c r="N460" s="96"/>
      <c r="O460" s="75"/>
      <c r="P460" s="75"/>
      <c r="Q460" s="75"/>
      <c r="R460" s="75"/>
      <c r="S460" s="75"/>
      <c r="T460" s="75"/>
    </row>
    <row r="461" spans="1:20">
      <c r="A461" s="63"/>
      <c r="B461" s="75"/>
      <c r="C461" s="63"/>
      <c r="D461" s="92"/>
      <c r="F461" s="74"/>
      <c r="G461" s="75"/>
      <c r="H461" s="75"/>
      <c r="I461" s="75"/>
      <c r="J461" s="75"/>
      <c r="K461" s="27"/>
      <c r="L461" s="96"/>
      <c r="M461" s="27"/>
      <c r="N461" s="96"/>
      <c r="O461" s="75"/>
      <c r="P461" s="75"/>
      <c r="Q461" s="75"/>
      <c r="R461" s="75"/>
      <c r="S461" s="75"/>
      <c r="T461" s="75"/>
    </row>
    <row r="462" spans="1:20">
      <c r="A462" s="63"/>
      <c r="B462" s="75"/>
      <c r="C462" s="63"/>
      <c r="D462" s="92"/>
      <c r="E462" s="92"/>
      <c r="F462" s="80"/>
      <c r="G462" s="75"/>
      <c r="H462" s="75"/>
      <c r="I462" s="75"/>
      <c r="J462" s="75"/>
      <c r="K462" s="27"/>
      <c r="L462" s="96"/>
      <c r="M462" s="27"/>
      <c r="N462" s="96"/>
      <c r="O462" s="75"/>
      <c r="P462" s="75"/>
      <c r="Q462" s="75"/>
      <c r="R462" s="75"/>
      <c r="S462" s="75"/>
      <c r="T462" s="75"/>
    </row>
    <row r="463" spans="1:20">
      <c r="A463" s="63"/>
      <c r="B463" s="75"/>
      <c r="C463" s="63"/>
      <c r="D463" s="92"/>
      <c r="E463" s="92"/>
      <c r="F463" s="80"/>
      <c r="G463" s="75"/>
      <c r="H463" s="75"/>
      <c r="I463" s="75"/>
      <c r="J463" s="75"/>
      <c r="K463" s="27"/>
      <c r="L463" s="96"/>
      <c r="M463" s="27"/>
      <c r="N463" s="96"/>
      <c r="O463" s="75"/>
      <c r="P463" s="75"/>
      <c r="Q463" s="75"/>
      <c r="R463" s="75"/>
      <c r="S463" s="75"/>
      <c r="T463" s="75"/>
    </row>
    <row r="464" spans="1:20">
      <c r="A464" s="63"/>
      <c r="B464" s="75"/>
      <c r="C464" s="63"/>
      <c r="D464" s="92"/>
      <c r="E464" s="92"/>
      <c r="F464" s="80"/>
      <c r="G464" s="75"/>
      <c r="H464" s="75"/>
      <c r="I464" s="75"/>
      <c r="J464" s="75"/>
      <c r="K464" s="27"/>
      <c r="L464" s="96"/>
      <c r="M464" s="27"/>
      <c r="N464" s="96"/>
      <c r="O464" s="75"/>
      <c r="P464" s="75"/>
      <c r="Q464" s="75"/>
      <c r="R464" s="75"/>
      <c r="S464" s="75"/>
      <c r="T464" s="75"/>
    </row>
    <row r="465" spans="1:20">
      <c r="A465" s="63"/>
      <c r="B465" s="75"/>
      <c r="C465" s="63"/>
      <c r="D465" s="92"/>
      <c r="E465" s="92"/>
      <c r="F465" s="80"/>
      <c r="G465" s="75"/>
      <c r="H465" s="75"/>
      <c r="I465" s="75"/>
      <c r="J465" s="75"/>
      <c r="K465" s="27"/>
      <c r="L465" s="96"/>
      <c r="M465" s="27"/>
      <c r="N465" s="96"/>
      <c r="O465" s="75"/>
      <c r="P465" s="75"/>
      <c r="Q465" s="75"/>
      <c r="R465" s="75"/>
      <c r="S465" s="75"/>
      <c r="T465" s="75"/>
    </row>
    <row r="466" spans="1:20">
      <c r="A466" s="63"/>
      <c r="B466" s="84"/>
      <c r="C466" s="63"/>
      <c r="D466" s="92"/>
      <c r="E466" s="92"/>
      <c r="F466" s="80"/>
      <c r="G466" s="75"/>
      <c r="H466" s="75"/>
      <c r="I466" s="75"/>
      <c r="J466" s="75"/>
      <c r="K466" s="27"/>
      <c r="L466" s="96"/>
      <c r="M466" s="27"/>
      <c r="N466" s="96"/>
      <c r="O466" s="75"/>
      <c r="P466" s="75"/>
      <c r="Q466" s="75"/>
      <c r="R466" s="75"/>
      <c r="S466" s="75"/>
      <c r="T466" s="75"/>
    </row>
    <row r="467" spans="1:20">
      <c r="A467" s="63"/>
      <c r="B467" s="84"/>
      <c r="C467" s="63"/>
      <c r="D467" s="92"/>
      <c r="E467" s="92"/>
      <c r="F467" s="80"/>
      <c r="G467" s="75"/>
      <c r="H467" s="75"/>
      <c r="I467" s="75"/>
      <c r="J467" s="75"/>
      <c r="K467" s="27"/>
      <c r="L467" s="96"/>
      <c r="M467" s="27"/>
      <c r="N467" s="96"/>
      <c r="O467" s="75"/>
      <c r="P467" s="75"/>
      <c r="Q467" s="75"/>
      <c r="R467" s="75"/>
      <c r="S467" s="75"/>
      <c r="T467" s="75"/>
    </row>
    <row r="468" spans="1:20">
      <c r="A468" s="63"/>
      <c r="B468" s="84"/>
      <c r="C468" s="63"/>
      <c r="D468" s="92"/>
      <c r="E468" s="92"/>
      <c r="F468" s="80"/>
      <c r="G468" s="75"/>
      <c r="H468" s="75"/>
      <c r="I468" s="75"/>
      <c r="J468" s="75"/>
      <c r="K468" s="27"/>
      <c r="L468" s="96"/>
      <c r="M468" s="27"/>
      <c r="N468" s="96"/>
      <c r="O468" s="75"/>
      <c r="P468" s="75"/>
      <c r="Q468" s="75"/>
      <c r="R468" s="75"/>
      <c r="S468" s="75"/>
      <c r="T468" s="75"/>
    </row>
    <row r="469" spans="1:20">
      <c r="A469" s="63"/>
      <c r="B469" s="84"/>
      <c r="C469" s="63"/>
      <c r="D469" s="92"/>
      <c r="E469" s="92"/>
      <c r="F469" s="80"/>
      <c r="G469" s="75"/>
      <c r="H469" s="75"/>
      <c r="I469" s="75"/>
      <c r="J469" s="75"/>
      <c r="K469" s="27"/>
      <c r="L469" s="96"/>
      <c r="M469" s="27"/>
      <c r="N469" s="96"/>
      <c r="O469" s="75"/>
      <c r="P469" s="75"/>
      <c r="Q469" s="75"/>
      <c r="R469" s="75"/>
      <c r="S469" s="75"/>
      <c r="T469" s="75"/>
    </row>
    <row r="470" spans="1:20">
      <c r="A470" s="63"/>
      <c r="B470" s="84"/>
      <c r="C470" s="63"/>
      <c r="D470" s="92"/>
      <c r="E470" s="92"/>
      <c r="F470" s="80"/>
      <c r="G470" s="75"/>
      <c r="H470" s="75"/>
      <c r="I470" s="75"/>
      <c r="J470" s="75"/>
      <c r="K470" s="27"/>
      <c r="L470" s="96"/>
      <c r="M470" s="27"/>
      <c r="N470" s="96"/>
      <c r="O470" s="75"/>
      <c r="P470" s="75"/>
      <c r="Q470" s="75"/>
      <c r="R470" s="75"/>
      <c r="S470" s="75"/>
      <c r="T470" s="75"/>
    </row>
    <row r="471" spans="1:20">
      <c r="A471" s="63"/>
      <c r="B471" s="84"/>
      <c r="C471" s="63"/>
      <c r="D471" s="92"/>
      <c r="E471" s="92"/>
      <c r="F471" s="80"/>
      <c r="G471" s="75"/>
      <c r="H471" s="75"/>
      <c r="I471" s="75"/>
      <c r="J471" s="75"/>
      <c r="K471" s="27"/>
      <c r="L471" s="96"/>
      <c r="M471" s="27"/>
      <c r="N471" s="96"/>
      <c r="O471" s="75"/>
      <c r="P471" s="75"/>
      <c r="Q471" s="75"/>
      <c r="R471" s="75"/>
      <c r="S471" s="75"/>
      <c r="T471" s="75"/>
    </row>
    <row r="472" spans="1:20">
      <c r="A472" s="63"/>
      <c r="B472" s="84"/>
      <c r="C472" s="63"/>
      <c r="D472" s="92"/>
      <c r="E472" s="92"/>
      <c r="F472" s="80"/>
      <c r="G472" s="75"/>
      <c r="H472" s="75"/>
      <c r="I472" s="75"/>
      <c r="J472" s="75"/>
      <c r="K472" s="27"/>
      <c r="L472" s="96"/>
      <c r="M472" s="27"/>
      <c r="N472" s="96"/>
      <c r="O472" s="75"/>
      <c r="P472" s="75"/>
      <c r="Q472" s="75"/>
      <c r="R472" s="75"/>
      <c r="S472" s="75"/>
      <c r="T472" s="75"/>
    </row>
    <row r="473" spans="1:20">
      <c r="A473" s="63"/>
      <c r="B473" s="84"/>
      <c r="C473" s="63"/>
      <c r="D473" s="92"/>
      <c r="E473" s="92"/>
      <c r="F473" s="80"/>
      <c r="G473" s="75"/>
      <c r="H473" s="75"/>
      <c r="I473" s="75"/>
      <c r="J473" s="75"/>
      <c r="K473" s="27"/>
      <c r="L473" s="96"/>
      <c r="M473" s="27"/>
      <c r="N473" s="96"/>
      <c r="O473" s="75"/>
      <c r="P473" s="75"/>
      <c r="Q473" s="75"/>
      <c r="R473" s="75"/>
      <c r="S473" s="75"/>
      <c r="T473" s="75"/>
    </row>
    <row r="474" spans="1:20">
      <c r="A474" s="63"/>
      <c r="B474" s="84"/>
      <c r="C474" s="63"/>
      <c r="D474" s="92"/>
      <c r="E474" s="92"/>
      <c r="F474" s="80"/>
      <c r="G474" s="75"/>
      <c r="H474" s="75"/>
      <c r="I474" s="75"/>
      <c r="J474" s="75"/>
      <c r="K474" s="27"/>
      <c r="L474" s="96"/>
      <c r="M474" s="27"/>
      <c r="N474" s="96"/>
      <c r="O474" s="75"/>
      <c r="P474" s="75"/>
      <c r="Q474" s="75"/>
      <c r="R474" s="75"/>
      <c r="S474" s="75"/>
      <c r="T474" s="75"/>
    </row>
    <row r="475" spans="1:20">
      <c r="A475" s="63"/>
      <c r="B475" s="84"/>
      <c r="C475" s="63"/>
      <c r="D475" s="92"/>
      <c r="E475" s="92"/>
      <c r="F475" s="80"/>
      <c r="G475" s="75"/>
      <c r="H475" s="75"/>
      <c r="I475" s="75"/>
      <c r="J475" s="75"/>
      <c r="K475" s="27"/>
      <c r="L475" s="96"/>
      <c r="M475" s="27"/>
      <c r="N475" s="96"/>
      <c r="O475" s="75"/>
      <c r="P475" s="75"/>
      <c r="Q475" s="75"/>
      <c r="R475" s="75"/>
      <c r="S475" s="75"/>
      <c r="T475" s="75"/>
    </row>
    <row r="476" spans="1:20">
      <c r="A476" s="63"/>
      <c r="B476" s="84"/>
      <c r="C476" s="63"/>
      <c r="D476" s="92"/>
      <c r="E476" s="92"/>
      <c r="F476" s="80"/>
      <c r="G476" s="75"/>
      <c r="H476" s="75"/>
      <c r="I476" s="75"/>
      <c r="J476" s="75"/>
      <c r="K476" s="27"/>
      <c r="L476" s="96"/>
      <c r="M476" s="27"/>
      <c r="N476" s="96"/>
      <c r="O476" s="75"/>
      <c r="P476" s="75"/>
      <c r="Q476" s="75"/>
      <c r="R476" s="75"/>
      <c r="S476" s="75"/>
      <c r="T476" s="75"/>
    </row>
    <row r="477" spans="1:20">
      <c r="A477" s="63"/>
      <c r="B477" s="84"/>
      <c r="C477" s="63"/>
      <c r="D477" s="92"/>
      <c r="E477" s="92"/>
      <c r="F477" s="80"/>
      <c r="G477" s="75"/>
      <c r="H477" s="75"/>
      <c r="I477" s="75"/>
      <c r="J477" s="75"/>
      <c r="K477" s="27"/>
      <c r="L477" s="96"/>
      <c r="M477" s="27"/>
      <c r="N477" s="96"/>
      <c r="O477" s="75"/>
      <c r="P477" s="75"/>
      <c r="Q477" s="75"/>
      <c r="R477" s="75"/>
      <c r="S477" s="75"/>
      <c r="T477" s="75"/>
    </row>
    <row r="478" spans="1:20">
      <c r="A478" s="63"/>
      <c r="B478" s="84"/>
      <c r="C478" s="63"/>
      <c r="D478" s="92"/>
      <c r="E478" s="92"/>
      <c r="F478" s="80"/>
      <c r="G478" s="75"/>
      <c r="H478" s="75"/>
      <c r="I478" s="75"/>
      <c r="J478" s="75"/>
      <c r="K478" s="27"/>
      <c r="L478" s="96"/>
      <c r="M478" s="27"/>
      <c r="N478" s="96"/>
      <c r="O478" s="75"/>
      <c r="P478" s="75"/>
      <c r="Q478" s="75"/>
      <c r="R478" s="75"/>
      <c r="S478" s="75"/>
      <c r="T478" s="75"/>
    </row>
    <row r="479" spans="1:20">
      <c r="A479" s="63"/>
      <c r="B479" s="84"/>
      <c r="C479" s="63"/>
      <c r="D479" s="92"/>
      <c r="E479" s="92"/>
      <c r="F479" s="80"/>
      <c r="G479" s="75"/>
      <c r="H479" s="75"/>
      <c r="I479" s="75"/>
      <c r="J479" s="75"/>
      <c r="K479" s="27"/>
      <c r="L479" s="96"/>
      <c r="M479" s="27"/>
      <c r="N479" s="96"/>
      <c r="O479" s="75"/>
      <c r="P479" s="75"/>
      <c r="Q479" s="75"/>
      <c r="R479" s="75"/>
      <c r="S479" s="75"/>
      <c r="T479" s="75"/>
    </row>
    <row r="480" spans="1:20">
      <c r="A480" s="63"/>
      <c r="B480" s="84"/>
      <c r="C480" s="63"/>
      <c r="D480" s="92"/>
      <c r="E480" s="92"/>
      <c r="F480" s="80"/>
      <c r="G480" s="75"/>
      <c r="H480" s="75"/>
      <c r="I480" s="75"/>
      <c r="J480" s="75"/>
      <c r="K480" s="27"/>
      <c r="L480" s="96"/>
      <c r="M480" s="27"/>
      <c r="N480" s="96"/>
      <c r="O480" s="75"/>
      <c r="P480" s="75"/>
      <c r="Q480" s="75"/>
      <c r="R480" s="75"/>
      <c r="S480" s="75"/>
      <c r="T480" s="75"/>
    </row>
    <row r="481" spans="1:20">
      <c r="A481" s="63"/>
      <c r="B481" s="84"/>
      <c r="C481" s="63"/>
      <c r="D481" s="92"/>
      <c r="E481" s="92"/>
      <c r="F481" s="80"/>
      <c r="G481" s="75"/>
      <c r="H481" s="75"/>
      <c r="I481" s="75"/>
      <c r="J481" s="75"/>
      <c r="K481" s="27"/>
      <c r="L481" s="96"/>
      <c r="M481" s="27"/>
      <c r="N481" s="96"/>
      <c r="O481" s="75"/>
      <c r="P481" s="75"/>
      <c r="Q481" s="75"/>
      <c r="R481" s="75"/>
      <c r="S481" s="75"/>
      <c r="T481" s="75"/>
    </row>
    <row r="482" spans="1:20">
      <c r="A482" s="63"/>
      <c r="B482" s="84"/>
      <c r="C482" s="63"/>
      <c r="D482" s="92"/>
      <c r="E482" s="92"/>
      <c r="F482" s="80"/>
      <c r="G482" s="75"/>
      <c r="H482" s="75"/>
      <c r="I482" s="75"/>
      <c r="J482" s="75"/>
      <c r="K482" s="27"/>
      <c r="L482" s="96"/>
      <c r="M482" s="27"/>
      <c r="N482" s="96"/>
      <c r="O482" s="75"/>
      <c r="P482" s="75"/>
      <c r="Q482" s="75"/>
      <c r="R482" s="75"/>
      <c r="S482" s="75"/>
      <c r="T482" s="75"/>
    </row>
    <row r="483" spans="1:20">
      <c r="A483" s="63"/>
      <c r="B483" s="75"/>
      <c r="C483" s="63"/>
      <c r="D483" s="80"/>
      <c r="E483" s="92"/>
      <c r="F483" s="92"/>
      <c r="G483" s="75"/>
      <c r="H483" s="75"/>
      <c r="I483" s="75"/>
      <c r="J483" s="75"/>
      <c r="K483" s="27"/>
      <c r="L483" s="96"/>
      <c r="M483" s="27"/>
      <c r="N483" s="96"/>
      <c r="O483" s="75"/>
      <c r="P483" s="75"/>
      <c r="Q483" s="75"/>
      <c r="R483" s="75"/>
      <c r="S483" s="75"/>
      <c r="T483" s="75"/>
    </row>
    <row r="484" spans="1:20">
      <c r="A484" s="63"/>
      <c r="B484" s="75"/>
      <c r="C484" s="63"/>
      <c r="D484" s="75"/>
      <c r="E484" s="92"/>
      <c r="F484" s="92"/>
      <c r="G484" s="75"/>
      <c r="H484" s="75"/>
      <c r="I484" s="75"/>
      <c r="J484" s="75"/>
      <c r="K484" s="27"/>
      <c r="L484" s="96"/>
      <c r="M484" s="27"/>
      <c r="N484" s="96"/>
      <c r="O484" s="75"/>
      <c r="P484" s="75"/>
      <c r="Q484" s="75"/>
      <c r="R484" s="75"/>
      <c r="S484" s="75"/>
      <c r="T484" s="75"/>
    </row>
    <row r="485" spans="1:20">
      <c r="A485" s="63"/>
      <c r="B485" s="75"/>
      <c r="C485" s="63"/>
      <c r="D485" s="75"/>
      <c r="E485" s="92"/>
      <c r="F485" s="92"/>
      <c r="G485" s="75"/>
      <c r="H485" s="75"/>
      <c r="I485" s="75"/>
      <c r="J485" s="75"/>
      <c r="K485" s="27"/>
      <c r="L485" s="96"/>
      <c r="M485" s="27"/>
      <c r="N485" s="96"/>
      <c r="O485" s="75"/>
      <c r="P485" s="75"/>
      <c r="Q485" s="75"/>
      <c r="R485" s="75"/>
      <c r="S485" s="75"/>
      <c r="T485" s="75"/>
    </row>
    <row r="486" spans="1:20">
      <c r="A486" s="63"/>
      <c r="B486" s="75"/>
      <c r="C486" s="63"/>
      <c r="D486" s="75"/>
      <c r="E486" s="92"/>
      <c r="F486" s="92"/>
      <c r="G486" s="75"/>
      <c r="H486" s="75"/>
      <c r="I486" s="75"/>
      <c r="J486" s="75"/>
      <c r="K486" s="27"/>
      <c r="L486" s="96"/>
      <c r="M486" s="27"/>
      <c r="N486" s="96"/>
      <c r="O486" s="75"/>
      <c r="P486" s="75"/>
      <c r="Q486" s="75"/>
      <c r="R486" s="75"/>
      <c r="S486" s="75"/>
      <c r="T486" s="75"/>
    </row>
    <row r="487" spans="1:20">
      <c r="A487" s="63"/>
      <c r="B487" s="75"/>
      <c r="C487" s="63"/>
      <c r="D487" s="75"/>
      <c r="E487" s="92"/>
      <c r="F487" s="92"/>
      <c r="G487" s="75"/>
      <c r="H487" s="75"/>
      <c r="I487" s="75"/>
      <c r="J487" s="75"/>
      <c r="K487" s="27"/>
      <c r="L487" s="96"/>
      <c r="M487" s="27"/>
      <c r="N487" s="96"/>
      <c r="O487" s="75"/>
      <c r="P487" s="75"/>
      <c r="Q487" s="75"/>
      <c r="R487" s="75"/>
      <c r="S487" s="75"/>
      <c r="T487" s="75"/>
    </row>
    <row r="488" spans="1:20">
      <c r="A488" s="63"/>
      <c r="B488" s="75"/>
      <c r="C488" s="63"/>
      <c r="D488" s="75"/>
      <c r="E488" s="92"/>
      <c r="F488" s="92"/>
      <c r="G488" s="75"/>
      <c r="H488" s="75"/>
      <c r="I488" s="75"/>
      <c r="J488" s="75"/>
      <c r="K488" s="27"/>
      <c r="L488" s="96"/>
      <c r="M488" s="27"/>
      <c r="N488" s="96"/>
      <c r="O488" s="75"/>
      <c r="P488" s="75"/>
      <c r="Q488" s="75"/>
      <c r="R488" s="75"/>
      <c r="S488" s="75"/>
      <c r="T488" s="75"/>
    </row>
    <row r="489" spans="1:20">
      <c r="A489" s="63"/>
      <c r="B489" s="75"/>
      <c r="C489" s="63"/>
      <c r="D489" s="75"/>
      <c r="E489" s="92"/>
      <c r="F489" s="92"/>
      <c r="G489" s="75"/>
      <c r="H489" s="75"/>
      <c r="I489" s="75"/>
      <c r="J489" s="75"/>
      <c r="K489" s="27"/>
      <c r="L489" s="96"/>
      <c r="M489" s="27"/>
      <c r="N489" s="96"/>
      <c r="O489" s="75"/>
      <c r="P489" s="75"/>
      <c r="Q489" s="75"/>
      <c r="R489" s="75"/>
      <c r="S489" s="75"/>
      <c r="T489" s="75"/>
    </row>
    <row r="490" spans="1:20">
      <c r="A490" s="63"/>
      <c r="B490" s="75"/>
      <c r="C490" s="63"/>
      <c r="D490" s="75"/>
      <c r="E490" s="92"/>
      <c r="F490" s="92"/>
      <c r="G490" s="75"/>
      <c r="H490" s="75"/>
      <c r="I490" s="75"/>
      <c r="J490" s="75"/>
      <c r="K490" s="27"/>
      <c r="L490" s="96"/>
      <c r="M490" s="27"/>
      <c r="N490" s="96"/>
      <c r="O490" s="75"/>
      <c r="P490" s="75"/>
      <c r="Q490" s="75"/>
      <c r="R490" s="75"/>
      <c r="S490" s="75"/>
      <c r="T490" s="75"/>
    </row>
    <row r="491" spans="1:20">
      <c r="A491" s="63"/>
      <c r="B491" s="75"/>
      <c r="C491" s="63"/>
      <c r="D491" s="75"/>
      <c r="E491" s="92"/>
      <c r="F491" s="92"/>
      <c r="G491" s="75"/>
      <c r="H491" s="75"/>
      <c r="I491" s="75"/>
      <c r="J491" s="75"/>
      <c r="K491" s="27"/>
      <c r="L491" s="96"/>
      <c r="M491" s="27"/>
      <c r="N491" s="96"/>
      <c r="O491" s="75"/>
      <c r="P491" s="75"/>
      <c r="Q491" s="75"/>
      <c r="R491" s="75"/>
      <c r="S491" s="75"/>
      <c r="T491" s="75"/>
    </row>
    <row r="492" spans="1:20">
      <c r="A492" s="63"/>
      <c r="B492" s="75"/>
      <c r="C492" s="63"/>
      <c r="D492" s="75"/>
      <c r="E492" s="92"/>
      <c r="F492" s="92"/>
      <c r="G492" s="75"/>
      <c r="H492" s="75"/>
      <c r="I492" s="75"/>
      <c r="J492" s="75"/>
      <c r="K492" s="27"/>
      <c r="L492" s="96"/>
      <c r="M492" s="27"/>
      <c r="N492" s="96"/>
      <c r="O492" s="75"/>
      <c r="P492" s="75"/>
      <c r="Q492" s="75"/>
      <c r="R492" s="75"/>
      <c r="S492" s="75"/>
      <c r="T492" s="75"/>
    </row>
    <row r="493" spans="1:20">
      <c r="A493" s="63"/>
      <c r="B493" s="75"/>
      <c r="C493" s="63"/>
      <c r="D493" s="75"/>
      <c r="E493" s="92"/>
      <c r="F493" s="92"/>
      <c r="G493" s="75"/>
      <c r="H493" s="75"/>
      <c r="I493" s="75"/>
      <c r="J493" s="75"/>
      <c r="K493" s="27"/>
      <c r="L493" s="96"/>
      <c r="M493" s="27"/>
      <c r="N493" s="96"/>
      <c r="O493" s="75"/>
      <c r="P493" s="75"/>
      <c r="Q493" s="75"/>
      <c r="R493" s="75"/>
      <c r="S493" s="75"/>
      <c r="T493" s="75"/>
    </row>
    <row r="494" spans="1:20">
      <c r="A494" s="63"/>
      <c r="B494" s="75"/>
      <c r="C494" s="63"/>
      <c r="D494" s="75"/>
      <c r="E494" s="92"/>
      <c r="F494" s="92"/>
      <c r="G494" s="75"/>
      <c r="H494" s="75"/>
      <c r="I494" s="75"/>
      <c r="J494" s="75"/>
      <c r="K494" s="27"/>
      <c r="L494" s="96"/>
      <c r="M494" s="27"/>
      <c r="N494" s="96"/>
      <c r="O494" s="75"/>
      <c r="P494" s="75"/>
      <c r="Q494" s="75"/>
      <c r="R494" s="75"/>
      <c r="S494" s="75"/>
      <c r="T494" s="75"/>
    </row>
    <row r="495" spans="1:20">
      <c r="A495" s="63"/>
      <c r="B495" s="75"/>
      <c r="C495" s="63"/>
      <c r="D495" s="75"/>
      <c r="E495" s="92"/>
      <c r="F495" s="92"/>
      <c r="G495" s="75"/>
      <c r="H495" s="75"/>
      <c r="I495" s="75"/>
      <c r="J495" s="75"/>
      <c r="K495" s="27"/>
      <c r="L495" s="96"/>
      <c r="M495" s="27"/>
      <c r="N495" s="96"/>
      <c r="O495" s="75"/>
      <c r="P495" s="75"/>
      <c r="Q495" s="75"/>
      <c r="R495" s="75"/>
      <c r="S495" s="75"/>
      <c r="T495" s="75"/>
    </row>
    <row r="496" spans="1:20">
      <c r="A496" s="63"/>
      <c r="B496" s="75"/>
      <c r="C496" s="63"/>
      <c r="D496" s="75"/>
      <c r="E496" s="92"/>
      <c r="F496" s="92"/>
      <c r="G496" s="75"/>
      <c r="H496" s="75"/>
      <c r="I496" s="75"/>
      <c r="J496" s="75"/>
      <c r="K496" s="27"/>
      <c r="L496" s="96"/>
      <c r="M496" s="27"/>
      <c r="N496" s="96"/>
      <c r="O496" s="75"/>
      <c r="P496" s="75"/>
      <c r="Q496" s="75"/>
      <c r="R496" s="75"/>
      <c r="S496" s="75"/>
      <c r="T496" s="75"/>
    </row>
    <row r="497" spans="1:20">
      <c r="A497" s="63"/>
      <c r="B497" s="75"/>
      <c r="C497" s="63"/>
      <c r="D497" s="75"/>
      <c r="E497" s="92"/>
      <c r="F497" s="92"/>
      <c r="G497" s="75"/>
      <c r="H497" s="75"/>
      <c r="I497" s="75"/>
      <c r="J497" s="75"/>
      <c r="K497" s="27"/>
      <c r="L497" s="96"/>
      <c r="M497" s="27"/>
      <c r="N497" s="96"/>
      <c r="O497" s="75"/>
      <c r="P497" s="75"/>
      <c r="Q497" s="75"/>
      <c r="R497" s="75"/>
      <c r="S497" s="75"/>
      <c r="T497" s="75"/>
    </row>
    <row r="498" spans="1:20">
      <c r="A498" s="63"/>
      <c r="B498" s="75"/>
      <c r="C498" s="63"/>
      <c r="D498" s="75"/>
      <c r="E498" s="92"/>
      <c r="F498" s="92"/>
      <c r="G498" s="75"/>
      <c r="H498" s="75"/>
      <c r="I498" s="75"/>
      <c r="J498" s="75"/>
      <c r="K498" s="27"/>
      <c r="L498" s="96"/>
      <c r="M498" s="27"/>
      <c r="N498" s="96"/>
      <c r="O498" s="75"/>
      <c r="P498" s="75"/>
      <c r="Q498" s="75"/>
      <c r="R498" s="75"/>
      <c r="S498" s="75"/>
      <c r="T498" s="75"/>
    </row>
    <row r="499" spans="1:20">
      <c r="A499" s="63"/>
      <c r="B499" s="75"/>
      <c r="C499" s="63"/>
      <c r="D499" s="75"/>
      <c r="E499" s="92"/>
      <c r="F499" s="92"/>
      <c r="G499" s="75"/>
      <c r="H499" s="75"/>
      <c r="I499" s="75"/>
      <c r="J499" s="75"/>
      <c r="K499" s="27"/>
      <c r="L499" s="96"/>
      <c r="M499" s="27"/>
      <c r="N499" s="96"/>
      <c r="O499" s="75"/>
      <c r="P499" s="75"/>
      <c r="Q499" s="75"/>
      <c r="R499" s="75"/>
      <c r="S499" s="75"/>
      <c r="T499" s="75"/>
    </row>
    <row r="500" spans="1:20">
      <c r="A500" s="63"/>
      <c r="B500" s="75"/>
      <c r="C500" s="63"/>
      <c r="D500" s="75"/>
      <c r="E500" s="92"/>
      <c r="F500" s="92"/>
      <c r="G500" s="75"/>
      <c r="H500" s="75"/>
      <c r="I500" s="75"/>
      <c r="J500" s="75"/>
      <c r="K500" s="27"/>
      <c r="L500" s="96"/>
      <c r="M500" s="27"/>
      <c r="N500" s="96"/>
      <c r="O500" s="75"/>
      <c r="P500" s="75"/>
      <c r="Q500" s="75"/>
      <c r="R500" s="75"/>
      <c r="S500" s="75"/>
      <c r="T500" s="75"/>
    </row>
    <row r="501" spans="1:20">
      <c r="A501" s="63"/>
      <c r="B501" s="75"/>
      <c r="C501" s="63"/>
      <c r="D501" s="75"/>
      <c r="E501" s="92"/>
      <c r="F501" s="92"/>
      <c r="G501" s="75"/>
      <c r="H501" s="75"/>
      <c r="I501" s="75"/>
      <c r="J501" s="75"/>
      <c r="K501" s="27"/>
      <c r="L501" s="96"/>
      <c r="M501" s="27"/>
      <c r="N501" s="96"/>
      <c r="O501" s="75"/>
      <c r="P501" s="75"/>
      <c r="Q501" s="75"/>
      <c r="R501" s="75"/>
      <c r="S501" s="75"/>
      <c r="T501" s="75"/>
    </row>
    <row r="502" spans="1:20">
      <c r="A502" s="63"/>
      <c r="B502" s="75"/>
      <c r="C502" s="63"/>
      <c r="D502" s="75"/>
      <c r="E502" s="92"/>
      <c r="F502" s="92"/>
      <c r="G502" s="75"/>
      <c r="H502" s="75"/>
      <c r="I502" s="75"/>
      <c r="J502" s="75"/>
      <c r="K502" s="27"/>
      <c r="L502" s="96"/>
      <c r="M502" s="27"/>
      <c r="N502" s="96"/>
      <c r="O502" s="75"/>
      <c r="P502" s="75"/>
      <c r="Q502" s="75"/>
      <c r="R502" s="75"/>
      <c r="S502" s="75"/>
      <c r="T502" s="75"/>
    </row>
    <row r="503" spans="1:20">
      <c r="A503" s="63"/>
      <c r="B503" s="75"/>
      <c r="C503" s="63"/>
      <c r="D503" s="75"/>
      <c r="E503" s="92"/>
      <c r="F503" s="92"/>
      <c r="G503" s="75"/>
      <c r="H503" s="75"/>
      <c r="I503" s="75"/>
      <c r="J503" s="75"/>
      <c r="K503" s="27"/>
      <c r="L503" s="96"/>
      <c r="M503" s="27"/>
      <c r="N503" s="96"/>
      <c r="O503" s="75"/>
      <c r="P503" s="75"/>
      <c r="Q503" s="75"/>
      <c r="R503" s="75"/>
      <c r="S503" s="75"/>
      <c r="T503" s="75"/>
    </row>
    <row r="504" spans="1:20">
      <c r="A504" s="63"/>
      <c r="B504" s="75"/>
      <c r="C504" s="63"/>
      <c r="D504" s="75"/>
      <c r="E504" s="92"/>
      <c r="F504" s="92"/>
      <c r="G504" s="75"/>
      <c r="H504" s="75"/>
      <c r="I504" s="75"/>
      <c r="J504" s="75"/>
      <c r="K504" s="27"/>
      <c r="L504" s="96"/>
      <c r="M504" s="27"/>
      <c r="N504" s="96"/>
      <c r="O504" s="75"/>
      <c r="P504" s="75"/>
      <c r="Q504" s="75"/>
      <c r="R504" s="75"/>
      <c r="S504" s="75"/>
      <c r="T504" s="75"/>
    </row>
    <row r="505" spans="1:20">
      <c r="A505" s="63"/>
      <c r="B505" s="75"/>
      <c r="C505" s="63"/>
      <c r="D505" s="75"/>
      <c r="E505" s="92"/>
      <c r="F505" s="92"/>
      <c r="G505" s="75"/>
      <c r="H505" s="75"/>
      <c r="I505" s="75"/>
      <c r="J505" s="75"/>
      <c r="K505" s="27"/>
      <c r="L505" s="96"/>
      <c r="M505" s="27"/>
      <c r="N505" s="96"/>
      <c r="O505" s="75"/>
      <c r="P505" s="75"/>
      <c r="Q505" s="75"/>
      <c r="R505" s="75"/>
      <c r="S505" s="75"/>
      <c r="T505" s="75"/>
    </row>
    <row r="506" spans="1:20">
      <c r="A506" s="63"/>
      <c r="B506" s="75"/>
      <c r="C506" s="63"/>
      <c r="D506" s="75"/>
      <c r="E506" s="92"/>
      <c r="F506" s="92"/>
      <c r="G506" s="75"/>
      <c r="H506" s="75"/>
      <c r="I506" s="75"/>
      <c r="J506" s="75"/>
      <c r="K506" s="27"/>
      <c r="L506" s="96"/>
      <c r="M506" s="27"/>
      <c r="N506" s="96"/>
      <c r="O506" s="75"/>
      <c r="P506" s="75"/>
      <c r="Q506" s="75"/>
      <c r="R506" s="75"/>
      <c r="S506" s="75"/>
      <c r="T506" s="75"/>
    </row>
    <row r="507" spans="1:20">
      <c r="A507" s="63"/>
      <c r="B507" s="75"/>
      <c r="C507" s="63"/>
      <c r="D507" s="75"/>
      <c r="E507" s="92"/>
      <c r="F507" s="92"/>
      <c r="G507" s="75"/>
      <c r="H507" s="75"/>
      <c r="I507" s="75"/>
      <c r="J507" s="75"/>
      <c r="K507" s="27"/>
      <c r="L507" s="96"/>
      <c r="M507" s="27"/>
      <c r="N507" s="96"/>
      <c r="O507" s="75"/>
      <c r="P507" s="75"/>
      <c r="Q507" s="75"/>
      <c r="R507" s="75"/>
      <c r="S507" s="75"/>
      <c r="T507" s="75"/>
    </row>
    <row r="508" spans="1:20">
      <c r="A508" s="63"/>
      <c r="B508" s="75"/>
      <c r="C508" s="63"/>
      <c r="D508" s="75"/>
      <c r="E508" s="92"/>
      <c r="F508" s="92"/>
      <c r="G508" s="75"/>
      <c r="H508" s="75"/>
      <c r="I508" s="75"/>
      <c r="J508" s="75"/>
      <c r="K508" s="27"/>
      <c r="L508" s="96"/>
      <c r="M508" s="27"/>
      <c r="N508" s="96"/>
      <c r="O508" s="75"/>
      <c r="P508" s="75"/>
      <c r="Q508" s="75"/>
      <c r="R508" s="75"/>
      <c r="S508" s="75"/>
      <c r="T508" s="75"/>
    </row>
    <row r="509" spans="1:20">
      <c r="A509" s="63"/>
      <c r="B509" s="75"/>
      <c r="C509" s="63"/>
      <c r="D509" s="75"/>
      <c r="E509" s="92"/>
      <c r="F509" s="92"/>
      <c r="G509" s="75"/>
      <c r="H509" s="75"/>
      <c r="I509" s="75"/>
      <c r="J509" s="75"/>
      <c r="K509" s="27"/>
      <c r="L509" s="96"/>
      <c r="M509" s="27"/>
      <c r="N509" s="96"/>
      <c r="O509" s="75"/>
      <c r="P509" s="75"/>
      <c r="Q509" s="75"/>
      <c r="R509" s="75"/>
      <c r="S509" s="75"/>
      <c r="T509" s="75"/>
    </row>
    <row r="510" spans="1:20">
      <c r="A510" s="63"/>
      <c r="B510" s="75"/>
      <c r="C510" s="63"/>
      <c r="D510" s="75"/>
      <c r="E510" s="92"/>
      <c r="F510" s="92"/>
      <c r="G510" s="75"/>
      <c r="H510" s="75"/>
      <c r="I510" s="75"/>
      <c r="J510" s="75"/>
      <c r="K510" s="27"/>
      <c r="L510" s="96"/>
      <c r="M510" s="27"/>
      <c r="N510" s="96"/>
      <c r="O510" s="75"/>
      <c r="P510" s="75"/>
      <c r="Q510" s="75"/>
      <c r="R510" s="75"/>
      <c r="S510" s="75"/>
      <c r="T510" s="75"/>
    </row>
    <row r="511" spans="1:20">
      <c r="A511" s="63"/>
      <c r="B511" s="75"/>
      <c r="C511" s="63"/>
      <c r="D511" s="75"/>
      <c r="E511" s="92"/>
      <c r="F511" s="92"/>
      <c r="G511" s="75"/>
      <c r="H511" s="75"/>
      <c r="I511" s="75"/>
      <c r="J511" s="75"/>
      <c r="K511" s="27"/>
      <c r="L511" s="96"/>
      <c r="M511" s="27"/>
      <c r="N511" s="96"/>
      <c r="O511" s="75"/>
      <c r="P511" s="75"/>
      <c r="Q511" s="75"/>
      <c r="R511" s="75"/>
      <c r="S511" s="75"/>
      <c r="T511" s="75"/>
    </row>
    <row r="512" spans="1:20">
      <c r="A512" s="63"/>
      <c r="B512" s="75"/>
      <c r="C512" s="63"/>
      <c r="D512" s="75"/>
      <c r="E512" s="92"/>
      <c r="F512" s="92"/>
      <c r="G512" s="75"/>
      <c r="H512" s="75"/>
      <c r="I512" s="75"/>
      <c r="J512" s="75"/>
      <c r="K512" s="27"/>
      <c r="L512" s="96"/>
      <c r="M512" s="27"/>
      <c r="N512" s="96"/>
      <c r="O512" s="75"/>
      <c r="P512" s="75"/>
      <c r="Q512" s="75"/>
      <c r="R512" s="75"/>
      <c r="S512" s="75"/>
      <c r="T512" s="75"/>
    </row>
    <row r="513" spans="1:20">
      <c r="A513" s="63"/>
      <c r="B513" s="75"/>
      <c r="C513" s="63"/>
      <c r="D513" s="75"/>
      <c r="E513" s="92"/>
      <c r="F513" s="92"/>
      <c r="G513" s="75"/>
      <c r="H513" s="75"/>
      <c r="I513" s="75"/>
      <c r="J513" s="75"/>
      <c r="K513" s="27"/>
      <c r="L513" s="96"/>
      <c r="M513" s="27"/>
      <c r="N513" s="96"/>
      <c r="O513" s="75"/>
      <c r="P513" s="75"/>
      <c r="Q513" s="75"/>
      <c r="R513" s="75"/>
      <c r="S513" s="75"/>
      <c r="T513" s="75"/>
    </row>
    <row r="514" spans="1:20">
      <c r="A514" s="63"/>
      <c r="B514" s="75"/>
      <c r="C514" s="63"/>
      <c r="D514" s="75"/>
      <c r="E514" s="92"/>
      <c r="F514" s="92"/>
      <c r="G514" s="75"/>
      <c r="H514" s="75"/>
      <c r="I514" s="75"/>
      <c r="J514" s="75"/>
      <c r="K514" s="27"/>
      <c r="L514" s="96"/>
      <c r="M514" s="27"/>
      <c r="N514" s="96"/>
      <c r="O514" s="75"/>
      <c r="P514" s="75"/>
      <c r="Q514" s="75"/>
      <c r="R514" s="75"/>
      <c r="S514" s="75"/>
      <c r="T514" s="75"/>
    </row>
    <row r="515" spans="1:20">
      <c r="A515" s="63"/>
      <c r="B515" s="75"/>
      <c r="C515" s="63"/>
      <c r="D515" s="75"/>
      <c r="E515" s="92"/>
      <c r="F515" s="92"/>
      <c r="G515" s="75"/>
      <c r="H515" s="75"/>
      <c r="I515" s="75"/>
      <c r="J515" s="75"/>
      <c r="K515" s="27"/>
      <c r="L515" s="96"/>
      <c r="M515" s="27"/>
      <c r="N515" s="96"/>
      <c r="O515" s="75"/>
      <c r="P515" s="75"/>
      <c r="Q515" s="75"/>
      <c r="R515" s="75"/>
      <c r="S515" s="75"/>
      <c r="T515" s="75"/>
    </row>
    <row r="516" spans="1:20">
      <c r="A516" s="63"/>
      <c r="B516" s="75"/>
      <c r="C516" s="63"/>
      <c r="D516" s="75"/>
      <c r="E516" s="92"/>
      <c r="F516" s="92"/>
      <c r="G516" s="75"/>
      <c r="H516" s="75"/>
      <c r="I516" s="75"/>
      <c r="J516" s="75"/>
      <c r="K516" s="27"/>
      <c r="L516" s="96"/>
      <c r="M516" s="27"/>
      <c r="N516" s="96"/>
      <c r="O516" s="75"/>
      <c r="P516" s="75"/>
      <c r="Q516" s="75"/>
      <c r="R516" s="75"/>
      <c r="S516" s="75"/>
      <c r="T516" s="75"/>
    </row>
    <row r="517" spans="1:20">
      <c r="A517" s="63"/>
      <c r="B517" s="75"/>
      <c r="C517" s="63"/>
      <c r="D517" s="75"/>
      <c r="E517" s="92"/>
      <c r="F517" s="92"/>
      <c r="G517" s="75"/>
      <c r="H517" s="75"/>
      <c r="I517" s="75"/>
      <c r="J517" s="75"/>
      <c r="K517" s="27"/>
      <c r="L517" s="96"/>
      <c r="M517" s="27"/>
      <c r="N517" s="96"/>
      <c r="O517" s="75"/>
      <c r="P517" s="75"/>
      <c r="Q517" s="75"/>
      <c r="R517" s="75"/>
      <c r="S517" s="75"/>
      <c r="T517" s="75"/>
    </row>
    <row r="518" spans="1:20">
      <c r="A518" s="63"/>
      <c r="B518" s="75"/>
      <c r="C518" s="63"/>
      <c r="D518" s="75"/>
      <c r="E518" s="92"/>
      <c r="F518" s="92"/>
      <c r="G518" s="75"/>
      <c r="H518" s="75"/>
      <c r="I518" s="75"/>
      <c r="J518" s="75"/>
      <c r="K518" s="27"/>
      <c r="L518" s="96"/>
      <c r="M518" s="27"/>
      <c r="N518" s="96"/>
      <c r="O518" s="75"/>
      <c r="P518" s="75"/>
      <c r="Q518" s="75"/>
      <c r="R518" s="75"/>
      <c r="S518" s="75"/>
      <c r="T518" s="75"/>
    </row>
    <row r="519" spans="1:20">
      <c r="A519" s="63"/>
      <c r="B519" s="75"/>
      <c r="C519" s="63"/>
      <c r="D519" s="75"/>
      <c r="E519" s="92"/>
      <c r="F519" s="92"/>
      <c r="G519" s="75"/>
      <c r="H519" s="75"/>
      <c r="I519" s="75"/>
      <c r="J519" s="75"/>
      <c r="K519" s="27"/>
      <c r="L519" s="96"/>
      <c r="M519" s="27"/>
      <c r="N519" s="96"/>
      <c r="O519" s="75"/>
      <c r="P519" s="75"/>
      <c r="Q519" s="75"/>
      <c r="R519" s="75"/>
      <c r="S519" s="75"/>
      <c r="T519" s="75"/>
    </row>
    <row r="520" spans="1:20">
      <c r="A520" s="63"/>
      <c r="B520" s="75"/>
      <c r="C520" s="63"/>
      <c r="D520" s="75"/>
      <c r="E520" s="92"/>
      <c r="F520" s="92"/>
      <c r="G520" s="75"/>
      <c r="H520" s="75"/>
      <c r="I520" s="75"/>
      <c r="J520" s="75"/>
      <c r="K520" s="27"/>
      <c r="L520" s="96"/>
      <c r="M520" s="27"/>
      <c r="N520" s="96"/>
      <c r="O520" s="75"/>
      <c r="P520" s="75"/>
      <c r="Q520" s="75"/>
      <c r="R520" s="75"/>
      <c r="S520" s="75"/>
      <c r="T520" s="75"/>
    </row>
    <row r="521" spans="1:20">
      <c r="A521" s="63"/>
      <c r="B521" s="75"/>
      <c r="C521" s="63"/>
      <c r="D521" s="75"/>
      <c r="E521" s="92"/>
      <c r="F521" s="92"/>
      <c r="G521" s="75"/>
      <c r="H521" s="75"/>
      <c r="I521" s="75"/>
      <c r="J521" s="75"/>
      <c r="K521" s="27"/>
      <c r="L521" s="96"/>
      <c r="M521" s="27"/>
      <c r="N521" s="96"/>
      <c r="O521" s="75"/>
      <c r="P521" s="75"/>
      <c r="Q521" s="75"/>
      <c r="R521" s="75"/>
      <c r="S521" s="75"/>
      <c r="T521" s="75"/>
    </row>
    <row r="522" spans="1:20">
      <c r="A522" s="63"/>
      <c r="B522" s="75"/>
      <c r="C522" s="63"/>
      <c r="D522" s="75"/>
      <c r="E522" s="92"/>
      <c r="F522" s="92"/>
      <c r="G522" s="75"/>
      <c r="H522" s="75"/>
      <c r="I522" s="75"/>
      <c r="J522" s="75"/>
      <c r="K522" s="27"/>
      <c r="L522" s="96"/>
      <c r="M522" s="27"/>
      <c r="N522" s="96"/>
      <c r="O522" s="75"/>
      <c r="P522" s="75"/>
      <c r="Q522" s="75"/>
      <c r="R522" s="75"/>
      <c r="S522" s="75"/>
      <c r="T522" s="75"/>
    </row>
    <row r="523" spans="1:20">
      <c r="A523" s="63"/>
      <c r="B523" s="75"/>
      <c r="C523" s="63"/>
      <c r="D523" s="75"/>
      <c r="E523" s="92"/>
      <c r="F523" s="92"/>
      <c r="G523" s="75"/>
      <c r="H523" s="75"/>
      <c r="I523" s="75"/>
      <c r="J523" s="75"/>
      <c r="K523" s="27"/>
      <c r="L523" s="96"/>
      <c r="M523" s="27"/>
      <c r="N523" s="96"/>
      <c r="O523" s="75"/>
      <c r="P523" s="75"/>
      <c r="Q523" s="75"/>
      <c r="R523" s="75"/>
      <c r="S523" s="75"/>
      <c r="T523" s="75"/>
    </row>
    <row r="524" spans="1:20">
      <c r="A524" s="63"/>
      <c r="B524" s="75"/>
      <c r="C524" s="63"/>
      <c r="D524" s="75"/>
      <c r="E524" s="92"/>
      <c r="F524" s="92"/>
      <c r="G524" s="75"/>
      <c r="H524" s="75"/>
      <c r="I524" s="75"/>
      <c r="J524" s="75"/>
      <c r="K524" s="27"/>
      <c r="L524" s="96"/>
      <c r="M524" s="27"/>
      <c r="N524" s="96"/>
      <c r="O524" s="75"/>
      <c r="P524" s="75"/>
      <c r="Q524" s="75"/>
      <c r="R524" s="75"/>
      <c r="S524" s="75"/>
      <c r="T524" s="75"/>
    </row>
    <row r="525" spans="1:20">
      <c r="A525" s="63"/>
      <c r="B525" s="75"/>
      <c r="C525" s="63"/>
      <c r="D525" s="75"/>
      <c r="E525" s="92"/>
      <c r="F525" s="92"/>
      <c r="G525" s="75"/>
      <c r="H525" s="75"/>
      <c r="I525" s="75"/>
      <c r="J525" s="75"/>
      <c r="K525" s="27"/>
      <c r="L525" s="96"/>
      <c r="M525" s="27"/>
      <c r="N525" s="96"/>
      <c r="O525" s="75"/>
      <c r="P525" s="75"/>
      <c r="Q525" s="75"/>
      <c r="R525" s="75"/>
      <c r="S525" s="75"/>
      <c r="T525" s="75"/>
    </row>
    <row r="526" spans="1:20">
      <c r="A526" s="63"/>
      <c r="B526" s="75"/>
      <c r="C526" s="63"/>
      <c r="D526" s="75"/>
      <c r="E526" s="92"/>
      <c r="F526" s="92"/>
      <c r="G526" s="75"/>
      <c r="H526" s="75"/>
      <c r="I526" s="75"/>
      <c r="J526" s="75"/>
      <c r="K526" s="27"/>
      <c r="L526" s="96"/>
      <c r="M526" s="27"/>
      <c r="N526" s="96"/>
      <c r="O526" s="75"/>
      <c r="P526" s="75"/>
      <c r="Q526" s="75"/>
      <c r="R526" s="75"/>
      <c r="S526" s="75"/>
      <c r="T526" s="75"/>
    </row>
    <row r="527" spans="1:20">
      <c r="A527" s="63"/>
      <c r="B527" s="75"/>
      <c r="C527" s="63"/>
      <c r="D527" s="75"/>
      <c r="E527" s="92"/>
      <c r="F527" s="92"/>
      <c r="G527" s="75"/>
      <c r="H527" s="75"/>
      <c r="I527" s="75"/>
      <c r="J527" s="75"/>
      <c r="K527" s="27"/>
      <c r="L527" s="96"/>
      <c r="M527" s="27"/>
      <c r="N527" s="96"/>
      <c r="O527" s="75"/>
      <c r="P527" s="75"/>
      <c r="Q527" s="75"/>
      <c r="R527" s="75"/>
      <c r="S527" s="75"/>
      <c r="T527" s="75"/>
    </row>
    <row r="528" spans="1:20">
      <c r="A528" s="63"/>
      <c r="B528" s="75"/>
      <c r="C528" s="63"/>
      <c r="D528" s="75"/>
      <c r="E528" s="92"/>
      <c r="F528" s="92"/>
      <c r="G528" s="75"/>
      <c r="H528" s="75"/>
      <c r="I528" s="75"/>
      <c r="J528" s="75"/>
      <c r="K528" s="27"/>
      <c r="L528" s="96"/>
      <c r="M528" s="27"/>
      <c r="N528" s="96"/>
      <c r="O528" s="75"/>
      <c r="P528" s="75"/>
      <c r="Q528" s="75"/>
      <c r="R528" s="75"/>
      <c r="S528" s="75"/>
      <c r="T528" s="75"/>
    </row>
    <row r="529" spans="1:20">
      <c r="A529" s="63"/>
      <c r="B529" s="75"/>
      <c r="C529" s="63"/>
      <c r="D529" s="75"/>
      <c r="E529" s="92"/>
      <c r="F529" s="92"/>
      <c r="G529" s="75"/>
      <c r="H529" s="75"/>
      <c r="I529" s="75"/>
      <c r="J529" s="75"/>
      <c r="K529" s="27"/>
      <c r="L529" s="96"/>
      <c r="M529" s="27"/>
      <c r="N529" s="96"/>
      <c r="O529" s="75"/>
      <c r="P529" s="75"/>
      <c r="Q529" s="75"/>
      <c r="R529" s="75"/>
      <c r="S529" s="75"/>
      <c r="T529" s="75"/>
    </row>
    <row r="530" spans="1:20">
      <c r="A530" s="63"/>
      <c r="B530" s="75"/>
      <c r="C530" s="63"/>
      <c r="D530" s="75"/>
      <c r="E530" s="92"/>
      <c r="F530" s="92"/>
      <c r="G530" s="75"/>
      <c r="H530" s="75"/>
      <c r="I530" s="75"/>
      <c r="J530" s="75"/>
      <c r="K530" s="27"/>
      <c r="L530" s="96"/>
      <c r="M530" s="27"/>
      <c r="N530" s="96"/>
      <c r="O530" s="75"/>
      <c r="P530" s="75"/>
      <c r="Q530" s="75"/>
      <c r="R530" s="75"/>
      <c r="S530" s="75"/>
      <c r="T530" s="75"/>
    </row>
    <row r="531" spans="1:20">
      <c r="A531" s="63"/>
      <c r="B531" s="75"/>
      <c r="C531" s="63"/>
      <c r="D531" s="75"/>
      <c r="E531" s="92"/>
      <c r="F531" s="92"/>
      <c r="G531" s="75"/>
      <c r="H531" s="75"/>
      <c r="I531" s="75"/>
      <c r="J531" s="75"/>
      <c r="K531" s="27"/>
      <c r="L531" s="96"/>
      <c r="M531" s="27"/>
      <c r="N531" s="96"/>
      <c r="O531" s="75"/>
      <c r="P531" s="75"/>
      <c r="Q531" s="75"/>
      <c r="R531" s="75"/>
      <c r="S531" s="75"/>
      <c r="T531" s="75"/>
    </row>
    <row r="532" spans="1:20">
      <c r="A532" s="63"/>
      <c r="B532" s="75"/>
      <c r="C532" s="63"/>
      <c r="D532" s="75"/>
      <c r="E532" s="92"/>
      <c r="F532" s="92"/>
      <c r="G532" s="75"/>
      <c r="H532" s="75"/>
      <c r="I532" s="75"/>
      <c r="J532" s="75"/>
      <c r="K532" s="27"/>
      <c r="L532" s="96"/>
      <c r="M532" s="27"/>
      <c r="N532" s="96"/>
      <c r="O532" s="75"/>
      <c r="P532" s="75"/>
      <c r="Q532" s="75"/>
      <c r="R532" s="75"/>
      <c r="S532" s="75"/>
      <c r="T532" s="75"/>
    </row>
    <row r="533" spans="1:20">
      <c r="A533" s="63"/>
      <c r="B533" s="75"/>
      <c r="C533" s="63"/>
      <c r="D533" s="75"/>
      <c r="E533" s="92"/>
      <c r="F533" s="92"/>
      <c r="G533" s="75"/>
      <c r="H533" s="75"/>
      <c r="I533" s="75"/>
      <c r="J533" s="75"/>
      <c r="K533" s="27"/>
      <c r="L533" s="96"/>
      <c r="M533" s="27"/>
      <c r="N533" s="96"/>
      <c r="O533" s="75"/>
      <c r="P533" s="75"/>
      <c r="Q533" s="75"/>
      <c r="R533" s="75"/>
      <c r="S533" s="75"/>
      <c r="T533" s="75"/>
    </row>
    <row r="534" spans="1:20">
      <c r="A534" s="63"/>
      <c r="B534" s="75"/>
      <c r="C534" s="63"/>
      <c r="D534" s="75"/>
      <c r="E534" s="92"/>
      <c r="F534" s="92"/>
      <c r="G534" s="75"/>
      <c r="H534" s="75"/>
      <c r="I534" s="75"/>
      <c r="J534" s="75"/>
      <c r="K534" s="27"/>
      <c r="L534" s="96"/>
      <c r="M534" s="27"/>
      <c r="N534" s="96"/>
      <c r="O534" s="75"/>
      <c r="P534" s="75"/>
      <c r="Q534" s="75"/>
      <c r="R534" s="75"/>
      <c r="S534" s="75"/>
      <c r="T534" s="75"/>
    </row>
    <row r="535" spans="1:20">
      <c r="A535" s="63"/>
      <c r="B535" s="75"/>
      <c r="C535" s="63"/>
      <c r="D535" s="75"/>
      <c r="E535" s="92"/>
      <c r="F535" s="92"/>
      <c r="G535" s="75"/>
      <c r="H535" s="75"/>
      <c r="I535" s="75"/>
      <c r="J535" s="75"/>
      <c r="K535" s="27"/>
      <c r="L535" s="96"/>
      <c r="M535" s="27"/>
      <c r="N535" s="96"/>
      <c r="O535" s="75"/>
      <c r="P535" s="75"/>
      <c r="Q535" s="75"/>
      <c r="R535" s="75"/>
      <c r="S535" s="75"/>
      <c r="T535" s="75"/>
    </row>
    <row r="536" spans="1:20">
      <c r="A536" s="63"/>
      <c r="B536" s="75"/>
      <c r="C536" s="63"/>
      <c r="D536" s="75"/>
      <c r="E536" s="92"/>
      <c r="F536" s="92"/>
      <c r="G536" s="75"/>
      <c r="H536" s="75"/>
      <c r="I536" s="75"/>
      <c r="J536" s="75"/>
      <c r="K536" s="27"/>
      <c r="L536" s="96"/>
      <c r="M536" s="27"/>
      <c r="N536" s="96"/>
      <c r="O536" s="75"/>
      <c r="P536" s="75"/>
      <c r="Q536" s="75"/>
      <c r="R536" s="75"/>
      <c r="S536" s="75"/>
      <c r="T536" s="75"/>
    </row>
    <row r="537" spans="1:20">
      <c r="A537" s="63"/>
      <c r="B537" s="75"/>
      <c r="C537" s="63"/>
      <c r="D537" s="75"/>
      <c r="E537" s="92"/>
      <c r="F537" s="92"/>
      <c r="G537" s="75"/>
      <c r="H537" s="75"/>
      <c r="I537" s="75"/>
      <c r="J537" s="75"/>
      <c r="K537" s="27"/>
      <c r="L537" s="96"/>
      <c r="M537" s="27"/>
      <c r="N537" s="96"/>
      <c r="O537" s="75"/>
      <c r="P537" s="75"/>
      <c r="Q537" s="75"/>
      <c r="R537" s="75"/>
      <c r="S537" s="75"/>
      <c r="T537" s="75"/>
    </row>
    <row r="538" spans="1:20">
      <c r="A538" s="63"/>
      <c r="B538" s="75"/>
      <c r="C538" s="63"/>
      <c r="D538" s="75"/>
      <c r="E538" s="92"/>
      <c r="F538" s="92"/>
      <c r="G538" s="75"/>
      <c r="H538" s="75"/>
      <c r="I538" s="75"/>
      <c r="J538" s="75"/>
      <c r="K538" s="27"/>
      <c r="L538" s="96"/>
      <c r="M538" s="27"/>
      <c r="N538" s="96"/>
      <c r="O538" s="75"/>
      <c r="P538" s="75"/>
      <c r="Q538" s="75"/>
      <c r="R538" s="75"/>
      <c r="S538" s="75"/>
      <c r="T538" s="75"/>
    </row>
    <row r="539" spans="1:20">
      <c r="A539" s="63"/>
      <c r="B539" s="75"/>
      <c r="C539" s="63"/>
      <c r="D539" s="75"/>
      <c r="E539" s="92"/>
      <c r="F539" s="92"/>
      <c r="G539" s="75"/>
      <c r="H539" s="75"/>
      <c r="I539" s="75"/>
      <c r="J539" s="75"/>
      <c r="K539" s="27"/>
      <c r="L539" s="96"/>
      <c r="M539" s="27"/>
      <c r="N539" s="96"/>
      <c r="O539" s="75"/>
      <c r="P539" s="75"/>
      <c r="Q539" s="75"/>
      <c r="R539" s="75"/>
      <c r="S539" s="75"/>
      <c r="T539" s="75"/>
    </row>
    <row r="540" spans="1:20">
      <c r="A540" s="63"/>
      <c r="B540" s="75"/>
      <c r="C540" s="63"/>
      <c r="D540" s="75"/>
      <c r="E540" s="92"/>
      <c r="F540" s="92"/>
      <c r="G540" s="75"/>
      <c r="H540" s="75"/>
      <c r="I540" s="75"/>
      <c r="J540" s="75"/>
      <c r="K540" s="27"/>
      <c r="L540" s="96"/>
      <c r="M540" s="27"/>
      <c r="N540" s="96"/>
      <c r="O540" s="75"/>
      <c r="P540" s="75"/>
      <c r="Q540" s="75"/>
      <c r="R540" s="75"/>
      <c r="S540" s="75"/>
      <c r="T540" s="75"/>
    </row>
    <row r="541" spans="1:20">
      <c r="A541" s="63"/>
      <c r="B541" s="75"/>
      <c r="C541" s="63"/>
      <c r="D541" s="75"/>
      <c r="E541" s="92"/>
      <c r="F541" s="92"/>
      <c r="G541" s="75"/>
      <c r="H541" s="75"/>
      <c r="I541" s="75"/>
      <c r="J541" s="75"/>
      <c r="K541" s="27"/>
      <c r="L541" s="96"/>
      <c r="M541" s="27"/>
      <c r="N541" s="96"/>
      <c r="O541" s="75"/>
      <c r="P541" s="75"/>
      <c r="Q541" s="75"/>
      <c r="R541" s="75"/>
      <c r="S541" s="75"/>
      <c r="T541" s="75"/>
    </row>
    <row r="542" spans="1:20">
      <c r="A542" s="63"/>
      <c r="B542" s="75"/>
      <c r="C542" s="63"/>
      <c r="D542" s="75"/>
      <c r="E542" s="92"/>
      <c r="F542" s="92"/>
      <c r="G542" s="75"/>
      <c r="H542" s="75"/>
      <c r="I542" s="75"/>
      <c r="J542" s="75"/>
      <c r="K542" s="27"/>
      <c r="L542" s="96"/>
      <c r="M542" s="27"/>
      <c r="N542" s="96"/>
      <c r="O542" s="75"/>
      <c r="P542" s="75"/>
      <c r="Q542" s="75"/>
      <c r="R542" s="75"/>
      <c r="S542" s="75"/>
      <c r="T542" s="75"/>
    </row>
    <row r="543" spans="1:20">
      <c r="A543" s="63"/>
      <c r="B543" s="75"/>
      <c r="C543" s="63"/>
      <c r="D543" s="75"/>
      <c r="E543" s="92"/>
      <c r="F543" s="92"/>
      <c r="G543" s="75"/>
      <c r="H543" s="75"/>
      <c r="I543" s="75"/>
      <c r="J543" s="75"/>
      <c r="K543" s="27"/>
      <c r="L543" s="96"/>
      <c r="M543" s="27"/>
      <c r="N543" s="96"/>
      <c r="O543" s="75"/>
      <c r="P543" s="75"/>
      <c r="Q543" s="75"/>
      <c r="R543" s="75"/>
      <c r="S543" s="75"/>
      <c r="T543" s="75"/>
    </row>
    <row r="544" spans="1:20">
      <c r="A544" s="63"/>
      <c r="B544" s="75"/>
      <c r="C544" s="63"/>
      <c r="D544" s="75"/>
      <c r="E544" s="92"/>
      <c r="F544" s="92"/>
      <c r="G544" s="75"/>
      <c r="H544" s="75"/>
      <c r="I544" s="75"/>
      <c r="J544" s="75"/>
      <c r="K544" s="27"/>
      <c r="L544" s="96"/>
      <c r="M544" s="27"/>
      <c r="N544" s="96"/>
      <c r="O544" s="75"/>
      <c r="P544" s="75"/>
      <c r="Q544" s="75"/>
      <c r="R544" s="75"/>
      <c r="S544" s="75"/>
      <c r="T544" s="75"/>
    </row>
    <row r="545" spans="1:20">
      <c r="A545" s="63"/>
      <c r="B545" s="75"/>
      <c r="C545" s="63"/>
      <c r="D545" s="75"/>
      <c r="E545" s="92"/>
      <c r="F545" s="92"/>
      <c r="G545" s="75"/>
      <c r="H545" s="75"/>
      <c r="I545" s="75"/>
      <c r="J545" s="75"/>
      <c r="K545" s="27"/>
      <c r="L545" s="96"/>
      <c r="M545" s="27"/>
      <c r="N545" s="96"/>
      <c r="O545" s="75"/>
      <c r="P545" s="75"/>
      <c r="Q545" s="75"/>
      <c r="R545" s="75"/>
      <c r="S545" s="75"/>
      <c r="T545" s="75"/>
    </row>
    <row r="546" spans="1:20">
      <c r="A546" s="63"/>
      <c r="B546" s="75"/>
      <c r="C546" s="63"/>
      <c r="D546" s="75"/>
      <c r="E546" s="92"/>
      <c r="F546" s="92"/>
      <c r="G546" s="75"/>
      <c r="H546" s="75"/>
      <c r="I546" s="75"/>
      <c r="J546" s="75"/>
      <c r="K546" s="27"/>
      <c r="L546" s="96"/>
      <c r="M546" s="27"/>
      <c r="N546" s="96"/>
      <c r="O546" s="75"/>
      <c r="P546" s="75"/>
      <c r="Q546" s="75"/>
      <c r="R546" s="75"/>
      <c r="S546" s="75"/>
      <c r="T546" s="75"/>
    </row>
    <row r="547" spans="1:20">
      <c r="A547" s="63"/>
      <c r="B547" s="75"/>
      <c r="C547" s="63"/>
      <c r="D547" s="75"/>
      <c r="E547" s="92"/>
      <c r="F547" s="92"/>
      <c r="G547" s="75"/>
      <c r="H547" s="75"/>
      <c r="I547" s="75"/>
      <c r="J547" s="75"/>
      <c r="K547" s="27"/>
      <c r="L547" s="96"/>
      <c r="M547" s="27"/>
      <c r="N547" s="96"/>
      <c r="O547" s="75"/>
      <c r="P547" s="75"/>
      <c r="Q547" s="75"/>
      <c r="R547" s="75"/>
      <c r="S547" s="75"/>
      <c r="T547" s="75"/>
    </row>
    <row r="548" spans="1:20">
      <c r="A548" s="63"/>
      <c r="B548" s="75"/>
      <c r="C548" s="63"/>
      <c r="D548" s="75"/>
      <c r="E548" s="92"/>
      <c r="F548" s="92"/>
      <c r="G548" s="75"/>
      <c r="H548" s="75"/>
      <c r="I548" s="75"/>
      <c r="J548" s="75"/>
      <c r="K548" s="27"/>
      <c r="L548" s="96"/>
      <c r="M548" s="27"/>
      <c r="N548" s="96"/>
      <c r="O548" s="75"/>
      <c r="P548" s="75"/>
      <c r="Q548" s="75"/>
      <c r="R548" s="75"/>
      <c r="S548" s="75"/>
      <c r="T548" s="75"/>
    </row>
    <row r="549" spans="1:20">
      <c r="A549" s="63"/>
      <c r="B549" s="75"/>
      <c r="C549" s="63"/>
      <c r="D549" s="75"/>
      <c r="E549" s="92"/>
      <c r="F549" s="92"/>
      <c r="G549" s="75"/>
      <c r="H549" s="75"/>
      <c r="I549" s="75"/>
      <c r="J549" s="75"/>
      <c r="K549" s="27"/>
      <c r="L549" s="96"/>
      <c r="M549" s="27"/>
      <c r="N549" s="96"/>
      <c r="O549" s="75"/>
      <c r="P549" s="75"/>
      <c r="Q549" s="75"/>
      <c r="R549" s="75"/>
      <c r="S549" s="75"/>
      <c r="T549" s="75"/>
    </row>
    <row r="550" spans="1:20">
      <c r="A550" s="63"/>
      <c r="B550" s="75"/>
      <c r="C550" s="63"/>
      <c r="D550" s="75"/>
      <c r="E550" s="92"/>
      <c r="F550" s="92"/>
      <c r="G550" s="75"/>
      <c r="H550" s="75"/>
      <c r="I550" s="75"/>
      <c r="J550" s="75"/>
      <c r="K550" s="27"/>
      <c r="L550" s="96"/>
      <c r="M550" s="27"/>
      <c r="N550" s="96"/>
      <c r="O550" s="75"/>
      <c r="P550" s="75"/>
      <c r="Q550" s="75"/>
      <c r="R550" s="75"/>
      <c r="S550" s="75"/>
      <c r="T550" s="75"/>
    </row>
    <row r="551" spans="1:20">
      <c r="A551" s="63"/>
      <c r="B551" s="75"/>
      <c r="C551" s="63"/>
      <c r="D551" s="75"/>
      <c r="E551" s="92"/>
      <c r="F551" s="92"/>
      <c r="G551" s="75"/>
      <c r="H551" s="75"/>
      <c r="I551" s="75"/>
      <c r="J551" s="75"/>
      <c r="K551" s="27"/>
      <c r="L551" s="96"/>
      <c r="M551" s="27"/>
      <c r="N551" s="96"/>
      <c r="O551" s="75"/>
      <c r="P551" s="75"/>
      <c r="Q551" s="75"/>
      <c r="R551" s="75"/>
      <c r="S551" s="75"/>
      <c r="T551" s="75"/>
    </row>
    <row r="552" spans="1:20">
      <c r="A552" s="63"/>
      <c r="B552" s="75"/>
      <c r="C552" s="63"/>
      <c r="D552" s="75"/>
      <c r="E552" s="92"/>
      <c r="F552" s="92"/>
      <c r="G552" s="75"/>
      <c r="H552" s="75"/>
      <c r="I552" s="75"/>
      <c r="J552" s="75"/>
      <c r="K552" s="27"/>
      <c r="L552" s="96"/>
      <c r="M552" s="27"/>
      <c r="N552" s="96"/>
      <c r="O552" s="75"/>
      <c r="P552" s="75"/>
      <c r="Q552" s="75"/>
      <c r="R552" s="75"/>
      <c r="S552" s="75"/>
      <c r="T552" s="75"/>
    </row>
    <row r="553" spans="1:20">
      <c r="A553" s="63"/>
      <c r="B553" s="75"/>
      <c r="C553" s="63"/>
      <c r="D553" s="75"/>
      <c r="E553" s="92"/>
      <c r="F553" s="92"/>
      <c r="G553" s="75"/>
      <c r="H553" s="75"/>
      <c r="I553" s="75"/>
      <c r="J553" s="75"/>
      <c r="K553" s="27"/>
      <c r="L553" s="96"/>
      <c r="M553" s="27"/>
      <c r="N553" s="96"/>
      <c r="O553" s="75"/>
      <c r="P553" s="75"/>
      <c r="Q553" s="75"/>
      <c r="R553" s="75"/>
      <c r="S553" s="75"/>
      <c r="T553" s="75"/>
    </row>
    <row r="554" spans="1:20">
      <c r="A554" s="63"/>
      <c r="B554" s="75"/>
      <c r="C554" s="63"/>
      <c r="D554" s="75"/>
      <c r="E554" s="92"/>
      <c r="F554" s="92"/>
      <c r="G554" s="75"/>
      <c r="H554" s="75"/>
      <c r="I554" s="75"/>
      <c r="J554" s="75"/>
      <c r="K554" s="27"/>
      <c r="L554" s="96"/>
      <c r="M554" s="27"/>
      <c r="N554" s="96"/>
      <c r="O554" s="75"/>
      <c r="P554" s="75"/>
      <c r="Q554" s="75"/>
      <c r="R554" s="75"/>
      <c r="S554" s="75"/>
      <c r="T554" s="75"/>
    </row>
    <row r="555" spans="1:20">
      <c r="A555" s="63"/>
      <c r="B555" s="75"/>
      <c r="C555" s="63"/>
      <c r="D555" s="75"/>
      <c r="E555" s="92"/>
      <c r="F555" s="92"/>
      <c r="G555" s="75"/>
      <c r="H555" s="75"/>
      <c r="I555" s="75"/>
      <c r="J555" s="75"/>
      <c r="K555" s="27"/>
      <c r="L555" s="96"/>
      <c r="M555" s="27"/>
      <c r="N555" s="96"/>
      <c r="O555" s="75"/>
      <c r="P555" s="75"/>
      <c r="Q555" s="75"/>
      <c r="R555" s="75"/>
      <c r="S555" s="75"/>
      <c r="T555" s="75"/>
    </row>
    <row r="556" spans="1:20">
      <c r="A556" s="63"/>
      <c r="B556" s="75"/>
      <c r="C556" s="63"/>
      <c r="D556" s="75"/>
      <c r="E556" s="92"/>
      <c r="F556" s="92"/>
      <c r="G556" s="75"/>
      <c r="H556" s="75"/>
      <c r="I556" s="75"/>
      <c r="J556" s="75"/>
      <c r="K556" s="27"/>
      <c r="L556" s="96"/>
      <c r="M556" s="27"/>
      <c r="N556" s="96"/>
      <c r="O556" s="75"/>
      <c r="P556" s="75"/>
      <c r="Q556" s="75"/>
      <c r="R556" s="75"/>
      <c r="S556" s="75"/>
      <c r="T556" s="75"/>
    </row>
    <row r="557" spans="1:20">
      <c r="A557" s="63"/>
      <c r="B557" s="75"/>
      <c r="C557" s="63"/>
      <c r="D557" s="75"/>
      <c r="E557" s="92"/>
      <c r="F557" s="92"/>
      <c r="G557" s="75"/>
      <c r="H557" s="75"/>
      <c r="I557" s="75"/>
      <c r="J557" s="75"/>
      <c r="K557" s="27"/>
      <c r="L557" s="96"/>
      <c r="M557" s="27"/>
      <c r="N557" s="96"/>
      <c r="O557" s="75"/>
      <c r="P557" s="75"/>
      <c r="Q557" s="75"/>
      <c r="R557" s="75"/>
      <c r="S557" s="75"/>
      <c r="T557" s="75"/>
    </row>
    <row r="558" spans="1:20">
      <c r="A558" s="63"/>
      <c r="B558" s="75"/>
      <c r="C558" s="63"/>
      <c r="D558" s="75"/>
      <c r="E558" s="92"/>
      <c r="F558" s="92"/>
      <c r="G558" s="75"/>
      <c r="H558" s="75"/>
      <c r="I558" s="75"/>
      <c r="J558" s="75"/>
      <c r="K558" s="27"/>
      <c r="L558" s="96"/>
      <c r="M558" s="27"/>
      <c r="N558" s="96"/>
      <c r="O558" s="75"/>
      <c r="P558" s="75"/>
      <c r="Q558" s="75"/>
      <c r="R558" s="75"/>
      <c r="S558" s="75"/>
      <c r="T558" s="75"/>
    </row>
    <row r="559" spans="1:20">
      <c r="A559" s="63"/>
      <c r="B559" s="75"/>
      <c r="C559" s="63"/>
      <c r="D559" s="75"/>
      <c r="E559" s="92"/>
      <c r="F559" s="92"/>
      <c r="G559" s="75"/>
      <c r="H559" s="75"/>
      <c r="I559" s="75"/>
      <c r="J559" s="75"/>
      <c r="K559" s="27"/>
      <c r="L559" s="96"/>
      <c r="M559" s="27"/>
      <c r="N559" s="96"/>
      <c r="O559" s="75"/>
      <c r="P559" s="75"/>
      <c r="Q559" s="75"/>
      <c r="R559" s="75"/>
      <c r="S559" s="75"/>
      <c r="T559" s="75"/>
    </row>
    <row r="560" spans="1:20">
      <c r="A560" s="63"/>
      <c r="B560" s="75"/>
      <c r="C560" s="63"/>
      <c r="D560" s="75"/>
      <c r="E560" s="92"/>
      <c r="F560" s="92"/>
      <c r="G560" s="75"/>
      <c r="H560" s="75"/>
      <c r="I560" s="75"/>
      <c r="J560" s="75"/>
      <c r="K560" s="27"/>
      <c r="L560" s="96"/>
      <c r="M560" s="27"/>
      <c r="N560" s="96"/>
      <c r="O560" s="75"/>
      <c r="P560" s="75"/>
      <c r="Q560" s="75"/>
      <c r="R560" s="75"/>
      <c r="S560" s="75"/>
      <c r="T560" s="75"/>
    </row>
    <row r="561" spans="1:20">
      <c r="A561" s="63"/>
      <c r="B561" s="75"/>
      <c r="C561" s="63"/>
      <c r="D561" s="75"/>
      <c r="E561" s="92"/>
      <c r="F561" s="92"/>
      <c r="G561" s="75"/>
      <c r="H561" s="75"/>
      <c r="I561" s="75"/>
      <c r="J561" s="75"/>
      <c r="K561" s="27"/>
      <c r="L561" s="96"/>
      <c r="M561" s="27"/>
      <c r="N561" s="96"/>
      <c r="O561" s="75"/>
      <c r="P561" s="75"/>
      <c r="Q561" s="75"/>
      <c r="R561" s="75"/>
      <c r="S561" s="75"/>
      <c r="T561" s="75"/>
    </row>
    <row r="562" spans="1:20">
      <c r="A562" s="63"/>
      <c r="B562" s="75"/>
      <c r="C562" s="63"/>
      <c r="D562" s="75"/>
      <c r="E562" s="92"/>
      <c r="F562" s="92"/>
      <c r="G562" s="75"/>
      <c r="H562" s="75"/>
      <c r="I562" s="75"/>
      <c r="J562" s="75"/>
      <c r="K562" s="27"/>
      <c r="L562" s="96"/>
      <c r="M562" s="27"/>
      <c r="N562" s="96"/>
      <c r="O562" s="75"/>
      <c r="P562" s="75"/>
      <c r="Q562" s="75"/>
      <c r="R562" s="75"/>
      <c r="S562" s="75"/>
      <c r="T562" s="75"/>
    </row>
    <row r="563" spans="1:20">
      <c r="A563" s="63"/>
      <c r="B563" s="75"/>
      <c r="C563" s="63"/>
      <c r="D563" s="75"/>
      <c r="E563" s="92"/>
      <c r="F563" s="92"/>
      <c r="G563" s="75"/>
      <c r="H563" s="75"/>
      <c r="I563" s="75"/>
      <c r="J563" s="75"/>
      <c r="K563" s="27"/>
      <c r="L563" s="96"/>
      <c r="M563" s="27"/>
      <c r="N563" s="96"/>
      <c r="O563" s="75"/>
      <c r="P563" s="75"/>
      <c r="Q563" s="75"/>
      <c r="R563" s="75"/>
      <c r="S563" s="75"/>
      <c r="T563" s="75"/>
    </row>
    <row r="564" spans="1:20">
      <c r="A564" s="63"/>
      <c r="B564" s="75"/>
      <c r="C564" s="63"/>
      <c r="D564" s="75"/>
      <c r="E564" s="92"/>
      <c r="F564" s="92"/>
      <c r="G564" s="75"/>
      <c r="H564" s="75"/>
      <c r="I564" s="75"/>
      <c r="J564" s="75"/>
      <c r="K564" s="27"/>
      <c r="L564" s="96"/>
      <c r="M564" s="27"/>
      <c r="N564" s="96"/>
      <c r="O564" s="75"/>
      <c r="P564" s="75"/>
      <c r="Q564" s="75"/>
      <c r="R564" s="75"/>
      <c r="S564" s="75"/>
      <c r="T564" s="75"/>
    </row>
    <row r="565" spans="1:20">
      <c r="A565" s="63"/>
      <c r="B565" s="75"/>
      <c r="C565" s="63"/>
      <c r="D565" s="75"/>
      <c r="E565" s="92"/>
      <c r="F565" s="92"/>
      <c r="G565" s="75"/>
      <c r="H565" s="75"/>
      <c r="I565" s="75"/>
      <c r="J565" s="75"/>
      <c r="K565" s="27"/>
      <c r="L565" s="96"/>
      <c r="M565" s="27"/>
      <c r="N565" s="96"/>
      <c r="O565" s="75"/>
      <c r="P565" s="75"/>
      <c r="Q565" s="75"/>
      <c r="R565" s="75"/>
      <c r="S565" s="75"/>
      <c r="T565" s="75"/>
    </row>
    <row r="566" spans="1:20">
      <c r="A566" s="63"/>
      <c r="B566" s="75"/>
      <c r="C566" s="63"/>
      <c r="D566" s="75"/>
      <c r="E566" s="92"/>
      <c r="F566" s="92"/>
      <c r="G566" s="75"/>
      <c r="H566" s="75"/>
      <c r="I566" s="75"/>
      <c r="J566" s="75"/>
      <c r="K566" s="27"/>
      <c r="L566" s="96"/>
      <c r="M566" s="27"/>
      <c r="N566" s="96"/>
      <c r="O566" s="75"/>
      <c r="P566" s="75"/>
      <c r="Q566" s="75"/>
      <c r="R566" s="75"/>
      <c r="S566" s="75"/>
      <c r="T566" s="75"/>
    </row>
    <row r="567" spans="1:20">
      <c r="A567" s="63"/>
      <c r="B567" s="75"/>
      <c r="C567" s="63"/>
      <c r="D567" s="75"/>
      <c r="E567" s="92"/>
      <c r="F567" s="92"/>
      <c r="G567" s="75"/>
      <c r="H567" s="75"/>
      <c r="I567" s="75"/>
      <c r="J567" s="75"/>
      <c r="K567" s="27"/>
      <c r="L567" s="96"/>
      <c r="M567" s="27"/>
      <c r="N567" s="96"/>
      <c r="O567" s="75"/>
      <c r="P567" s="75"/>
      <c r="Q567" s="75"/>
      <c r="R567" s="75"/>
      <c r="S567" s="75"/>
      <c r="T567" s="75"/>
    </row>
    <row r="568" spans="1:20">
      <c r="A568" s="63"/>
      <c r="B568" s="75"/>
      <c r="C568" s="63"/>
      <c r="D568" s="75"/>
      <c r="E568" s="92"/>
      <c r="F568" s="92"/>
      <c r="G568" s="75"/>
      <c r="H568" s="75"/>
      <c r="I568" s="75"/>
      <c r="J568" s="75"/>
      <c r="K568" s="27"/>
      <c r="L568" s="96"/>
      <c r="M568" s="27"/>
      <c r="N568" s="96"/>
      <c r="O568" s="75"/>
      <c r="P568" s="75"/>
      <c r="Q568" s="75"/>
      <c r="R568" s="75"/>
      <c r="S568" s="75"/>
      <c r="T568" s="75"/>
    </row>
    <row r="569" spans="1:20">
      <c r="A569" s="63"/>
      <c r="B569" s="75"/>
      <c r="C569" s="63"/>
      <c r="D569" s="75"/>
      <c r="E569" s="92"/>
      <c r="F569" s="92"/>
      <c r="G569" s="75"/>
      <c r="H569" s="75"/>
      <c r="I569" s="75"/>
      <c r="J569" s="75"/>
      <c r="K569" s="27"/>
      <c r="L569" s="96"/>
      <c r="M569" s="27"/>
      <c r="N569" s="96"/>
      <c r="O569" s="75"/>
      <c r="P569" s="75"/>
      <c r="Q569" s="75"/>
      <c r="R569" s="75"/>
      <c r="S569" s="75"/>
      <c r="T569" s="75"/>
    </row>
    <row r="570" spans="1:20">
      <c r="A570" s="63"/>
      <c r="B570" s="75"/>
      <c r="C570" s="63"/>
      <c r="D570" s="75"/>
      <c r="E570" s="92"/>
      <c r="F570" s="92"/>
      <c r="G570" s="75"/>
      <c r="H570" s="75"/>
      <c r="I570" s="75"/>
      <c r="J570" s="75"/>
      <c r="K570" s="27"/>
      <c r="L570" s="96"/>
      <c r="M570" s="27"/>
      <c r="N570" s="96"/>
      <c r="O570" s="75"/>
      <c r="P570" s="75"/>
      <c r="Q570" s="75"/>
      <c r="R570" s="75"/>
      <c r="S570" s="75"/>
      <c r="T570" s="75"/>
    </row>
    <row r="571" spans="1:20">
      <c r="A571" s="63"/>
      <c r="B571" s="75"/>
      <c r="C571" s="63"/>
      <c r="D571" s="75"/>
      <c r="E571" s="92"/>
      <c r="F571" s="92"/>
      <c r="G571" s="75"/>
      <c r="H571" s="75"/>
      <c r="I571" s="75"/>
      <c r="J571" s="75"/>
      <c r="K571" s="27"/>
      <c r="L571" s="96"/>
      <c r="M571" s="27"/>
      <c r="N571" s="96"/>
      <c r="O571" s="75"/>
      <c r="P571" s="75"/>
      <c r="Q571" s="75"/>
      <c r="R571" s="75"/>
      <c r="S571" s="75"/>
      <c r="T571" s="75"/>
    </row>
    <row r="572" spans="1:20">
      <c r="A572" s="63"/>
      <c r="B572" s="75"/>
      <c r="C572" s="63"/>
      <c r="D572" s="75"/>
      <c r="E572" s="92"/>
      <c r="F572" s="92"/>
      <c r="G572" s="75"/>
      <c r="H572" s="75"/>
      <c r="I572" s="75"/>
      <c r="J572" s="75"/>
      <c r="K572" s="27"/>
      <c r="L572" s="96"/>
      <c r="M572" s="27"/>
      <c r="N572" s="96"/>
      <c r="O572" s="75"/>
      <c r="P572" s="75"/>
      <c r="Q572" s="75"/>
      <c r="R572" s="75"/>
      <c r="S572" s="75"/>
      <c r="T572" s="75"/>
    </row>
    <row r="573" spans="1:20">
      <c r="A573" s="63"/>
      <c r="B573" s="75"/>
      <c r="C573" s="63"/>
      <c r="D573" s="75"/>
      <c r="E573" s="92"/>
      <c r="F573" s="92"/>
      <c r="G573" s="75"/>
      <c r="H573" s="75"/>
      <c r="I573" s="75"/>
      <c r="J573" s="75"/>
      <c r="K573" s="27"/>
      <c r="L573" s="96"/>
      <c r="M573" s="27"/>
      <c r="N573" s="96"/>
      <c r="O573" s="75"/>
      <c r="P573" s="75"/>
      <c r="Q573" s="75"/>
      <c r="R573" s="75"/>
      <c r="S573" s="75"/>
      <c r="T573" s="75"/>
    </row>
    <row r="574" spans="1:20">
      <c r="A574" s="63"/>
      <c r="B574" s="75"/>
      <c r="C574" s="63"/>
      <c r="D574" s="75"/>
      <c r="E574" s="92"/>
      <c r="F574" s="92"/>
      <c r="G574" s="75"/>
      <c r="H574" s="75"/>
      <c r="I574" s="75"/>
      <c r="J574" s="75"/>
      <c r="K574" s="27"/>
      <c r="L574" s="96"/>
      <c r="M574" s="27"/>
      <c r="N574" s="96"/>
      <c r="O574" s="75"/>
      <c r="P574" s="75"/>
      <c r="Q574" s="75"/>
      <c r="R574" s="75"/>
      <c r="S574" s="75"/>
      <c r="T574" s="75"/>
    </row>
    <row r="575" spans="1:20">
      <c r="A575" s="63"/>
      <c r="B575" s="75"/>
      <c r="C575" s="63"/>
      <c r="D575" s="75"/>
      <c r="E575" s="92"/>
      <c r="F575" s="92"/>
      <c r="G575" s="75"/>
      <c r="H575" s="75"/>
      <c r="I575" s="75"/>
      <c r="J575" s="75"/>
      <c r="K575" s="27"/>
      <c r="L575" s="96"/>
      <c r="M575" s="27"/>
      <c r="N575" s="96"/>
      <c r="O575" s="75"/>
      <c r="P575" s="75"/>
      <c r="Q575" s="75"/>
      <c r="R575" s="75"/>
      <c r="S575" s="75"/>
      <c r="T575" s="75"/>
    </row>
    <row r="576" spans="1:20">
      <c r="A576" s="63"/>
      <c r="B576" s="75"/>
      <c r="C576" s="63"/>
      <c r="D576" s="75"/>
      <c r="E576" s="92"/>
      <c r="F576" s="92"/>
      <c r="G576" s="75"/>
      <c r="H576" s="75"/>
      <c r="I576" s="75"/>
      <c r="J576" s="75"/>
      <c r="K576" s="27"/>
      <c r="L576" s="96"/>
      <c r="M576" s="27"/>
      <c r="N576" s="96"/>
      <c r="O576" s="75"/>
      <c r="P576" s="75"/>
      <c r="Q576" s="75"/>
      <c r="R576" s="75"/>
      <c r="S576" s="75"/>
      <c r="T576" s="75"/>
    </row>
    <row r="577" spans="1:20">
      <c r="A577" s="63"/>
      <c r="B577" s="75"/>
      <c r="C577" s="63"/>
      <c r="D577" s="75"/>
      <c r="E577" s="92"/>
      <c r="F577" s="92"/>
      <c r="G577" s="75"/>
      <c r="H577" s="75"/>
      <c r="I577" s="75"/>
      <c r="J577" s="75"/>
      <c r="K577" s="27"/>
      <c r="L577" s="96"/>
      <c r="M577" s="27"/>
      <c r="N577" s="96"/>
      <c r="O577" s="75"/>
      <c r="P577" s="75"/>
      <c r="Q577" s="75"/>
      <c r="R577" s="75"/>
      <c r="S577" s="75"/>
      <c r="T577" s="75"/>
    </row>
    <row r="578" spans="1:20">
      <c r="A578" s="63"/>
      <c r="B578" s="75"/>
      <c r="C578" s="63"/>
      <c r="D578" s="75"/>
      <c r="E578" s="92"/>
      <c r="F578" s="92"/>
      <c r="G578" s="75"/>
      <c r="H578" s="75"/>
      <c r="I578" s="75"/>
      <c r="J578" s="75"/>
      <c r="K578" s="27"/>
      <c r="L578" s="96"/>
      <c r="M578" s="27"/>
      <c r="N578" s="96"/>
      <c r="O578" s="75"/>
      <c r="P578" s="75"/>
      <c r="Q578" s="75"/>
      <c r="R578" s="75"/>
      <c r="S578" s="75"/>
      <c r="T578" s="75"/>
    </row>
    <row r="579" spans="1:20">
      <c r="A579" s="63"/>
      <c r="B579" s="75"/>
      <c r="C579" s="63"/>
      <c r="D579" s="75"/>
      <c r="E579" s="92"/>
      <c r="F579" s="92"/>
      <c r="G579" s="75"/>
      <c r="H579" s="75"/>
      <c r="I579" s="75"/>
      <c r="J579" s="75"/>
      <c r="K579" s="27"/>
      <c r="L579" s="96"/>
      <c r="M579" s="27"/>
      <c r="N579" s="96"/>
      <c r="O579" s="75"/>
      <c r="P579" s="75"/>
      <c r="Q579" s="75"/>
      <c r="R579" s="75"/>
      <c r="S579" s="75"/>
      <c r="T579" s="75"/>
    </row>
    <row r="580" spans="1:20">
      <c r="A580" s="63"/>
      <c r="B580" s="75"/>
      <c r="C580" s="63"/>
      <c r="D580" s="75"/>
      <c r="E580" s="92"/>
      <c r="F580" s="92"/>
      <c r="G580" s="75"/>
      <c r="H580" s="75"/>
      <c r="I580" s="75"/>
      <c r="J580" s="75"/>
      <c r="K580" s="27"/>
      <c r="L580" s="96"/>
      <c r="M580" s="27"/>
      <c r="N580" s="96"/>
      <c r="O580" s="75"/>
      <c r="P580" s="75"/>
      <c r="Q580" s="75"/>
      <c r="R580" s="75"/>
      <c r="S580" s="75"/>
      <c r="T580" s="75"/>
    </row>
    <row r="581" spans="1:20">
      <c r="A581" s="63"/>
      <c r="B581" s="75"/>
      <c r="C581" s="63"/>
      <c r="D581" s="75"/>
      <c r="E581" s="92"/>
      <c r="F581" s="92"/>
      <c r="G581" s="75"/>
      <c r="H581" s="75"/>
      <c r="I581" s="75"/>
      <c r="J581" s="75"/>
      <c r="K581" s="27"/>
      <c r="L581" s="96"/>
      <c r="M581" s="27"/>
      <c r="N581" s="96"/>
      <c r="O581" s="75"/>
      <c r="P581" s="75"/>
      <c r="Q581" s="75"/>
      <c r="R581" s="75"/>
      <c r="S581" s="75"/>
      <c r="T581" s="75"/>
    </row>
    <row r="582" spans="1:20">
      <c r="A582" s="63"/>
      <c r="B582" s="75"/>
      <c r="C582" s="63"/>
      <c r="D582" s="75"/>
      <c r="E582" s="92"/>
      <c r="F582" s="92"/>
      <c r="G582" s="75"/>
      <c r="H582" s="75"/>
      <c r="I582" s="75"/>
      <c r="J582" s="75"/>
      <c r="K582" s="27"/>
      <c r="L582" s="96"/>
      <c r="M582" s="27"/>
      <c r="N582" s="96"/>
      <c r="O582" s="75"/>
      <c r="P582" s="75"/>
      <c r="Q582" s="75"/>
      <c r="R582" s="75"/>
      <c r="S582" s="75"/>
      <c r="T582" s="75"/>
    </row>
    <row r="583" spans="1:20">
      <c r="A583" s="63"/>
      <c r="B583" s="75"/>
      <c r="C583" s="63"/>
      <c r="D583" s="75"/>
      <c r="E583" s="92"/>
      <c r="F583" s="92"/>
      <c r="G583" s="75"/>
      <c r="H583" s="75"/>
      <c r="I583" s="75"/>
      <c r="J583" s="75"/>
      <c r="K583" s="27"/>
      <c r="L583" s="96"/>
      <c r="M583" s="27"/>
      <c r="N583" s="96"/>
      <c r="O583" s="75"/>
      <c r="P583" s="75"/>
      <c r="Q583" s="75"/>
      <c r="R583" s="75"/>
      <c r="S583" s="75"/>
      <c r="T583" s="75"/>
    </row>
    <row r="584" spans="1:20">
      <c r="A584" s="63"/>
      <c r="B584" s="75"/>
      <c r="C584" s="63"/>
      <c r="D584" s="75"/>
      <c r="E584" s="92"/>
      <c r="F584" s="92"/>
      <c r="G584" s="75"/>
      <c r="H584" s="75"/>
      <c r="I584" s="75"/>
      <c r="J584" s="75"/>
      <c r="K584" s="27"/>
      <c r="L584" s="96"/>
      <c r="M584" s="27"/>
      <c r="N584" s="96"/>
      <c r="O584" s="75"/>
      <c r="P584" s="75"/>
      <c r="Q584" s="75"/>
      <c r="R584" s="75"/>
      <c r="S584" s="75"/>
      <c r="T584" s="75"/>
    </row>
    <row r="585" spans="1:20">
      <c r="A585" s="63"/>
      <c r="B585" s="75"/>
      <c r="C585" s="63"/>
      <c r="D585" s="75"/>
      <c r="E585" s="92"/>
      <c r="F585" s="92"/>
      <c r="G585" s="75"/>
      <c r="H585" s="75"/>
      <c r="I585" s="75"/>
      <c r="J585" s="75"/>
      <c r="K585" s="27"/>
      <c r="L585" s="96"/>
      <c r="M585" s="27"/>
      <c r="N585" s="96"/>
      <c r="O585" s="75"/>
      <c r="P585" s="75"/>
      <c r="Q585" s="75"/>
      <c r="R585" s="75"/>
      <c r="S585" s="75"/>
      <c r="T585" s="75"/>
    </row>
    <row r="586" spans="1:20">
      <c r="A586" s="63"/>
      <c r="B586" s="75"/>
      <c r="C586" s="63"/>
      <c r="D586" s="75"/>
      <c r="E586" s="92"/>
      <c r="F586" s="92"/>
      <c r="G586" s="75"/>
      <c r="H586" s="75"/>
      <c r="I586" s="75"/>
      <c r="J586" s="75"/>
      <c r="K586" s="27"/>
      <c r="L586" s="96"/>
      <c r="M586" s="27"/>
      <c r="N586" s="96"/>
      <c r="O586" s="75"/>
      <c r="P586" s="75"/>
      <c r="Q586" s="75"/>
      <c r="R586" s="75"/>
      <c r="S586" s="75"/>
      <c r="T586" s="75"/>
    </row>
    <row r="587" spans="1:20">
      <c r="A587" s="63"/>
      <c r="B587" s="75"/>
      <c r="C587" s="63"/>
      <c r="D587" s="75"/>
      <c r="E587" s="92"/>
      <c r="F587" s="92"/>
      <c r="G587" s="75"/>
      <c r="H587" s="75"/>
      <c r="I587" s="75"/>
      <c r="J587" s="75"/>
      <c r="K587" s="27"/>
      <c r="L587" s="96"/>
      <c r="M587" s="27"/>
      <c r="N587" s="96"/>
      <c r="O587" s="75"/>
      <c r="P587" s="75"/>
      <c r="Q587" s="75"/>
      <c r="R587" s="75"/>
      <c r="S587" s="75"/>
      <c r="T587" s="75"/>
    </row>
    <row r="588" spans="1:20">
      <c r="A588" s="63"/>
      <c r="B588" s="75"/>
      <c r="C588" s="63"/>
      <c r="D588" s="75"/>
      <c r="E588" s="92"/>
      <c r="F588" s="92"/>
      <c r="G588" s="75"/>
      <c r="H588" s="75"/>
      <c r="I588" s="75"/>
      <c r="J588" s="75"/>
      <c r="K588" s="27"/>
      <c r="L588" s="96"/>
      <c r="M588" s="27"/>
      <c r="N588" s="96"/>
      <c r="O588" s="75"/>
      <c r="P588" s="75"/>
      <c r="Q588" s="75"/>
      <c r="R588" s="75"/>
      <c r="S588" s="75"/>
      <c r="T588" s="75"/>
    </row>
    <row r="589" spans="1:20">
      <c r="A589" s="63"/>
      <c r="B589" s="75"/>
      <c r="C589" s="63"/>
      <c r="D589" s="75"/>
      <c r="E589" s="92"/>
      <c r="F589" s="92"/>
      <c r="G589" s="75"/>
      <c r="H589" s="75"/>
      <c r="I589" s="75"/>
      <c r="J589" s="75"/>
      <c r="K589" s="27"/>
      <c r="L589" s="96"/>
      <c r="M589" s="27"/>
      <c r="N589" s="96"/>
      <c r="O589" s="75"/>
      <c r="P589" s="75"/>
      <c r="Q589" s="75"/>
      <c r="R589" s="75"/>
      <c r="S589" s="75"/>
      <c r="T589" s="75"/>
    </row>
    <row r="590" spans="1:20">
      <c r="A590" s="63"/>
      <c r="B590" s="75"/>
      <c r="C590" s="63"/>
      <c r="D590" s="75"/>
      <c r="E590" s="92"/>
      <c r="F590" s="92"/>
      <c r="G590" s="75"/>
      <c r="H590" s="75"/>
      <c r="I590" s="75"/>
      <c r="J590" s="75"/>
      <c r="K590" s="27"/>
      <c r="L590" s="96"/>
      <c r="M590" s="27"/>
      <c r="N590" s="96"/>
      <c r="O590" s="75"/>
      <c r="P590" s="75"/>
      <c r="Q590" s="75"/>
      <c r="R590" s="75"/>
      <c r="S590" s="75"/>
      <c r="T590" s="75"/>
    </row>
    <row r="591" spans="1:20">
      <c r="A591" s="63"/>
      <c r="B591" s="75"/>
      <c r="C591" s="63"/>
      <c r="D591" s="75"/>
      <c r="E591" s="92"/>
      <c r="F591" s="92"/>
      <c r="G591" s="75"/>
      <c r="H591" s="75"/>
      <c r="I591" s="75"/>
      <c r="J591" s="75"/>
      <c r="K591" s="27"/>
      <c r="L591" s="96"/>
      <c r="M591" s="27"/>
      <c r="N591" s="96"/>
      <c r="O591" s="75"/>
      <c r="P591" s="75"/>
      <c r="Q591" s="75"/>
      <c r="R591" s="75"/>
      <c r="S591" s="75"/>
      <c r="T591" s="75"/>
    </row>
    <row r="592" spans="1:20">
      <c r="A592" s="63"/>
      <c r="B592" s="75"/>
      <c r="C592" s="63"/>
      <c r="D592" s="75"/>
      <c r="E592" s="92"/>
      <c r="F592" s="92"/>
      <c r="G592" s="75"/>
      <c r="H592" s="75"/>
      <c r="I592" s="75"/>
      <c r="J592" s="75"/>
      <c r="K592" s="27"/>
      <c r="L592" s="96"/>
      <c r="M592" s="27"/>
      <c r="N592" s="96"/>
      <c r="O592" s="75"/>
      <c r="P592" s="75"/>
      <c r="Q592" s="75"/>
      <c r="R592" s="75"/>
      <c r="S592" s="75"/>
      <c r="T592" s="75"/>
    </row>
    <row r="593" spans="1:20">
      <c r="A593" s="63"/>
      <c r="B593" s="75"/>
      <c r="C593" s="63"/>
      <c r="D593" s="75"/>
      <c r="E593" s="92"/>
      <c r="F593" s="92"/>
      <c r="G593" s="75"/>
      <c r="H593" s="75"/>
      <c r="I593" s="75"/>
      <c r="J593" s="75"/>
      <c r="K593" s="27"/>
      <c r="L593" s="96"/>
      <c r="M593" s="27"/>
      <c r="N593" s="96"/>
      <c r="O593" s="75"/>
      <c r="P593" s="75"/>
      <c r="Q593" s="75"/>
      <c r="R593" s="75"/>
      <c r="S593" s="75"/>
      <c r="T593" s="75"/>
    </row>
    <row r="594" spans="1:20">
      <c r="A594" s="63"/>
      <c r="B594" s="75"/>
      <c r="C594" s="63"/>
      <c r="D594" s="75"/>
      <c r="E594" s="92"/>
      <c r="F594" s="92"/>
      <c r="G594" s="75"/>
      <c r="H594" s="75"/>
      <c r="I594" s="75"/>
      <c r="J594" s="75"/>
      <c r="K594" s="27"/>
      <c r="L594" s="96"/>
      <c r="M594" s="27"/>
      <c r="N594" s="96"/>
      <c r="O594" s="75"/>
      <c r="P594" s="75"/>
      <c r="Q594" s="75"/>
      <c r="R594" s="75"/>
      <c r="S594" s="75"/>
      <c r="T594" s="75"/>
    </row>
    <row r="595" spans="1:20">
      <c r="A595" s="63"/>
      <c r="B595" s="75"/>
      <c r="C595" s="63"/>
      <c r="D595" s="75"/>
      <c r="E595" s="92"/>
      <c r="F595" s="92"/>
      <c r="G595" s="75"/>
      <c r="H595" s="75"/>
      <c r="I595" s="75"/>
      <c r="J595" s="75"/>
      <c r="K595" s="27"/>
      <c r="L595" s="96"/>
      <c r="M595" s="27"/>
      <c r="N595" s="96"/>
      <c r="O595" s="75"/>
      <c r="P595" s="75"/>
      <c r="Q595" s="75"/>
      <c r="R595" s="75"/>
      <c r="S595" s="75"/>
      <c r="T595" s="75"/>
    </row>
    <row r="596" spans="1:20">
      <c r="A596" s="63"/>
      <c r="B596" s="75"/>
      <c r="C596" s="63"/>
      <c r="D596" s="75"/>
      <c r="E596" s="92"/>
      <c r="F596" s="92"/>
      <c r="G596" s="75"/>
      <c r="H596" s="75"/>
      <c r="I596" s="75"/>
      <c r="J596" s="75"/>
      <c r="K596" s="27"/>
      <c r="L596" s="96"/>
      <c r="M596" s="27"/>
      <c r="N596" s="96"/>
      <c r="O596" s="75"/>
      <c r="P596" s="75"/>
      <c r="Q596" s="75"/>
      <c r="R596" s="75"/>
      <c r="S596" s="75"/>
      <c r="T596" s="75"/>
    </row>
    <row r="597" spans="1:20">
      <c r="A597" s="63"/>
      <c r="B597" s="75"/>
      <c r="C597" s="63"/>
      <c r="D597" s="75"/>
      <c r="E597" s="92"/>
      <c r="F597" s="92"/>
      <c r="G597" s="75"/>
      <c r="H597" s="75"/>
      <c r="I597" s="75"/>
      <c r="J597" s="75"/>
      <c r="K597" s="27"/>
      <c r="L597" s="96"/>
      <c r="M597" s="27"/>
      <c r="N597" s="96"/>
      <c r="O597" s="75"/>
      <c r="P597" s="75"/>
      <c r="Q597" s="75"/>
      <c r="R597" s="75"/>
      <c r="S597" s="75"/>
      <c r="T597" s="75"/>
    </row>
    <row r="598" spans="1:20">
      <c r="A598" s="63"/>
      <c r="B598" s="75"/>
      <c r="C598" s="63"/>
      <c r="D598" s="75"/>
      <c r="E598" s="92"/>
      <c r="F598" s="92"/>
      <c r="G598" s="75"/>
      <c r="H598" s="75"/>
      <c r="I598" s="75"/>
      <c r="J598" s="75"/>
      <c r="K598" s="27"/>
      <c r="L598" s="96"/>
      <c r="M598" s="27"/>
      <c r="N598" s="96"/>
      <c r="O598" s="75"/>
      <c r="P598" s="75"/>
      <c r="Q598" s="75"/>
      <c r="R598" s="75"/>
      <c r="S598" s="75"/>
      <c r="T598" s="75"/>
    </row>
    <row r="599" spans="1:20">
      <c r="A599" s="63"/>
      <c r="B599" s="75"/>
      <c r="C599" s="63"/>
      <c r="D599" s="75"/>
      <c r="E599" s="92"/>
      <c r="F599" s="92"/>
      <c r="G599" s="75"/>
      <c r="H599" s="75"/>
      <c r="I599" s="75"/>
      <c r="J599" s="75"/>
      <c r="K599" s="27"/>
      <c r="L599" s="96"/>
      <c r="M599" s="27"/>
      <c r="N599" s="96"/>
      <c r="O599" s="75"/>
      <c r="P599" s="75"/>
      <c r="Q599" s="75"/>
      <c r="R599" s="75"/>
      <c r="S599" s="75"/>
      <c r="T599" s="75"/>
    </row>
    <row r="600" spans="1:20">
      <c r="A600" s="63"/>
      <c r="B600" s="75"/>
      <c r="C600" s="63"/>
      <c r="D600" s="75"/>
      <c r="E600" s="92"/>
      <c r="F600" s="92"/>
      <c r="G600" s="75"/>
      <c r="H600" s="75"/>
      <c r="I600" s="75"/>
      <c r="J600" s="75"/>
      <c r="K600" s="27"/>
      <c r="L600" s="96"/>
      <c r="M600" s="27"/>
      <c r="N600" s="96"/>
      <c r="O600" s="75"/>
      <c r="P600" s="75"/>
      <c r="Q600" s="75"/>
      <c r="R600" s="75"/>
      <c r="S600" s="75"/>
      <c r="T600" s="75"/>
    </row>
    <row r="601" spans="1:20">
      <c r="A601" s="63"/>
      <c r="B601" s="75"/>
      <c r="C601" s="63"/>
      <c r="D601" s="75"/>
      <c r="E601" s="92"/>
      <c r="F601" s="92"/>
      <c r="G601" s="75"/>
      <c r="H601" s="75"/>
      <c r="I601" s="75"/>
      <c r="J601" s="75"/>
      <c r="K601" s="27"/>
      <c r="L601" s="96"/>
      <c r="M601" s="27"/>
      <c r="N601" s="96"/>
      <c r="O601" s="75"/>
      <c r="P601" s="75"/>
      <c r="Q601" s="75"/>
      <c r="R601" s="75"/>
      <c r="S601" s="75"/>
      <c r="T601" s="75"/>
    </row>
    <row r="602" spans="1:20">
      <c r="A602" s="63"/>
      <c r="B602" s="75"/>
      <c r="C602" s="63"/>
      <c r="D602" s="75"/>
      <c r="E602" s="92"/>
      <c r="F602" s="92"/>
      <c r="G602" s="75"/>
      <c r="H602" s="75"/>
      <c r="I602" s="75"/>
      <c r="J602" s="75"/>
      <c r="K602" s="27"/>
      <c r="L602" s="96"/>
      <c r="M602" s="27"/>
      <c r="N602" s="96"/>
      <c r="O602" s="75"/>
      <c r="P602" s="75"/>
      <c r="Q602" s="75"/>
      <c r="R602" s="75"/>
      <c r="S602" s="75"/>
      <c r="T602" s="75"/>
    </row>
    <row r="603" spans="1:20">
      <c r="A603" s="63"/>
      <c r="B603" s="75"/>
      <c r="C603" s="63"/>
      <c r="D603" s="75"/>
      <c r="E603" s="92"/>
      <c r="F603" s="92"/>
      <c r="G603" s="75"/>
      <c r="H603" s="75"/>
      <c r="I603" s="75"/>
      <c r="J603" s="75"/>
      <c r="K603" s="27"/>
      <c r="L603" s="96"/>
      <c r="M603" s="27"/>
      <c r="N603" s="96"/>
      <c r="O603" s="75"/>
      <c r="P603" s="75"/>
      <c r="Q603" s="75"/>
      <c r="R603" s="75"/>
      <c r="S603" s="75"/>
      <c r="T603" s="75"/>
    </row>
    <row r="604" spans="1:20">
      <c r="A604" s="63"/>
      <c r="B604" s="75"/>
      <c r="C604" s="63"/>
      <c r="D604" s="75"/>
      <c r="E604" s="92"/>
      <c r="F604" s="92"/>
      <c r="G604" s="75"/>
      <c r="H604" s="75"/>
      <c r="I604" s="75"/>
      <c r="J604" s="75"/>
      <c r="K604" s="27"/>
      <c r="L604" s="96"/>
      <c r="M604" s="27"/>
      <c r="N604" s="96"/>
      <c r="O604" s="75"/>
      <c r="P604" s="75"/>
      <c r="Q604" s="75"/>
      <c r="R604" s="75"/>
      <c r="S604" s="75"/>
      <c r="T604" s="75"/>
    </row>
    <row r="605" spans="1:20">
      <c r="A605" s="63"/>
      <c r="B605" s="75"/>
      <c r="C605" s="63"/>
      <c r="D605" s="75"/>
      <c r="E605" s="92"/>
      <c r="F605" s="92"/>
      <c r="G605" s="75"/>
      <c r="H605" s="75"/>
      <c r="I605" s="75"/>
      <c r="J605" s="75"/>
      <c r="K605" s="27"/>
      <c r="L605" s="96"/>
      <c r="M605" s="27"/>
      <c r="N605" s="96"/>
      <c r="O605" s="75"/>
      <c r="P605" s="75"/>
      <c r="Q605" s="75"/>
      <c r="R605" s="75"/>
      <c r="S605" s="75"/>
      <c r="T605" s="75"/>
    </row>
    <row r="606" spans="1:20">
      <c r="A606" s="63"/>
      <c r="B606" s="75"/>
      <c r="C606" s="63"/>
      <c r="D606" s="75"/>
      <c r="E606" s="92"/>
      <c r="F606" s="92"/>
      <c r="G606" s="75"/>
      <c r="H606" s="75"/>
      <c r="I606" s="75"/>
      <c r="J606" s="75"/>
      <c r="K606" s="27"/>
      <c r="L606" s="96"/>
      <c r="M606" s="27"/>
      <c r="N606" s="96"/>
      <c r="O606" s="75"/>
      <c r="P606" s="75"/>
      <c r="Q606" s="75"/>
      <c r="R606" s="75"/>
      <c r="S606" s="75"/>
      <c r="T606" s="75"/>
    </row>
    <row r="607" spans="1:20">
      <c r="A607" s="63"/>
      <c r="B607" s="75"/>
      <c r="C607" s="63"/>
      <c r="D607" s="75"/>
      <c r="E607" s="92"/>
      <c r="F607" s="92"/>
      <c r="G607" s="75"/>
      <c r="H607" s="75"/>
      <c r="I607" s="75"/>
      <c r="J607" s="75"/>
      <c r="K607" s="27"/>
      <c r="L607" s="96"/>
      <c r="M607" s="27"/>
      <c r="N607" s="96"/>
      <c r="O607" s="75"/>
      <c r="P607" s="75"/>
      <c r="Q607" s="75"/>
      <c r="R607" s="75"/>
      <c r="S607" s="75"/>
      <c r="T607" s="75"/>
    </row>
    <row r="608" spans="1:20">
      <c r="A608" s="63"/>
      <c r="B608" s="75"/>
      <c r="C608" s="63"/>
      <c r="D608" s="75"/>
      <c r="E608" s="92"/>
      <c r="F608" s="92"/>
      <c r="G608" s="75"/>
      <c r="H608" s="75"/>
      <c r="I608" s="75"/>
      <c r="J608" s="75"/>
      <c r="K608" s="27"/>
      <c r="L608" s="96"/>
      <c r="M608" s="27"/>
      <c r="N608" s="96"/>
      <c r="O608" s="75"/>
      <c r="P608" s="75"/>
      <c r="Q608" s="75"/>
      <c r="R608" s="75"/>
      <c r="S608" s="75"/>
      <c r="T608" s="75"/>
    </row>
    <row r="609" spans="1:20">
      <c r="A609" s="63"/>
      <c r="B609" s="75"/>
      <c r="C609" s="63"/>
      <c r="D609" s="75"/>
      <c r="E609" s="92"/>
      <c r="F609" s="92"/>
      <c r="G609" s="75"/>
      <c r="H609" s="75"/>
      <c r="I609" s="75"/>
      <c r="J609" s="75"/>
      <c r="K609" s="27"/>
      <c r="L609" s="96"/>
      <c r="M609" s="27"/>
      <c r="N609" s="96"/>
      <c r="O609" s="75"/>
      <c r="P609" s="75"/>
      <c r="Q609" s="75"/>
      <c r="R609" s="75"/>
      <c r="S609" s="75"/>
      <c r="T609" s="75"/>
    </row>
    <row r="610" spans="1:20">
      <c r="A610" s="63"/>
      <c r="B610" s="75"/>
      <c r="C610" s="63"/>
      <c r="D610" s="75"/>
      <c r="E610" s="92"/>
      <c r="F610" s="92"/>
      <c r="G610" s="75"/>
      <c r="H610" s="75"/>
      <c r="I610" s="75"/>
      <c r="J610" s="75"/>
      <c r="K610" s="27"/>
      <c r="L610" s="96"/>
      <c r="M610" s="27"/>
      <c r="N610" s="96"/>
      <c r="O610" s="75"/>
      <c r="P610" s="75"/>
      <c r="Q610" s="75"/>
      <c r="R610" s="75"/>
      <c r="S610" s="75"/>
      <c r="T610" s="75"/>
    </row>
    <row r="611" spans="1:20">
      <c r="A611" s="63"/>
      <c r="B611" s="75"/>
      <c r="C611" s="63"/>
      <c r="D611" s="75"/>
      <c r="E611" s="92"/>
      <c r="F611" s="92"/>
      <c r="G611" s="75"/>
      <c r="H611" s="75"/>
      <c r="I611" s="75"/>
      <c r="J611" s="75"/>
      <c r="K611" s="27"/>
      <c r="L611" s="96"/>
      <c r="M611" s="27"/>
      <c r="N611" s="96"/>
      <c r="O611" s="75"/>
      <c r="P611" s="75"/>
      <c r="Q611" s="75"/>
      <c r="R611" s="75"/>
      <c r="S611" s="75"/>
      <c r="T611" s="75"/>
    </row>
    <row r="612" spans="1:20">
      <c r="A612" s="63"/>
      <c r="B612" s="75"/>
      <c r="C612" s="63"/>
      <c r="D612" s="75"/>
      <c r="E612" s="92"/>
      <c r="F612" s="92"/>
      <c r="G612" s="75"/>
      <c r="H612" s="75"/>
      <c r="I612" s="75"/>
      <c r="J612" s="75"/>
      <c r="K612" s="27"/>
      <c r="L612" s="96"/>
      <c r="M612" s="27"/>
      <c r="N612" s="96"/>
      <c r="O612" s="75"/>
      <c r="P612" s="75"/>
      <c r="Q612" s="75"/>
      <c r="R612" s="75"/>
      <c r="S612" s="75"/>
      <c r="T612" s="75"/>
    </row>
    <row r="613" spans="1:20">
      <c r="A613" s="63"/>
      <c r="B613" s="75"/>
      <c r="C613" s="63"/>
      <c r="D613" s="75"/>
      <c r="E613" s="92"/>
      <c r="F613" s="92"/>
      <c r="G613" s="75"/>
      <c r="H613" s="75"/>
      <c r="I613" s="75"/>
      <c r="J613" s="75"/>
      <c r="K613" s="27"/>
      <c r="L613" s="96"/>
      <c r="M613" s="27"/>
      <c r="N613" s="96"/>
      <c r="O613" s="75"/>
      <c r="P613" s="75"/>
      <c r="Q613" s="75"/>
      <c r="R613" s="75"/>
      <c r="S613" s="75"/>
      <c r="T613" s="75"/>
    </row>
    <row r="614" spans="1:20">
      <c r="A614" s="63"/>
      <c r="B614" s="75"/>
      <c r="C614" s="63"/>
      <c r="D614" s="75"/>
      <c r="E614" s="92"/>
      <c r="F614" s="92"/>
      <c r="G614" s="75"/>
      <c r="H614" s="75"/>
      <c r="I614" s="75"/>
      <c r="J614" s="75"/>
      <c r="K614" s="27"/>
      <c r="L614" s="96"/>
      <c r="M614" s="27"/>
      <c r="N614" s="96"/>
      <c r="O614" s="75"/>
      <c r="P614" s="75"/>
      <c r="Q614" s="75"/>
      <c r="R614" s="75"/>
      <c r="S614" s="75"/>
      <c r="T614" s="75"/>
    </row>
    <row r="615" spans="1:20">
      <c r="A615" s="63"/>
      <c r="B615" s="75"/>
      <c r="C615" s="63"/>
      <c r="D615" s="75"/>
      <c r="E615" s="92"/>
      <c r="F615" s="92"/>
      <c r="G615" s="75"/>
      <c r="H615" s="75"/>
      <c r="I615" s="75"/>
      <c r="J615" s="75"/>
      <c r="K615" s="27"/>
      <c r="L615" s="96"/>
      <c r="M615" s="27"/>
      <c r="N615" s="96"/>
      <c r="O615" s="75"/>
      <c r="P615" s="75"/>
      <c r="Q615" s="75"/>
      <c r="R615" s="75"/>
      <c r="S615" s="75"/>
      <c r="T615" s="75"/>
    </row>
    <row r="616" spans="1:20">
      <c r="A616" s="63"/>
      <c r="B616" s="75"/>
      <c r="C616" s="63"/>
      <c r="D616" s="75"/>
      <c r="E616" s="92"/>
      <c r="F616" s="92"/>
      <c r="G616" s="75"/>
      <c r="H616" s="75"/>
      <c r="I616" s="75"/>
      <c r="J616" s="75"/>
      <c r="K616" s="27"/>
      <c r="L616" s="96"/>
      <c r="M616" s="27"/>
      <c r="N616" s="96"/>
      <c r="O616" s="75"/>
      <c r="P616" s="75"/>
      <c r="Q616" s="75"/>
      <c r="R616" s="75"/>
      <c r="S616" s="75"/>
      <c r="T616" s="75"/>
    </row>
    <row r="617" spans="1:20">
      <c r="A617" s="63"/>
      <c r="B617" s="75"/>
      <c r="C617" s="63"/>
      <c r="D617" s="75"/>
      <c r="E617" s="92"/>
      <c r="F617" s="92"/>
      <c r="G617" s="75"/>
      <c r="H617" s="75"/>
      <c r="I617" s="75"/>
      <c r="J617" s="75"/>
      <c r="K617" s="27"/>
      <c r="L617" s="96"/>
      <c r="M617" s="27"/>
      <c r="N617" s="96"/>
      <c r="O617" s="75"/>
      <c r="P617" s="75"/>
      <c r="Q617" s="75"/>
      <c r="R617" s="75"/>
      <c r="S617" s="75"/>
      <c r="T617" s="75"/>
    </row>
    <row r="618" spans="1:20">
      <c r="A618" s="63"/>
      <c r="B618" s="75"/>
      <c r="C618" s="63"/>
      <c r="D618" s="75"/>
      <c r="E618" s="92"/>
      <c r="F618" s="92"/>
      <c r="G618" s="75"/>
      <c r="H618" s="75"/>
      <c r="I618" s="75"/>
      <c r="J618" s="75"/>
      <c r="K618" s="27"/>
      <c r="L618" s="96"/>
      <c r="M618" s="27"/>
      <c r="N618" s="96"/>
      <c r="O618" s="75"/>
      <c r="P618" s="75"/>
      <c r="Q618" s="75"/>
      <c r="R618" s="75"/>
      <c r="S618" s="75"/>
      <c r="T618" s="75"/>
    </row>
    <row r="619" spans="1:20">
      <c r="A619" s="63"/>
      <c r="B619" s="75"/>
      <c r="C619" s="63"/>
      <c r="D619" s="75"/>
      <c r="E619" s="92"/>
      <c r="F619" s="92"/>
      <c r="G619" s="75"/>
      <c r="H619" s="75"/>
      <c r="I619" s="75"/>
      <c r="J619" s="75"/>
      <c r="K619" s="27"/>
      <c r="L619" s="96"/>
      <c r="M619" s="27"/>
      <c r="N619" s="96"/>
      <c r="O619" s="75"/>
      <c r="P619" s="75"/>
      <c r="Q619" s="75"/>
      <c r="R619" s="75"/>
      <c r="S619" s="75"/>
      <c r="T619" s="75"/>
    </row>
    <row r="620" spans="1:20">
      <c r="A620" s="63"/>
      <c r="B620" s="75"/>
      <c r="C620" s="63"/>
      <c r="D620" s="75"/>
      <c r="E620" s="92"/>
      <c r="F620" s="92"/>
      <c r="G620" s="75"/>
      <c r="H620" s="75"/>
      <c r="I620" s="75"/>
      <c r="J620" s="75"/>
      <c r="K620" s="27"/>
      <c r="L620" s="96"/>
      <c r="M620" s="27"/>
      <c r="N620" s="96"/>
      <c r="O620" s="75"/>
      <c r="P620" s="75"/>
      <c r="Q620" s="75"/>
      <c r="R620" s="75"/>
      <c r="S620" s="75"/>
      <c r="T620" s="75"/>
    </row>
    <row r="621" spans="1:20">
      <c r="A621" s="63"/>
      <c r="B621" s="75"/>
      <c r="C621" s="63"/>
      <c r="D621" s="75"/>
      <c r="E621" s="92"/>
      <c r="F621" s="92"/>
      <c r="G621" s="75"/>
      <c r="H621" s="75"/>
      <c r="I621" s="75"/>
      <c r="J621" s="75"/>
      <c r="K621" s="27"/>
      <c r="L621" s="96"/>
      <c r="M621" s="27"/>
      <c r="N621" s="96"/>
      <c r="O621" s="75"/>
      <c r="P621" s="75"/>
      <c r="Q621" s="75"/>
      <c r="R621" s="75"/>
      <c r="S621" s="75"/>
      <c r="T621" s="75"/>
    </row>
    <row r="622" spans="1:20">
      <c r="A622" s="63"/>
      <c r="B622" s="75"/>
      <c r="C622" s="63"/>
      <c r="D622" s="75"/>
      <c r="E622" s="92"/>
      <c r="F622" s="92"/>
      <c r="G622" s="75"/>
      <c r="H622" s="75"/>
      <c r="I622" s="75"/>
      <c r="J622" s="75"/>
      <c r="K622" s="27"/>
      <c r="L622" s="96"/>
      <c r="M622" s="27"/>
      <c r="N622" s="96"/>
      <c r="O622" s="75"/>
      <c r="P622" s="75"/>
      <c r="Q622" s="75"/>
      <c r="R622" s="75"/>
      <c r="S622" s="75"/>
      <c r="T622" s="75"/>
    </row>
    <row r="623" spans="1:20">
      <c r="A623" s="63"/>
      <c r="B623" s="75"/>
      <c r="C623" s="63"/>
      <c r="D623" s="75"/>
      <c r="E623" s="92"/>
      <c r="F623" s="92"/>
      <c r="G623" s="75"/>
      <c r="H623" s="75"/>
      <c r="I623" s="75"/>
      <c r="J623" s="75"/>
      <c r="K623" s="27"/>
      <c r="L623" s="96"/>
      <c r="M623" s="27"/>
      <c r="N623" s="96"/>
      <c r="O623" s="75"/>
      <c r="P623" s="75"/>
      <c r="Q623" s="75"/>
      <c r="R623" s="75"/>
      <c r="S623" s="75"/>
      <c r="T623" s="75"/>
    </row>
    <row r="624" spans="1:20">
      <c r="A624" s="63"/>
      <c r="B624" s="75"/>
      <c r="C624" s="63"/>
      <c r="D624" s="75"/>
      <c r="E624" s="92"/>
      <c r="F624" s="92"/>
      <c r="G624" s="75"/>
      <c r="H624" s="75"/>
      <c r="I624" s="75"/>
      <c r="J624" s="75"/>
      <c r="K624" s="27"/>
      <c r="L624" s="96"/>
      <c r="M624" s="27"/>
      <c r="N624" s="96"/>
      <c r="O624" s="75"/>
      <c r="P624" s="75"/>
      <c r="Q624" s="75"/>
      <c r="R624" s="75"/>
      <c r="S624" s="75"/>
      <c r="T624" s="75"/>
    </row>
    <row r="625" spans="1:20">
      <c r="A625" s="63"/>
      <c r="B625" s="75"/>
      <c r="C625" s="63"/>
      <c r="D625" s="75"/>
      <c r="E625" s="92"/>
      <c r="F625" s="92"/>
      <c r="G625" s="75"/>
      <c r="H625" s="75"/>
      <c r="I625" s="75"/>
      <c r="J625" s="75"/>
      <c r="K625" s="27"/>
      <c r="L625" s="96"/>
      <c r="M625" s="27"/>
      <c r="N625" s="96"/>
      <c r="O625" s="75"/>
      <c r="P625" s="75"/>
      <c r="Q625" s="75"/>
      <c r="R625" s="75"/>
      <c r="S625" s="75"/>
      <c r="T625" s="75"/>
    </row>
    <row r="626" spans="1:20">
      <c r="A626" s="63"/>
      <c r="B626" s="75"/>
      <c r="C626" s="63"/>
      <c r="D626" s="75"/>
      <c r="E626" s="92"/>
      <c r="F626" s="92"/>
      <c r="G626" s="75"/>
      <c r="H626" s="75"/>
      <c r="I626" s="75"/>
      <c r="J626" s="75"/>
      <c r="K626" s="27"/>
      <c r="L626" s="96"/>
      <c r="M626" s="27"/>
      <c r="N626" s="96"/>
      <c r="O626" s="75"/>
      <c r="P626" s="75"/>
      <c r="Q626" s="75"/>
      <c r="R626" s="75"/>
      <c r="S626" s="75"/>
      <c r="T626" s="75"/>
    </row>
    <row r="627" spans="1:20">
      <c r="A627" s="63"/>
      <c r="B627" s="75"/>
      <c r="C627" s="63"/>
      <c r="D627" s="75"/>
      <c r="E627" s="92"/>
      <c r="F627" s="92"/>
      <c r="G627" s="75"/>
      <c r="H627" s="75"/>
      <c r="I627" s="75"/>
      <c r="J627" s="75"/>
      <c r="K627" s="27"/>
      <c r="L627" s="96"/>
      <c r="M627" s="27"/>
      <c r="N627" s="96"/>
      <c r="O627" s="75"/>
      <c r="P627" s="75"/>
      <c r="Q627" s="75"/>
      <c r="R627" s="75"/>
      <c r="S627" s="75"/>
      <c r="T627" s="75"/>
    </row>
    <row r="628" spans="1:20">
      <c r="A628" s="63"/>
      <c r="B628" s="75"/>
      <c r="C628" s="63"/>
      <c r="D628" s="75"/>
      <c r="E628" s="92"/>
      <c r="F628" s="92"/>
      <c r="G628" s="75"/>
      <c r="H628" s="75"/>
      <c r="I628" s="75"/>
      <c r="J628" s="75"/>
      <c r="K628" s="27"/>
      <c r="L628" s="96"/>
      <c r="M628" s="27"/>
      <c r="N628" s="96"/>
      <c r="O628" s="75"/>
      <c r="P628" s="75"/>
      <c r="Q628" s="75"/>
      <c r="R628" s="75"/>
      <c r="S628" s="75"/>
      <c r="T628" s="75"/>
    </row>
    <row r="629" spans="1:20">
      <c r="A629" s="63"/>
      <c r="B629" s="75"/>
      <c r="C629" s="63"/>
      <c r="D629" s="75"/>
      <c r="E629" s="92"/>
      <c r="F629" s="92"/>
      <c r="G629" s="75"/>
      <c r="H629" s="75"/>
      <c r="I629" s="75"/>
      <c r="J629" s="75"/>
      <c r="K629" s="27"/>
      <c r="L629" s="96"/>
      <c r="M629" s="27"/>
      <c r="N629" s="96"/>
      <c r="O629" s="75"/>
      <c r="P629" s="75"/>
      <c r="Q629" s="75"/>
      <c r="R629" s="75"/>
      <c r="S629" s="75"/>
      <c r="T629" s="75"/>
    </row>
    <row r="630" spans="1:20">
      <c r="A630" s="63"/>
      <c r="B630" s="75"/>
      <c r="C630" s="63"/>
      <c r="D630" s="75"/>
      <c r="E630" s="92"/>
      <c r="F630" s="92"/>
      <c r="G630" s="75"/>
      <c r="H630" s="75"/>
      <c r="I630" s="75"/>
      <c r="J630" s="75"/>
      <c r="K630" s="27"/>
      <c r="L630" s="96"/>
      <c r="M630" s="27"/>
      <c r="N630" s="96"/>
      <c r="O630" s="75"/>
      <c r="P630" s="75"/>
      <c r="Q630" s="75"/>
      <c r="R630" s="75"/>
      <c r="S630" s="75"/>
      <c r="T630" s="75"/>
    </row>
    <row r="631" spans="1:20">
      <c r="A631" s="63"/>
      <c r="B631" s="75"/>
      <c r="C631" s="63"/>
      <c r="D631" s="75"/>
      <c r="E631" s="92"/>
      <c r="F631" s="92"/>
      <c r="G631" s="75"/>
      <c r="H631" s="75"/>
      <c r="I631" s="75"/>
      <c r="J631" s="75"/>
      <c r="K631" s="27"/>
      <c r="L631" s="96"/>
      <c r="M631" s="27"/>
      <c r="N631" s="96"/>
      <c r="O631" s="75"/>
      <c r="P631" s="75"/>
      <c r="Q631" s="75"/>
      <c r="R631" s="75"/>
      <c r="S631" s="75"/>
      <c r="T631" s="75"/>
    </row>
    <row r="632" spans="1:20">
      <c r="A632" s="63"/>
      <c r="B632" s="75"/>
      <c r="C632" s="63"/>
      <c r="D632" s="75"/>
      <c r="E632" s="92"/>
      <c r="F632" s="92"/>
      <c r="G632" s="75"/>
      <c r="H632" s="75"/>
      <c r="I632" s="75"/>
      <c r="J632" s="75"/>
      <c r="K632" s="27"/>
      <c r="L632" s="96"/>
      <c r="M632" s="27"/>
      <c r="N632" s="96"/>
      <c r="O632" s="75"/>
      <c r="P632" s="75"/>
      <c r="Q632" s="75"/>
      <c r="R632" s="75"/>
      <c r="S632" s="75"/>
      <c r="T632" s="75"/>
    </row>
    <row r="633" spans="1:20">
      <c r="A633" s="63"/>
      <c r="B633" s="75"/>
      <c r="C633" s="63"/>
      <c r="D633" s="75"/>
      <c r="E633" s="92"/>
      <c r="F633" s="92"/>
      <c r="G633" s="75"/>
      <c r="H633" s="75"/>
      <c r="I633" s="75"/>
      <c r="J633" s="75"/>
      <c r="K633" s="27"/>
      <c r="L633" s="96"/>
      <c r="M633" s="27"/>
      <c r="N633" s="96"/>
      <c r="O633" s="75"/>
      <c r="P633" s="75"/>
      <c r="Q633" s="75"/>
      <c r="R633" s="75"/>
      <c r="S633" s="75"/>
      <c r="T633" s="75"/>
    </row>
    <row r="634" spans="1:20">
      <c r="A634" s="63"/>
      <c r="B634" s="75"/>
      <c r="C634" s="63"/>
      <c r="D634" s="75"/>
      <c r="E634" s="92"/>
      <c r="F634" s="92"/>
      <c r="G634" s="75"/>
      <c r="H634" s="75"/>
      <c r="I634" s="75"/>
      <c r="J634" s="75"/>
      <c r="K634" s="27"/>
      <c r="L634" s="96"/>
      <c r="M634" s="27"/>
      <c r="N634" s="96"/>
      <c r="O634" s="75"/>
      <c r="P634" s="75"/>
      <c r="Q634" s="75"/>
      <c r="R634" s="75"/>
      <c r="S634" s="75"/>
      <c r="T634" s="75"/>
    </row>
    <row r="635" spans="1:20">
      <c r="A635" s="63"/>
      <c r="B635" s="75"/>
      <c r="C635" s="63"/>
      <c r="D635" s="75"/>
      <c r="E635" s="92"/>
      <c r="F635" s="92"/>
      <c r="G635" s="75"/>
      <c r="H635" s="75"/>
      <c r="I635" s="75"/>
      <c r="J635" s="75"/>
      <c r="K635" s="27"/>
      <c r="L635" s="96"/>
      <c r="M635" s="27"/>
      <c r="N635" s="96"/>
      <c r="O635" s="75"/>
      <c r="P635" s="75"/>
      <c r="Q635" s="75"/>
      <c r="R635" s="75"/>
      <c r="S635" s="75"/>
      <c r="T635" s="75"/>
    </row>
    <row r="636" spans="1:20">
      <c r="A636" s="63"/>
      <c r="B636" s="75"/>
      <c r="C636" s="63"/>
      <c r="D636" s="75"/>
      <c r="E636" s="92"/>
      <c r="F636" s="92"/>
      <c r="G636" s="75"/>
      <c r="H636" s="75"/>
      <c r="I636" s="75"/>
      <c r="J636" s="75"/>
      <c r="K636" s="27"/>
      <c r="L636" s="96"/>
      <c r="M636" s="27"/>
      <c r="N636" s="96"/>
      <c r="O636" s="75"/>
      <c r="P636" s="75"/>
      <c r="Q636" s="75"/>
      <c r="R636" s="75"/>
      <c r="S636" s="75"/>
      <c r="T636" s="75"/>
    </row>
    <row r="637" spans="1:20">
      <c r="A637" s="63"/>
      <c r="B637" s="75"/>
      <c r="C637" s="63"/>
      <c r="D637" s="75"/>
      <c r="E637" s="92"/>
      <c r="F637" s="92"/>
      <c r="G637" s="75"/>
      <c r="H637" s="75"/>
      <c r="I637" s="75"/>
      <c r="J637" s="75"/>
      <c r="K637" s="27"/>
      <c r="L637" s="96"/>
      <c r="M637" s="27"/>
      <c r="N637" s="96"/>
      <c r="O637" s="75"/>
      <c r="P637" s="75"/>
      <c r="Q637" s="75"/>
      <c r="R637" s="75"/>
      <c r="S637" s="75"/>
      <c r="T637" s="75"/>
    </row>
    <row r="638" spans="1:20">
      <c r="A638" s="63"/>
      <c r="B638" s="75"/>
      <c r="C638" s="63"/>
      <c r="D638" s="75"/>
      <c r="E638" s="92"/>
      <c r="F638" s="92"/>
      <c r="G638" s="75"/>
      <c r="H638" s="75"/>
      <c r="I638" s="75"/>
      <c r="J638" s="75"/>
      <c r="K638" s="27"/>
      <c r="L638" s="96"/>
      <c r="M638" s="27"/>
      <c r="N638" s="96"/>
      <c r="O638" s="75"/>
      <c r="P638" s="75"/>
      <c r="Q638" s="75"/>
      <c r="R638" s="75"/>
      <c r="S638" s="75"/>
      <c r="T638" s="75"/>
    </row>
    <row r="639" spans="1:20">
      <c r="A639" s="63"/>
      <c r="B639" s="75"/>
      <c r="C639" s="63"/>
      <c r="D639" s="75"/>
      <c r="E639" s="92"/>
      <c r="F639" s="92"/>
      <c r="G639" s="75"/>
      <c r="H639" s="75"/>
      <c r="I639" s="75"/>
      <c r="J639" s="75"/>
      <c r="K639" s="27"/>
      <c r="L639" s="96"/>
      <c r="M639" s="27"/>
      <c r="N639" s="96"/>
      <c r="O639" s="75"/>
      <c r="P639" s="75"/>
      <c r="Q639" s="75"/>
      <c r="R639" s="75"/>
      <c r="S639" s="75"/>
      <c r="T639" s="75"/>
    </row>
    <row r="640" spans="1:20">
      <c r="A640" s="63"/>
      <c r="B640" s="75"/>
      <c r="C640" s="63"/>
      <c r="D640" s="75"/>
      <c r="E640" s="92"/>
      <c r="F640" s="92"/>
      <c r="G640" s="75"/>
      <c r="H640" s="75"/>
      <c r="I640" s="75"/>
      <c r="J640" s="75"/>
      <c r="K640" s="27"/>
      <c r="L640" s="96"/>
      <c r="M640" s="27"/>
      <c r="N640" s="96"/>
      <c r="O640" s="75"/>
      <c r="P640" s="75"/>
      <c r="Q640" s="75"/>
      <c r="R640" s="75"/>
      <c r="S640" s="75"/>
      <c r="T640" s="75"/>
    </row>
    <row r="641" spans="1:20">
      <c r="A641" s="63"/>
      <c r="B641" s="75"/>
      <c r="C641" s="63"/>
      <c r="D641" s="75"/>
      <c r="E641" s="92"/>
      <c r="F641" s="92"/>
      <c r="G641" s="75"/>
      <c r="H641" s="75"/>
      <c r="I641" s="75"/>
      <c r="J641" s="75"/>
      <c r="K641" s="27"/>
      <c r="L641" s="96"/>
      <c r="M641" s="27"/>
      <c r="N641" s="96"/>
      <c r="O641" s="75"/>
      <c r="P641" s="75"/>
      <c r="Q641" s="75"/>
      <c r="R641" s="75"/>
      <c r="S641" s="75"/>
      <c r="T641" s="75"/>
    </row>
    <row r="642" spans="1:20">
      <c r="A642" s="63"/>
      <c r="B642" s="75"/>
      <c r="C642" s="63"/>
      <c r="D642" s="75"/>
      <c r="E642" s="92"/>
      <c r="F642" s="92"/>
      <c r="G642" s="75"/>
      <c r="H642" s="75"/>
      <c r="I642" s="75"/>
      <c r="J642" s="75"/>
      <c r="K642" s="27"/>
      <c r="L642" s="96"/>
      <c r="M642" s="27"/>
      <c r="N642" s="96"/>
      <c r="O642" s="75"/>
      <c r="P642" s="75"/>
      <c r="Q642" s="75"/>
      <c r="R642" s="75"/>
      <c r="S642" s="75"/>
      <c r="T642" s="75"/>
    </row>
    <row r="643" spans="1:20">
      <c r="A643" s="63"/>
      <c r="B643" s="75"/>
      <c r="C643" s="63"/>
      <c r="D643" s="75"/>
      <c r="E643" s="92"/>
      <c r="F643" s="92"/>
      <c r="G643" s="75"/>
      <c r="H643" s="75"/>
      <c r="I643" s="75"/>
      <c r="J643" s="75"/>
      <c r="K643" s="27"/>
      <c r="L643" s="96"/>
      <c r="M643" s="27"/>
      <c r="N643" s="96"/>
      <c r="O643" s="75"/>
      <c r="P643" s="75"/>
      <c r="Q643" s="75"/>
      <c r="R643" s="75"/>
      <c r="S643" s="75"/>
      <c r="T643" s="75"/>
    </row>
    <row r="644" spans="1:20">
      <c r="A644" s="63"/>
      <c r="B644" s="75"/>
      <c r="C644" s="63"/>
      <c r="D644" s="75"/>
      <c r="E644" s="92"/>
      <c r="F644" s="92"/>
      <c r="G644" s="75"/>
      <c r="H644" s="75"/>
      <c r="I644" s="75"/>
      <c r="J644" s="75"/>
      <c r="K644" s="27"/>
      <c r="L644" s="96"/>
      <c r="M644" s="27"/>
      <c r="N644" s="96"/>
      <c r="O644" s="75"/>
      <c r="P644" s="75"/>
      <c r="Q644" s="75"/>
      <c r="R644" s="75"/>
      <c r="S644" s="75"/>
      <c r="T644" s="75"/>
    </row>
    <row r="645" spans="1:20">
      <c r="A645" s="63"/>
      <c r="B645" s="75"/>
      <c r="C645" s="63"/>
      <c r="D645" s="75"/>
      <c r="E645" s="92"/>
      <c r="F645" s="92"/>
      <c r="G645" s="75"/>
      <c r="H645" s="75"/>
      <c r="I645" s="75"/>
      <c r="J645" s="75"/>
      <c r="K645" s="27"/>
      <c r="L645" s="96"/>
      <c r="M645" s="27"/>
      <c r="N645" s="96"/>
      <c r="O645" s="75"/>
      <c r="P645" s="75"/>
      <c r="Q645" s="75"/>
      <c r="R645" s="75"/>
      <c r="S645" s="75"/>
      <c r="T645" s="75"/>
    </row>
    <row r="646" spans="1:20">
      <c r="A646" s="63"/>
      <c r="B646" s="75"/>
      <c r="C646" s="63"/>
      <c r="D646" s="75"/>
      <c r="E646" s="92"/>
      <c r="F646" s="92"/>
      <c r="G646" s="75"/>
      <c r="H646" s="75"/>
      <c r="I646" s="75"/>
      <c r="J646" s="75"/>
      <c r="K646" s="27"/>
      <c r="L646" s="96"/>
      <c r="M646" s="27"/>
      <c r="N646" s="96"/>
      <c r="O646" s="75"/>
      <c r="P646" s="75"/>
      <c r="Q646" s="75"/>
      <c r="R646" s="75"/>
      <c r="S646" s="75"/>
      <c r="T646" s="75"/>
    </row>
    <row r="647" spans="1:20">
      <c r="A647" s="63"/>
      <c r="B647" s="75"/>
      <c r="C647" s="63"/>
      <c r="D647" s="75"/>
      <c r="E647" s="92"/>
      <c r="F647" s="92"/>
      <c r="G647" s="75"/>
      <c r="H647" s="75"/>
      <c r="I647" s="75"/>
      <c r="J647" s="75"/>
      <c r="K647" s="27"/>
      <c r="L647" s="96"/>
      <c r="M647" s="27"/>
      <c r="N647" s="96"/>
      <c r="O647" s="75"/>
      <c r="P647" s="75"/>
      <c r="Q647" s="75"/>
      <c r="R647" s="75"/>
      <c r="S647" s="75"/>
      <c r="T647" s="75"/>
    </row>
    <row r="648" spans="1:20">
      <c r="A648" s="63"/>
      <c r="B648" s="75"/>
      <c r="C648" s="63"/>
      <c r="D648" s="75"/>
      <c r="E648" s="92"/>
      <c r="F648" s="92"/>
      <c r="G648" s="75"/>
      <c r="H648" s="75"/>
      <c r="I648" s="75"/>
      <c r="J648" s="75"/>
      <c r="K648" s="27"/>
      <c r="L648" s="96"/>
      <c r="M648" s="27"/>
      <c r="N648" s="96"/>
      <c r="O648" s="75"/>
      <c r="P648" s="75"/>
      <c r="Q648" s="75"/>
      <c r="R648" s="75"/>
      <c r="S648" s="75"/>
      <c r="T648" s="75"/>
    </row>
    <row r="649" spans="1:20">
      <c r="A649" s="63"/>
      <c r="B649" s="75"/>
      <c r="C649" s="63"/>
      <c r="D649" s="75"/>
      <c r="E649" s="92"/>
      <c r="F649" s="92"/>
      <c r="G649" s="75"/>
      <c r="H649" s="75"/>
      <c r="I649" s="75"/>
      <c r="J649" s="75"/>
      <c r="K649" s="27"/>
      <c r="L649" s="96"/>
      <c r="M649" s="27"/>
      <c r="N649" s="96"/>
      <c r="O649" s="75"/>
      <c r="P649" s="75"/>
      <c r="Q649" s="75"/>
      <c r="R649" s="75"/>
      <c r="S649" s="75"/>
      <c r="T649" s="75"/>
    </row>
    <row r="650" spans="1:20">
      <c r="A650" s="63"/>
      <c r="B650" s="75"/>
      <c r="C650" s="63"/>
      <c r="D650" s="75"/>
      <c r="E650" s="92"/>
      <c r="F650" s="92"/>
      <c r="G650" s="75"/>
      <c r="H650" s="75"/>
      <c r="I650" s="75"/>
      <c r="J650" s="75"/>
      <c r="K650" s="27"/>
      <c r="L650" s="96"/>
      <c r="M650" s="27"/>
      <c r="N650" s="96"/>
      <c r="O650" s="75"/>
      <c r="P650" s="75"/>
      <c r="Q650" s="75"/>
      <c r="R650" s="75"/>
      <c r="S650" s="75"/>
      <c r="T650" s="75"/>
    </row>
    <row r="651" spans="1:20">
      <c r="A651" s="63"/>
      <c r="B651" s="75"/>
      <c r="C651" s="63"/>
      <c r="D651" s="75"/>
      <c r="E651" s="92"/>
      <c r="F651" s="92"/>
      <c r="G651" s="75"/>
      <c r="H651" s="75"/>
      <c r="I651" s="75"/>
      <c r="J651" s="75"/>
      <c r="K651" s="27"/>
      <c r="L651" s="96"/>
      <c r="M651" s="27"/>
      <c r="N651" s="96"/>
      <c r="O651" s="75"/>
      <c r="P651" s="75"/>
      <c r="Q651" s="75"/>
      <c r="R651" s="75"/>
      <c r="S651" s="75"/>
      <c r="T651" s="75"/>
    </row>
    <row r="652" spans="1:20">
      <c r="A652" s="63"/>
      <c r="B652" s="75"/>
      <c r="C652" s="63"/>
      <c r="D652" s="75"/>
      <c r="E652" s="92"/>
      <c r="F652" s="92"/>
      <c r="G652" s="75"/>
      <c r="H652" s="75"/>
      <c r="I652" s="75"/>
      <c r="J652" s="75"/>
      <c r="K652" s="27"/>
      <c r="L652" s="96"/>
      <c r="M652" s="27"/>
      <c r="N652" s="96"/>
      <c r="O652" s="75"/>
      <c r="P652" s="75"/>
      <c r="Q652" s="75"/>
      <c r="R652" s="75"/>
      <c r="S652" s="75"/>
      <c r="T652" s="75"/>
    </row>
    <row r="653" spans="1:20">
      <c r="A653" s="63"/>
      <c r="B653" s="75"/>
      <c r="C653" s="63"/>
      <c r="D653" s="75"/>
      <c r="E653" s="92"/>
      <c r="F653" s="92"/>
      <c r="G653" s="75"/>
      <c r="H653" s="75"/>
      <c r="I653" s="75"/>
      <c r="J653" s="75"/>
      <c r="K653" s="27"/>
      <c r="L653" s="96"/>
      <c r="M653" s="27"/>
      <c r="N653" s="96"/>
      <c r="O653" s="75"/>
      <c r="P653" s="75"/>
      <c r="Q653" s="75"/>
      <c r="R653" s="75"/>
      <c r="S653" s="75"/>
      <c r="T653" s="75"/>
    </row>
    <row r="654" spans="1:20">
      <c r="A654" s="63"/>
      <c r="B654" s="75"/>
      <c r="C654" s="63"/>
      <c r="D654" s="75"/>
      <c r="E654" s="92"/>
      <c r="F654" s="92"/>
      <c r="G654" s="75"/>
      <c r="H654" s="75"/>
      <c r="I654" s="75"/>
      <c r="J654" s="75"/>
      <c r="K654" s="27"/>
      <c r="L654" s="96"/>
      <c r="M654" s="27"/>
      <c r="N654" s="96"/>
      <c r="O654" s="75"/>
      <c r="P654" s="75"/>
      <c r="Q654" s="75"/>
      <c r="R654" s="75"/>
      <c r="S654" s="75"/>
      <c r="T654" s="75"/>
    </row>
    <row r="655" spans="1:20">
      <c r="A655" s="63"/>
      <c r="B655" s="75"/>
      <c r="C655" s="63"/>
      <c r="D655" s="75"/>
      <c r="E655" s="92"/>
      <c r="F655" s="92"/>
      <c r="G655" s="75"/>
      <c r="H655" s="75"/>
      <c r="I655" s="75"/>
      <c r="J655" s="75"/>
      <c r="K655" s="27"/>
      <c r="L655" s="96"/>
      <c r="M655" s="27"/>
      <c r="N655" s="96"/>
      <c r="O655" s="75"/>
      <c r="P655" s="75"/>
      <c r="Q655" s="75"/>
      <c r="R655" s="75"/>
      <c r="S655" s="75"/>
      <c r="T655" s="75"/>
    </row>
    <row r="656" spans="1:20">
      <c r="A656" s="63"/>
      <c r="B656" s="75"/>
      <c r="C656" s="63"/>
      <c r="D656" s="75"/>
      <c r="E656" s="92"/>
      <c r="F656" s="92"/>
      <c r="G656" s="75"/>
      <c r="H656" s="75"/>
      <c r="I656" s="75"/>
      <c r="J656" s="75"/>
      <c r="K656" s="27"/>
      <c r="L656" s="96"/>
      <c r="M656" s="27"/>
      <c r="N656" s="96"/>
      <c r="O656" s="75"/>
      <c r="P656" s="75"/>
      <c r="Q656" s="75"/>
      <c r="R656" s="75"/>
      <c r="S656" s="75"/>
      <c r="T656" s="75"/>
    </row>
    <row r="657" spans="1:20">
      <c r="A657" s="63"/>
      <c r="B657" s="75"/>
      <c r="C657" s="63"/>
      <c r="D657" s="75"/>
      <c r="E657" s="92"/>
      <c r="F657" s="92"/>
      <c r="G657" s="75"/>
      <c r="H657" s="75"/>
      <c r="I657" s="75"/>
      <c r="J657" s="75"/>
      <c r="K657" s="27"/>
      <c r="L657" s="96"/>
      <c r="M657" s="27"/>
      <c r="N657" s="96"/>
      <c r="O657" s="75"/>
      <c r="P657" s="75"/>
      <c r="Q657" s="75"/>
      <c r="R657" s="75"/>
      <c r="S657" s="75"/>
      <c r="T657" s="75"/>
    </row>
    <row r="658" spans="1:20">
      <c r="A658" s="63"/>
      <c r="B658" s="75"/>
      <c r="C658" s="63"/>
      <c r="D658" s="75"/>
      <c r="E658" s="92"/>
      <c r="F658" s="92"/>
      <c r="G658" s="75"/>
      <c r="H658" s="75"/>
      <c r="I658" s="75"/>
      <c r="J658" s="75"/>
      <c r="K658" s="27"/>
      <c r="L658" s="96"/>
      <c r="M658" s="27"/>
      <c r="N658" s="96"/>
      <c r="O658" s="75"/>
      <c r="P658" s="75"/>
      <c r="Q658" s="75"/>
      <c r="R658" s="75"/>
      <c r="S658" s="75"/>
      <c r="T658" s="75"/>
    </row>
    <row r="659" spans="1:20">
      <c r="A659" s="63"/>
      <c r="B659" s="75"/>
      <c r="C659" s="63"/>
      <c r="D659" s="75"/>
      <c r="E659" s="92"/>
      <c r="F659" s="92"/>
      <c r="G659" s="75"/>
      <c r="H659" s="75"/>
      <c r="I659" s="75"/>
      <c r="J659" s="75"/>
      <c r="K659" s="27"/>
      <c r="L659" s="96"/>
      <c r="M659" s="27"/>
      <c r="N659" s="96"/>
      <c r="O659" s="75"/>
      <c r="P659" s="75"/>
      <c r="Q659" s="75"/>
      <c r="R659" s="75"/>
      <c r="S659" s="75"/>
      <c r="T659" s="75"/>
    </row>
    <row r="660" spans="1:20">
      <c r="A660" s="63"/>
      <c r="B660" s="75"/>
      <c r="C660" s="63"/>
      <c r="D660" s="75"/>
      <c r="E660" s="92"/>
      <c r="F660" s="92"/>
      <c r="G660" s="75"/>
      <c r="H660" s="75"/>
      <c r="I660" s="75"/>
      <c r="J660" s="75"/>
      <c r="K660" s="27"/>
      <c r="L660" s="96"/>
      <c r="M660" s="27"/>
      <c r="N660" s="96"/>
      <c r="O660" s="75"/>
      <c r="P660" s="75"/>
      <c r="Q660" s="75"/>
      <c r="R660" s="75"/>
      <c r="S660" s="75"/>
      <c r="T660" s="75"/>
    </row>
    <row r="661" spans="1:20">
      <c r="A661" s="63"/>
      <c r="B661" s="75"/>
      <c r="C661" s="63"/>
      <c r="D661" s="75"/>
      <c r="E661" s="92"/>
      <c r="F661" s="92"/>
      <c r="G661" s="75"/>
      <c r="H661" s="75"/>
      <c r="I661" s="75"/>
      <c r="J661" s="75"/>
      <c r="K661" s="27"/>
      <c r="L661" s="96"/>
      <c r="M661" s="27"/>
      <c r="N661" s="96"/>
      <c r="O661" s="75"/>
      <c r="P661" s="75"/>
      <c r="Q661" s="75"/>
      <c r="R661" s="75"/>
      <c r="S661" s="75"/>
      <c r="T661" s="75"/>
    </row>
    <row r="662" spans="1:20">
      <c r="A662" s="63"/>
      <c r="B662" s="75"/>
      <c r="C662" s="63"/>
      <c r="D662" s="75"/>
      <c r="E662" s="92"/>
      <c r="F662" s="92"/>
      <c r="G662" s="75"/>
      <c r="H662" s="75"/>
      <c r="I662" s="75"/>
      <c r="J662" s="75"/>
      <c r="K662" s="27"/>
      <c r="L662" s="96"/>
      <c r="M662" s="27"/>
      <c r="N662" s="96"/>
      <c r="O662" s="75"/>
      <c r="P662" s="75"/>
      <c r="Q662" s="75"/>
      <c r="R662" s="75"/>
      <c r="S662" s="75"/>
      <c r="T662" s="75"/>
    </row>
    <row r="663" spans="1:20">
      <c r="A663" s="63"/>
      <c r="B663" s="75"/>
      <c r="C663" s="63"/>
      <c r="D663" s="75"/>
      <c r="E663" s="92"/>
      <c r="F663" s="92"/>
      <c r="G663" s="75"/>
      <c r="H663" s="75"/>
      <c r="I663" s="75"/>
      <c r="J663" s="75"/>
      <c r="K663" s="27"/>
      <c r="L663" s="96"/>
      <c r="M663" s="27"/>
      <c r="N663" s="96"/>
      <c r="O663" s="75"/>
      <c r="P663" s="75"/>
      <c r="Q663" s="75"/>
      <c r="R663" s="75"/>
      <c r="S663" s="75"/>
      <c r="T663" s="75"/>
    </row>
    <row r="664" spans="1:20">
      <c r="A664" s="63"/>
      <c r="B664" s="75"/>
      <c r="C664" s="63"/>
      <c r="D664" s="75"/>
      <c r="E664" s="92"/>
      <c r="F664" s="92"/>
      <c r="G664" s="75"/>
      <c r="H664" s="75"/>
      <c r="I664" s="75"/>
      <c r="J664" s="75"/>
      <c r="K664" s="27"/>
      <c r="L664" s="96"/>
      <c r="M664" s="27"/>
      <c r="N664" s="96"/>
      <c r="O664" s="75"/>
      <c r="P664" s="75"/>
      <c r="Q664" s="75"/>
      <c r="R664" s="75"/>
      <c r="S664" s="75"/>
      <c r="T664" s="75"/>
    </row>
    <row r="665" spans="1:20">
      <c r="A665" s="63"/>
      <c r="B665" s="75"/>
      <c r="C665" s="63"/>
      <c r="D665" s="75"/>
      <c r="E665" s="92"/>
      <c r="F665" s="92"/>
      <c r="G665" s="75"/>
      <c r="H665" s="75"/>
      <c r="I665" s="75"/>
      <c r="J665" s="75"/>
      <c r="K665" s="27"/>
      <c r="L665" s="96"/>
      <c r="M665" s="27"/>
      <c r="N665" s="96"/>
      <c r="O665" s="75"/>
      <c r="P665" s="75"/>
      <c r="Q665" s="75"/>
      <c r="R665" s="75"/>
      <c r="S665" s="75"/>
      <c r="T665" s="75"/>
    </row>
    <row r="666" spans="1:20">
      <c r="A666" s="63"/>
      <c r="B666" s="75"/>
      <c r="C666" s="63"/>
      <c r="D666" s="75"/>
      <c r="E666" s="92"/>
      <c r="F666" s="92"/>
      <c r="G666" s="75"/>
      <c r="H666" s="75"/>
      <c r="I666" s="75"/>
      <c r="J666" s="75"/>
      <c r="K666" s="27"/>
      <c r="L666" s="96"/>
      <c r="M666" s="27"/>
      <c r="N666" s="96"/>
      <c r="O666" s="75"/>
      <c r="P666" s="75"/>
      <c r="Q666" s="75"/>
      <c r="R666" s="75"/>
      <c r="S666" s="75"/>
      <c r="T666" s="75"/>
    </row>
    <row r="667" spans="1:20">
      <c r="A667" s="63"/>
      <c r="B667" s="75"/>
      <c r="C667" s="63"/>
      <c r="D667" s="75"/>
      <c r="E667" s="92"/>
      <c r="F667" s="92"/>
      <c r="G667" s="75"/>
      <c r="H667" s="75"/>
      <c r="I667" s="75"/>
      <c r="J667" s="75"/>
      <c r="K667" s="27"/>
      <c r="L667" s="96"/>
      <c r="M667" s="27"/>
      <c r="N667" s="96"/>
      <c r="O667" s="75"/>
      <c r="P667" s="75"/>
      <c r="Q667" s="75"/>
      <c r="R667" s="75"/>
      <c r="S667" s="75"/>
      <c r="T667" s="75"/>
    </row>
    <row r="668" spans="1:20">
      <c r="A668" s="63"/>
      <c r="B668" s="75"/>
      <c r="C668" s="63"/>
      <c r="D668" s="75"/>
      <c r="E668" s="92"/>
      <c r="F668" s="92"/>
      <c r="G668" s="75"/>
      <c r="H668" s="75"/>
      <c r="I668" s="75"/>
      <c r="J668" s="75"/>
      <c r="K668" s="27"/>
      <c r="L668" s="96"/>
      <c r="M668" s="27"/>
      <c r="N668" s="96"/>
      <c r="O668" s="75"/>
      <c r="P668" s="75"/>
      <c r="Q668" s="75"/>
      <c r="R668" s="75"/>
      <c r="S668" s="75"/>
      <c r="T668" s="75"/>
    </row>
    <row r="669" spans="1:20">
      <c r="A669" s="63"/>
      <c r="B669" s="75"/>
      <c r="C669" s="63"/>
      <c r="D669" s="75"/>
      <c r="E669" s="92"/>
      <c r="F669" s="92"/>
      <c r="G669" s="75"/>
      <c r="H669" s="75"/>
      <c r="I669" s="75"/>
      <c r="J669" s="75"/>
      <c r="K669" s="27"/>
      <c r="L669" s="96"/>
      <c r="M669" s="27"/>
      <c r="N669" s="96"/>
      <c r="O669" s="75"/>
      <c r="P669" s="75"/>
      <c r="Q669" s="75"/>
      <c r="R669" s="75"/>
      <c r="S669" s="75"/>
      <c r="T669" s="75"/>
    </row>
    <row r="670" spans="1:20">
      <c r="A670" s="63"/>
      <c r="B670" s="75"/>
      <c r="C670" s="63"/>
      <c r="D670" s="75"/>
      <c r="E670" s="92"/>
      <c r="F670" s="92"/>
      <c r="G670" s="75"/>
      <c r="H670" s="75"/>
      <c r="I670" s="75"/>
      <c r="J670" s="75"/>
      <c r="K670" s="27"/>
      <c r="L670" s="96"/>
      <c r="M670" s="27"/>
      <c r="N670" s="96"/>
      <c r="O670" s="75"/>
      <c r="P670" s="75"/>
      <c r="Q670" s="75"/>
      <c r="R670" s="75"/>
      <c r="S670" s="75"/>
      <c r="T670" s="75"/>
    </row>
    <row r="671" spans="1:20">
      <c r="A671" s="63"/>
      <c r="B671" s="75"/>
      <c r="C671" s="63"/>
      <c r="D671" s="75"/>
      <c r="E671" s="92"/>
      <c r="F671" s="92"/>
      <c r="G671" s="75"/>
      <c r="H671" s="75"/>
      <c r="I671" s="75"/>
      <c r="J671" s="75"/>
      <c r="K671" s="27"/>
      <c r="L671" s="96"/>
      <c r="M671" s="27"/>
      <c r="N671" s="96"/>
      <c r="O671" s="75"/>
      <c r="P671" s="75"/>
      <c r="Q671" s="75"/>
      <c r="R671" s="75"/>
      <c r="S671" s="75"/>
      <c r="T671" s="75"/>
    </row>
    <row r="672" spans="1:20">
      <c r="A672" s="63"/>
      <c r="B672" s="75"/>
      <c r="C672" s="63"/>
      <c r="D672" s="75"/>
      <c r="E672" s="92"/>
      <c r="F672" s="92"/>
      <c r="G672" s="75"/>
      <c r="H672" s="75"/>
      <c r="I672" s="75"/>
      <c r="J672" s="75"/>
      <c r="K672" s="27"/>
      <c r="L672" s="96"/>
      <c r="M672" s="27"/>
      <c r="N672" s="96"/>
      <c r="O672" s="75"/>
      <c r="P672" s="75"/>
      <c r="Q672" s="75"/>
      <c r="R672" s="75"/>
      <c r="S672" s="75"/>
      <c r="T672" s="75"/>
    </row>
    <row r="673" spans="1:20">
      <c r="A673" s="63"/>
      <c r="B673" s="75"/>
      <c r="C673" s="63"/>
      <c r="D673" s="75"/>
      <c r="E673" s="92"/>
      <c r="F673" s="92"/>
      <c r="G673" s="75"/>
      <c r="H673" s="75"/>
      <c r="I673" s="75"/>
      <c r="J673" s="75"/>
      <c r="K673" s="27"/>
      <c r="L673" s="96"/>
      <c r="M673" s="27"/>
      <c r="N673" s="96"/>
      <c r="O673" s="75"/>
      <c r="P673" s="75"/>
      <c r="Q673" s="75"/>
      <c r="R673" s="75"/>
      <c r="S673" s="75"/>
      <c r="T673" s="75"/>
    </row>
    <row r="674" spans="1:20">
      <c r="A674" s="63"/>
      <c r="B674" s="75"/>
      <c r="C674" s="63"/>
      <c r="D674" s="75"/>
      <c r="E674" s="92"/>
      <c r="F674" s="92"/>
      <c r="G674" s="75"/>
      <c r="H674" s="75"/>
      <c r="I674" s="75"/>
      <c r="J674" s="75"/>
      <c r="K674" s="27"/>
      <c r="L674" s="96"/>
      <c r="M674" s="27"/>
      <c r="N674" s="96"/>
      <c r="O674" s="75"/>
      <c r="P674" s="75"/>
      <c r="Q674" s="75"/>
      <c r="R674" s="75"/>
      <c r="S674" s="75"/>
      <c r="T674" s="75"/>
    </row>
    <row r="675" spans="1:20">
      <c r="A675" s="63"/>
      <c r="B675" s="75"/>
      <c r="C675" s="63"/>
      <c r="D675" s="75"/>
      <c r="E675" s="92"/>
      <c r="F675" s="92"/>
      <c r="G675" s="75"/>
      <c r="H675" s="75"/>
      <c r="I675" s="75"/>
      <c r="J675" s="75"/>
      <c r="K675" s="27"/>
      <c r="L675" s="96"/>
      <c r="M675" s="27"/>
      <c r="N675" s="96"/>
      <c r="O675" s="75"/>
      <c r="P675" s="75"/>
      <c r="Q675" s="75"/>
      <c r="R675" s="75"/>
      <c r="S675" s="75"/>
      <c r="T675" s="75"/>
    </row>
    <row r="676" spans="1:20">
      <c r="A676" s="63"/>
      <c r="B676" s="75"/>
      <c r="C676" s="63"/>
      <c r="D676" s="75"/>
      <c r="E676" s="92"/>
      <c r="F676" s="92"/>
      <c r="G676" s="75"/>
      <c r="H676" s="75"/>
      <c r="I676" s="75"/>
      <c r="J676" s="75"/>
      <c r="K676" s="27"/>
      <c r="L676" s="96"/>
      <c r="M676" s="27"/>
      <c r="N676" s="96"/>
      <c r="O676" s="75"/>
      <c r="P676" s="75"/>
      <c r="Q676" s="75"/>
      <c r="R676" s="75"/>
      <c r="S676" s="75"/>
      <c r="T676" s="75"/>
    </row>
    <row r="677" spans="1:20">
      <c r="A677" s="63"/>
      <c r="B677" s="75"/>
      <c r="C677" s="63"/>
      <c r="D677" s="75"/>
      <c r="E677" s="92"/>
      <c r="F677" s="92"/>
      <c r="G677" s="75"/>
      <c r="H677" s="75"/>
      <c r="I677" s="75"/>
      <c r="J677" s="75"/>
      <c r="K677" s="27"/>
      <c r="L677" s="96"/>
      <c r="M677" s="27"/>
      <c r="N677" s="96"/>
      <c r="O677" s="75"/>
      <c r="P677" s="75"/>
      <c r="Q677" s="75"/>
      <c r="R677" s="75"/>
      <c r="S677" s="75"/>
      <c r="T677" s="75"/>
    </row>
    <row r="678" spans="1:20">
      <c r="A678" s="63"/>
      <c r="B678" s="75"/>
      <c r="C678" s="63"/>
      <c r="D678" s="75"/>
      <c r="E678" s="92"/>
      <c r="F678" s="92"/>
      <c r="G678" s="75"/>
      <c r="H678" s="75"/>
      <c r="I678" s="75"/>
      <c r="J678" s="75"/>
      <c r="K678" s="27"/>
      <c r="L678" s="96"/>
      <c r="M678" s="27"/>
      <c r="N678" s="96"/>
      <c r="O678" s="75"/>
      <c r="P678" s="75"/>
      <c r="Q678" s="75"/>
      <c r="R678" s="75"/>
      <c r="S678" s="75"/>
      <c r="T678" s="75"/>
    </row>
    <row r="679" spans="1:20">
      <c r="A679" s="63"/>
      <c r="B679" s="75"/>
      <c r="C679" s="63"/>
      <c r="D679" s="75"/>
      <c r="E679" s="92"/>
      <c r="F679" s="92"/>
      <c r="G679" s="75"/>
      <c r="H679" s="75"/>
      <c r="I679" s="75"/>
      <c r="J679" s="75"/>
      <c r="K679" s="27"/>
      <c r="L679" s="96"/>
      <c r="M679" s="27"/>
      <c r="N679" s="96"/>
      <c r="O679" s="75"/>
      <c r="P679" s="75"/>
      <c r="Q679" s="75"/>
      <c r="R679" s="75"/>
      <c r="S679" s="75"/>
      <c r="T679" s="75"/>
    </row>
    <row r="680" spans="1:20">
      <c r="A680" s="63"/>
      <c r="B680" s="75"/>
      <c r="C680" s="63"/>
      <c r="D680" s="75"/>
      <c r="E680" s="92"/>
      <c r="F680" s="92"/>
      <c r="G680" s="75"/>
      <c r="H680" s="75"/>
      <c r="I680" s="75"/>
      <c r="J680" s="75"/>
      <c r="K680" s="27"/>
      <c r="L680" s="96"/>
      <c r="M680" s="27"/>
      <c r="N680" s="96"/>
      <c r="O680" s="75"/>
      <c r="P680" s="75"/>
      <c r="Q680" s="75"/>
      <c r="R680" s="75"/>
      <c r="S680" s="75"/>
      <c r="T680" s="75"/>
    </row>
    <row r="681" spans="1:20">
      <c r="A681" s="63"/>
      <c r="B681" s="75"/>
      <c r="C681" s="63"/>
      <c r="D681" s="75"/>
      <c r="E681" s="92"/>
      <c r="F681" s="92"/>
      <c r="G681" s="75"/>
      <c r="H681" s="75"/>
      <c r="I681" s="75"/>
      <c r="J681" s="75"/>
      <c r="K681" s="27"/>
      <c r="L681" s="96"/>
      <c r="M681" s="27"/>
      <c r="N681" s="96"/>
      <c r="O681" s="75"/>
      <c r="P681" s="75"/>
      <c r="Q681" s="75"/>
      <c r="R681" s="75"/>
      <c r="S681" s="75"/>
      <c r="T681" s="75"/>
    </row>
    <row r="682" spans="1:20">
      <c r="A682" s="63"/>
      <c r="B682" s="75"/>
      <c r="C682" s="63"/>
      <c r="D682" s="75"/>
      <c r="E682" s="92"/>
      <c r="F682" s="92"/>
      <c r="G682" s="75"/>
      <c r="H682" s="75"/>
      <c r="I682" s="75"/>
      <c r="J682" s="75"/>
      <c r="K682" s="27"/>
      <c r="L682" s="96"/>
      <c r="M682" s="27"/>
      <c r="N682" s="96"/>
      <c r="O682" s="75"/>
      <c r="P682" s="75"/>
      <c r="Q682" s="75"/>
      <c r="R682" s="75"/>
      <c r="S682" s="75"/>
      <c r="T682" s="75"/>
    </row>
    <row r="683" spans="1:20">
      <c r="A683" s="63"/>
      <c r="B683" s="75"/>
      <c r="C683" s="63"/>
      <c r="D683" s="75"/>
      <c r="E683" s="92"/>
      <c r="F683" s="92"/>
      <c r="G683" s="75"/>
      <c r="H683" s="75"/>
      <c r="I683" s="75"/>
      <c r="J683" s="75"/>
      <c r="K683" s="27"/>
      <c r="L683" s="96"/>
      <c r="M683" s="27"/>
      <c r="N683" s="96"/>
      <c r="O683" s="75"/>
      <c r="P683" s="75"/>
      <c r="Q683" s="75"/>
      <c r="R683" s="75"/>
      <c r="S683" s="75"/>
      <c r="T683" s="75"/>
    </row>
    <row r="684" spans="1:20">
      <c r="A684" s="63"/>
      <c r="B684" s="75"/>
      <c r="C684" s="63"/>
      <c r="D684" s="75"/>
      <c r="E684" s="92"/>
      <c r="F684" s="92"/>
      <c r="G684" s="75"/>
      <c r="H684" s="75"/>
      <c r="I684" s="75"/>
      <c r="J684" s="75"/>
      <c r="K684" s="27"/>
      <c r="L684" s="96"/>
      <c r="M684" s="27"/>
      <c r="N684" s="96"/>
      <c r="O684" s="75"/>
      <c r="P684" s="75"/>
      <c r="Q684" s="75"/>
      <c r="R684" s="75"/>
      <c r="S684" s="75"/>
      <c r="T684" s="75"/>
    </row>
    <row r="685" spans="1:20">
      <c r="A685" s="63"/>
      <c r="B685" s="75"/>
      <c r="C685" s="63"/>
      <c r="D685" s="75"/>
      <c r="E685" s="92"/>
      <c r="F685" s="92"/>
      <c r="G685" s="75"/>
      <c r="H685" s="75"/>
      <c r="I685" s="75"/>
      <c r="J685" s="75"/>
      <c r="K685" s="27"/>
      <c r="L685" s="96"/>
      <c r="M685" s="27"/>
      <c r="N685" s="96"/>
      <c r="O685" s="75"/>
      <c r="P685" s="75"/>
      <c r="Q685" s="75"/>
      <c r="R685" s="75"/>
      <c r="S685" s="75"/>
      <c r="T685" s="75"/>
    </row>
    <row r="686" spans="1:20">
      <c r="A686" s="63"/>
      <c r="B686" s="75"/>
      <c r="C686" s="63"/>
      <c r="D686" s="75"/>
      <c r="E686" s="92"/>
      <c r="F686" s="92"/>
      <c r="G686" s="75"/>
      <c r="H686" s="75"/>
      <c r="I686" s="75"/>
      <c r="J686" s="75"/>
      <c r="K686" s="27"/>
      <c r="L686" s="96"/>
      <c r="M686" s="27"/>
      <c r="N686" s="96"/>
      <c r="O686" s="75"/>
      <c r="P686" s="75"/>
      <c r="Q686" s="75"/>
      <c r="R686" s="75"/>
      <c r="S686" s="75"/>
      <c r="T686" s="75"/>
    </row>
    <row r="687" spans="1:20">
      <c r="A687" s="63"/>
      <c r="B687" s="75"/>
      <c r="C687" s="63"/>
      <c r="D687" s="75"/>
      <c r="E687" s="92"/>
      <c r="F687" s="92"/>
      <c r="G687" s="75"/>
      <c r="H687" s="75"/>
      <c r="I687" s="75"/>
      <c r="J687" s="75"/>
      <c r="K687" s="27"/>
      <c r="L687" s="96"/>
      <c r="M687" s="27"/>
      <c r="N687" s="96"/>
      <c r="O687" s="75"/>
      <c r="P687" s="75"/>
      <c r="Q687" s="75"/>
      <c r="R687" s="75"/>
      <c r="S687" s="75"/>
      <c r="T687" s="75"/>
    </row>
    <row r="688" spans="1:20">
      <c r="A688" s="63"/>
      <c r="B688" s="75"/>
      <c r="C688" s="63"/>
      <c r="D688" s="75"/>
      <c r="E688" s="92"/>
      <c r="F688" s="92"/>
      <c r="G688" s="75"/>
      <c r="H688" s="75"/>
      <c r="I688" s="75"/>
      <c r="J688" s="75"/>
      <c r="K688" s="27"/>
      <c r="L688" s="96"/>
      <c r="M688" s="27"/>
      <c r="N688" s="96"/>
      <c r="O688" s="75"/>
      <c r="P688" s="75"/>
      <c r="Q688" s="75"/>
      <c r="R688" s="75"/>
      <c r="S688" s="75"/>
      <c r="T688" s="75"/>
    </row>
    <row r="689" spans="1:20">
      <c r="A689" s="63"/>
      <c r="B689" s="75"/>
      <c r="C689" s="63"/>
      <c r="D689" s="75"/>
      <c r="E689" s="92"/>
      <c r="F689" s="92"/>
      <c r="G689" s="75"/>
      <c r="H689" s="75"/>
      <c r="I689" s="75"/>
      <c r="J689" s="75"/>
      <c r="K689" s="27"/>
      <c r="L689" s="96"/>
      <c r="M689" s="27"/>
      <c r="N689" s="96"/>
      <c r="O689" s="75"/>
      <c r="P689" s="75"/>
      <c r="Q689" s="75"/>
      <c r="R689" s="75"/>
      <c r="S689" s="75"/>
      <c r="T689" s="75"/>
    </row>
    <row r="690" spans="1:20">
      <c r="A690" s="63"/>
      <c r="B690" s="75"/>
      <c r="C690" s="63"/>
      <c r="D690" s="75"/>
      <c r="E690" s="92"/>
      <c r="F690" s="92"/>
      <c r="G690" s="75"/>
      <c r="H690" s="75"/>
      <c r="I690" s="75"/>
      <c r="J690" s="75"/>
      <c r="K690" s="27"/>
      <c r="L690" s="96"/>
      <c r="M690" s="27"/>
      <c r="N690" s="96"/>
      <c r="O690" s="75"/>
      <c r="P690" s="75"/>
      <c r="Q690" s="75"/>
      <c r="R690" s="75"/>
      <c r="S690" s="75"/>
      <c r="T690" s="75"/>
    </row>
    <row r="691" spans="1:20">
      <c r="A691" s="63"/>
      <c r="B691" s="75"/>
      <c r="C691" s="63"/>
      <c r="D691" s="75"/>
      <c r="E691" s="92"/>
      <c r="F691" s="92"/>
      <c r="G691" s="75"/>
      <c r="H691" s="75"/>
      <c r="I691" s="75"/>
      <c r="J691" s="75"/>
      <c r="K691" s="27"/>
      <c r="L691" s="96"/>
      <c r="M691" s="27"/>
      <c r="N691" s="96"/>
      <c r="O691" s="75"/>
      <c r="P691" s="75"/>
      <c r="Q691" s="75"/>
      <c r="R691" s="75"/>
      <c r="S691" s="75"/>
      <c r="T691" s="75"/>
    </row>
    <row r="692" spans="1:20">
      <c r="A692" s="63"/>
      <c r="B692" s="75"/>
      <c r="C692" s="63"/>
      <c r="D692" s="75"/>
      <c r="E692" s="92"/>
      <c r="F692" s="92"/>
      <c r="G692" s="75"/>
      <c r="H692" s="75"/>
      <c r="I692" s="75"/>
      <c r="J692" s="75"/>
      <c r="K692" s="27"/>
      <c r="L692" s="96"/>
      <c r="M692" s="27"/>
      <c r="N692" s="96"/>
      <c r="O692" s="75"/>
      <c r="P692" s="75"/>
      <c r="Q692" s="75"/>
      <c r="R692" s="75"/>
      <c r="S692" s="75"/>
      <c r="T692" s="75"/>
    </row>
    <row r="693" spans="1:20">
      <c r="A693" s="63"/>
      <c r="B693" s="75"/>
      <c r="C693" s="63"/>
      <c r="D693" s="75"/>
      <c r="E693" s="92"/>
      <c r="F693" s="92"/>
      <c r="G693" s="75"/>
      <c r="H693" s="75"/>
      <c r="I693" s="75"/>
      <c r="J693" s="75"/>
      <c r="K693" s="27"/>
      <c r="L693" s="96"/>
      <c r="M693" s="27"/>
      <c r="N693" s="96"/>
      <c r="O693" s="75"/>
      <c r="P693" s="75"/>
      <c r="Q693" s="75"/>
      <c r="R693" s="75"/>
      <c r="S693" s="75"/>
      <c r="T693" s="75"/>
    </row>
    <row r="694" spans="1:20">
      <c r="A694" s="63"/>
      <c r="B694" s="75"/>
      <c r="C694" s="63"/>
      <c r="D694" s="75"/>
      <c r="E694" s="92"/>
      <c r="F694" s="92"/>
      <c r="G694" s="75"/>
      <c r="H694" s="75"/>
      <c r="I694" s="75"/>
      <c r="J694" s="75"/>
      <c r="K694" s="27"/>
      <c r="L694" s="96"/>
      <c r="M694" s="27"/>
      <c r="N694" s="96"/>
      <c r="O694" s="75"/>
      <c r="P694" s="75"/>
      <c r="Q694" s="75"/>
      <c r="R694" s="75"/>
      <c r="S694" s="75"/>
      <c r="T694" s="75"/>
    </row>
    <row r="695" spans="1:20">
      <c r="A695" s="63"/>
      <c r="B695" s="75"/>
      <c r="C695" s="63"/>
      <c r="D695" s="75"/>
      <c r="E695" s="92"/>
      <c r="F695" s="92"/>
      <c r="G695" s="75"/>
      <c r="H695" s="75"/>
      <c r="I695" s="75"/>
      <c r="J695" s="75"/>
      <c r="K695" s="27"/>
      <c r="L695" s="96"/>
      <c r="M695" s="27"/>
      <c r="N695" s="96"/>
      <c r="O695" s="75"/>
      <c r="P695" s="75"/>
      <c r="Q695" s="75"/>
      <c r="R695" s="75"/>
      <c r="S695" s="75"/>
      <c r="T695" s="75"/>
    </row>
    <row r="696" spans="1:20">
      <c r="A696" s="63"/>
      <c r="B696" s="75"/>
      <c r="C696" s="63"/>
      <c r="D696" s="75"/>
      <c r="E696" s="92"/>
      <c r="F696" s="92"/>
      <c r="G696" s="75"/>
      <c r="H696" s="75"/>
      <c r="I696" s="75"/>
      <c r="J696" s="75"/>
      <c r="K696" s="27"/>
      <c r="L696" s="96"/>
      <c r="M696" s="27"/>
      <c r="N696" s="96"/>
      <c r="O696" s="75"/>
      <c r="P696" s="75"/>
      <c r="Q696" s="75"/>
      <c r="R696" s="75"/>
      <c r="S696" s="75"/>
      <c r="T696" s="75"/>
    </row>
    <row r="697" spans="1:20">
      <c r="A697" s="63"/>
      <c r="B697" s="75"/>
      <c r="C697" s="63"/>
      <c r="D697" s="75"/>
      <c r="E697" s="92"/>
      <c r="F697" s="92"/>
      <c r="G697" s="75"/>
      <c r="H697" s="75"/>
      <c r="I697" s="75"/>
      <c r="J697" s="75"/>
      <c r="K697" s="27"/>
      <c r="L697" s="96"/>
      <c r="M697" s="27"/>
      <c r="N697" s="96"/>
      <c r="O697" s="75"/>
      <c r="P697" s="75"/>
      <c r="Q697" s="75"/>
      <c r="R697" s="75"/>
      <c r="S697" s="75"/>
      <c r="T697" s="75"/>
    </row>
    <row r="698" spans="1:20">
      <c r="A698" s="63"/>
      <c r="B698" s="75"/>
      <c r="C698" s="63"/>
      <c r="D698" s="75"/>
      <c r="E698" s="92"/>
      <c r="F698" s="92"/>
      <c r="G698" s="75"/>
      <c r="H698" s="75"/>
      <c r="I698" s="75"/>
      <c r="J698" s="75"/>
      <c r="K698" s="27"/>
      <c r="L698" s="96"/>
      <c r="M698" s="27"/>
      <c r="N698" s="96"/>
      <c r="O698" s="75"/>
      <c r="P698" s="75"/>
      <c r="Q698" s="75"/>
      <c r="R698" s="75"/>
      <c r="S698" s="75"/>
      <c r="T698" s="75"/>
    </row>
    <row r="699" spans="1:20">
      <c r="A699" s="63"/>
      <c r="B699" s="75"/>
      <c r="C699" s="63"/>
      <c r="D699" s="75"/>
      <c r="E699" s="92"/>
      <c r="F699" s="92"/>
      <c r="G699" s="75"/>
      <c r="H699" s="75"/>
      <c r="I699" s="75"/>
      <c r="J699" s="75"/>
      <c r="K699" s="27"/>
      <c r="L699" s="96"/>
      <c r="M699" s="27"/>
      <c r="N699" s="96"/>
      <c r="O699" s="75"/>
      <c r="P699" s="75"/>
      <c r="Q699" s="75"/>
      <c r="R699" s="75"/>
      <c r="S699" s="75"/>
      <c r="T699" s="75"/>
    </row>
    <row r="700" spans="1:20">
      <c r="A700" s="63"/>
      <c r="B700" s="75"/>
      <c r="C700" s="63"/>
      <c r="D700" s="75"/>
      <c r="E700" s="92"/>
      <c r="F700" s="92"/>
      <c r="G700" s="75"/>
      <c r="H700" s="75"/>
      <c r="I700" s="75"/>
      <c r="J700" s="75"/>
      <c r="K700" s="27"/>
      <c r="L700" s="96"/>
      <c r="M700" s="27"/>
      <c r="N700" s="96"/>
      <c r="O700" s="75"/>
      <c r="P700" s="75"/>
      <c r="Q700" s="75"/>
      <c r="R700" s="75"/>
      <c r="S700" s="75"/>
      <c r="T700" s="75"/>
    </row>
    <row r="701" spans="1:20">
      <c r="A701" s="63"/>
      <c r="B701" s="75"/>
      <c r="C701" s="63"/>
      <c r="D701" s="75"/>
      <c r="E701" s="92"/>
      <c r="F701" s="92"/>
      <c r="G701" s="75"/>
      <c r="H701" s="75"/>
      <c r="I701" s="75"/>
      <c r="J701" s="75"/>
      <c r="K701" s="27"/>
      <c r="L701" s="96"/>
      <c r="M701" s="27"/>
      <c r="N701" s="96"/>
      <c r="O701" s="75"/>
      <c r="P701" s="75"/>
      <c r="Q701" s="75"/>
      <c r="R701" s="75"/>
      <c r="S701" s="75"/>
      <c r="T701" s="75"/>
    </row>
    <row r="702" spans="1:20">
      <c r="A702" s="63"/>
      <c r="B702" s="75"/>
      <c r="C702" s="63"/>
      <c r="D702" s="75"/>
      <c r="E702" s="92"/>
      <c r="F702" s="92"/>
      <c r="G702" s="75"/>
      <c r="H702" s="75"/>
      <c r="I702" s="75"/>
      <c r="J702" s="75"/>
      <c r="K702" s="27"/>
      <c r="L702" s="96"/>
      <c r="M702" s="27"/>
      <c r="N702" s="96"/>
      <c r="O702" s="75"/>
      <c r="P702" s="75"/>
      <c r="Q702" s="75"/>
      <c r="R702" s="75"/>
      <c r="S702" s="75"/>
      <c r="T702" s="75"/>
    </row>
    <row r="703" spans="1:20">
      <c r="A703" s="63"/>
      <c r="B703" s="75"/>
      <c r="C703" s="63"/>
      <c r="D703" s="75"/>
      <c r="E703" s="92"/>
      <c r="F703" s="92"/>
      <c r="G703" s="75"/>
      <c r="H703" s="75"/>
      <c r="I703" s="75"/>
      <c r="J703" s="75"/>
      <c r="K703" s="27"/>
      <c r="L703" s="96"/>
      <c r="M703" s="27"/>
      <c r="N703" s="96"/>
      <c r="O703" s="75"/>
      <c r="P703" s="75"/>
      <c r="Q703" s="75"/>
      <c r="R703" s="75"/>
      <c r="S703" s="75"/>
      <c r="T703" s="75"/>
    </row>
    <row r="704" spans="1:20">
      <c r="A704" s="63"/>
      <c r="B704" s="75"/>
      <c r="C704" s="63"/>
      <c r="D704" s="75"/>
      <c r="E704" s="92"/>
      <c r="F704" s="92"/>
      <c r="G704" s="75"/>
      <c r="H704" s="75"/>
      <c r="I704" s="75"/>
      <c r="J704" s="75"/>
      <c r="K704" s="27"/>
      <c r="L704" s="96"/>
      <c r="M704" s="27"/>
      <c r="N704" s="96"/>
      <c r="O704" s="75"/>
      <c r="P704" s="75"/>
      <c r="Q704" s="75"/>
      <c r="R704" s="75"/>
      <c r="S704" s="75"/>
      <c r="T704" s="75"/>
    </row>
    <row r="705" spans="1:20">
      <c r="A705" s="63"/>
      <c r="B705" s="75"/>
      <c r="C705" s="63"/>
      <c r="D705" s="75"/>
      <c r="E705" s="92"/>
      <c r="F705" s="92"/>
      <c r="G705" s="75"/>
      <c r="H705" s="75"/>
      <c r="I705" s="75"/>
      <c r="J705" s="75"/>
      <c r="K705" s="27"/>
      <c r="L705" s="96"/>
      <c r="M705" s="27"/>
      <c r="N705" s="96"/>
      <c r="O705" s="75"/>
      <c r="P705" s="75"/>
      <c r="Q705" s="75"/>
      <c r="R705" s="75"/>
      <c r="S705" s="75"/>
      <c r="T705" s="75"/>
    </row>
    <row r="706" spans="1:20">
      <c r="A706" s="63"/>
      <c r="B706" s="75"/>
      <c r="C706" s="63"/>
      <c r="D706" s="75"/>
      <c r="E706" s="92"/>
      <c r="F706" s="92"/>
      <c r="G706" s="75"/>
      <c r="H706" s="75"/>
      <c r="I706" s="75"/>
      <c r="J706" s="75"/>
      <c r="K706" s="27"/>
      <c r="L706" s="96"/>
      <c r="M706" s="27"/>
      <c r="N706" s="96"/>
      <c r="O706" s="75"/>
      <c r="P706" s="75"/>
      <c r="Q706" s="75"/>
      <c r="R706" s="75"/>
      <c r="S706" s="75"/>
      <c r="T706" s="75"/>
    </row>
    <row r="707" spans="1:20">
      <c r="A707" s="63"/>
      <c r="B707" s="75"/>
      <c r="C707" s="63"/>
      <c r="D707" s="75"/>
      <c r="E707" s="92"/>
      <c r="F707" s="92"/>
      <c r="G707" s="75"/>
      <c r="H707" s="75"/>
      <c r="I707" s="75"/>
      <c r="J707" s="75"/>
      <c r="K707" s="27"/>
      <c r="L707" s="96"/>
      <c r="M707" s="27"/>
      <c r="N707" s="96"/>
      <c r="O707" s="75"/>
      <c r="P707" s="75"/>
      <c r="Q707" s="75"/>
      <c r="R707" s="75"/>
      <c r="S707" s="75"/>
      <c r="T707" s="75"/>
    </row>
    <row r="708" spans="1:20">
      <c r="A708" s="63"/>
      <c r="B708" s="75"/>
      <c r="C708" s="63"/>
      <c r="D708" s="75"/>
      <c r="E708" s="92"/>
      <c r="F708" s="92"/>
      <c r="G708" s="75"/>
      <c r="H708" s="75"/>
      <c r="I708" s="75"/>
      <c r="J708" s="75"/>
      <c r="K708" s="27"/>
      <c r="L708" s="96"/>
      <c r="M708" s="27"/>
      <c r="N708" s="96"/>
      <c r="O708" s="75"/>
      <c r="P708" s="75"/>
      <c r="Q708" s="75"/>
      <c r="R708" s="75"/>
      <c r="S708" s="75"/>
      <c r="T708" s="75"/>
    </row>
    <row r="709" spans="1:20">
      <c r="A709" s="63"/>
      <c r="B709" s="75"/>
      <c r="C709" s="63"/>
      <c r="D709" s="75"/>
      <c r="E709" s="92"/>
      <c r="F709" s="92"/>
      <c r="G709" s="75"/>
      <c r="H709" s="75"/>
      <c r="I709" s="75"/>
      <c r="J709" s="75"/>
      <c r="K709" s="27"/>
      <c r="L709" s="96"/>
      <c r="M709" s="27"/>
      <c r="N709" s="96"/>
      <c r="O709" s="75"/>
      <c r="P709" s="75"/>
      <c r="Q709" s="75"/>
      <c r="R709" s="75"/>
      <c r="S709" s="75"/>
      <c r="T709" s="75"/>
    </row>
    <row r="710" spans="1:20">
      <c r="A710" s="63"/>
      <c r="B710" s="75"/>
      <c r="C710" s="63"/>
      <c r="D710" s="75"/>
      <c r="E710" s="92"/>
      <c r="F710" s="92"/>
      <c r="G710" s="75"/>
      <c r="H710" s="75"/>
      <c r="I710" s="75"/>
      <c r="J710" s="75"/>
      <c r="K710" s="27"/>
      <c r="L710" s="96"/>
      <c r="M710" s="27"/>
      <c r="N710" s="96"/>
      <c r="O710" s="75"/>
      <c r="P710" s="75"/>
      <c r="Q710" s="75"/>
      <c r="R710" s="75"/>
      <c r="S710" s="75"/>
      <c r="T710" s="75"/>
    </row>
    <row r="711" spans="1:20">
      <c r="A711" s="63"/>
      <c r="B711" s="75"/>
      <c r="C711" s="63"/>
      <c r="D711" s="75"/>
      <c r="E711" s="92"/>
      <c r="F711" s="92"/>
      <c r="G711" s="75"/>
      <c r="H711" s="75"/>
      <c r="I711" s="75"/>
      <c r="J711" s="75"/>
      <c r="K711" s="27"/>
      <c r="L711" s="96"/>
      <c r="M711" s="27"/>
      <c r="N711" s="96"/>
      <c r="O711" s="75"/>
      <c r="P711" s="75"/>
      <c r="Q711" s="75"/>
      <c r="R711" s="75"/>
      <c r="S711" s="75"/>
      <c r="T711" s="75"/>
    </row>
    <row r="712" spans="1:20">
      <c r="A712" s="63"/>
      <c r="B712" s="75"/>
      <c r="C712" s="63"/>
      <c r="D712" s="75"/>
      <c r="E712" s="92"/>
      <c r="F712" s="92"/>
      <c r="G712" s="75"/>
      <c r="H712" s="75"/>
      <c r="I712" s="75"/>
      <c r="J712" s="75"/>
      <c r="K712" s="27"/>
      <c r="L712" s="96"/>
      <c r="M712" s="27"/>
      <c r="N712" s="96"/>
      <c r="O712" s="75"/>
      <c r="P712" s="75"/>
      <c r="Q712" s="75"/>
      <c r="R712" s="75"/>
      <c r="S712" s="75"/>
      <c r="T712" s="75"/>
    </row>
    <row r="713" spans="1:20">
      <c r="A713" s="63"/>
      <c r="B713" s="75"/>
      <c r="C713" s="63"/>
      <c r="D713" s="75"/>
      <c r="E713" s="92"/>
      <c r="F713" s="92"/>
      <c r="G713" s="75"/>
      <c r="H713" s="75"/>
      <c r="I713" s="75"/>
      <c r="J713" s="75"/>
      <c r="K713" s="27"/>
      <c r="L713" s="96"/>
      <c r="M713" s="27"/>
      <c r="N713" s="96"/>
      <c r="O713" s="75"/>
      <c r="P713" s="75"/>
      <c r="Q713" s="75"/>
      <c r="R713" s="75"/>
      <c r="S713" s="75"/>
      <c r="T713" s="75"/>
    </row>
    <row r="714" spans="1:20">
      <c r="A714" s="63"/>
      <c r="B714" s="75"/>
      <c r="C714" s="63"/>
      <c r="D714" s="75"/>
      <c r="E714" s="92"/>
      <c r="F714" s="92"/>
      <c r="G714" s="75"/>
      <c r="H714" s="75"/>
      <c r="I714" s="75"/>
      <c r="J714" s="75"/>
      <c r="K714" s="27"/>
      <c r="L714" s="96"/>
      <c r="M714" s="27"/>
      <c r="N714" s="96"/>
      <c r="O714" s="75"/>
      <c r="P714" s="75"/>
      <c r="Q714" s="75"/>
      <c r="R714" s="75"/>
      <c r="S714" s="75"/>
      <c r="T714" s="75"/>
    </row>
    <row r="715" spans="1:20">
      <c r="A715" s="63"/>
      <c r="B715" s="75"/>
      <c r="C715" s="63"/>
      <c r="D715" s="75"/>
      <c r="E715" s="92"/>
      <c r="F715" s="92"/>
      <c r="G715" s="75"/>
      <c r="H715" s="75"/>
      <c r="I715" s="75"/>
      <c r="J715" s="75"/>
      <c r="K715" s="27"/>
      <c r="L715" s="96"/>
      <c r="M715" s="27"/>
      <c r="N715" s="96"/>
      <c r="O715" s="75"/>
      <c r="P715" s="75"/>
      <c r="Q715" s="75"/>
      <c r="R715" s="75"/>
      <c r="S715" s="75"/>
      <c r="T715" s="75"/>
    </row>
    <row r="716" spans="1:20">
      <c r="A716" s="63"/>
      <c r="B716" s="75"/>
      <c r="C716" s="63"/>
      <c r="D716" s="75"/>
      <c r="E716" s="92"/>
      <c r="F716" s="92"/>
      <c r="G716" s="75"/>
      <c r="H716" s="75"/>
      <c r="I716" s="75"/>
      <c r="J716" s="75"/>
      <c r="K716" s="27"/>
      <c r="L716" s="96"/>
      <c r="M716" s="27"/>
      <c r="N716" s="96"/>
      <c r="O716" s="75"/>
      <c r="P716" s="75"/>
      <c r="Q716" s="75"/>
      <c r="R716" s="75"/>
      <c r="S716" s="75"/>
      <c r="T716" s="75"/>
    </row>
    <row r="717" spans="1:20">
      <c r="A717" s="63"/>
      <c r="B717" s="75"/>
      <c r="C717" s="63"/>
      <c r="D717" s="75"/>
      <c r="E717" s="92"/>
      <c r="F717" s="92"/>
      <c r="G717" s="75"/>
      <c r="H717" s="75"/>
      <c r="I717" s="75"/>
      <c r="J717" s="75"/>
      <c r="K717" s="27"/>
      <c r="L717" s="96"/>
      <c r="M717" s="27"/>
      <c r="N717" s="96"/>
      <c r="O717" s="75"/>
      <c r="P717" s="75"/>
      <c r="Q717" s="75"/>
      <c r="R717" s="75"/>
      <c r="S717" s="75"/>
      <c r="T717" s="75"/>
    </row>
    <row r="718" spans="1:20">
      <c r="A718" s="63"/>
      <c r="B718" s="75"/>
      <c r="C718" s="63"/>
      <c r="D718" s="75"/>
      <c r="E718" s="92"/>
      <c r="F718" s="92"/>
      <c r="G718" s="75"/>
      <c r="H718" s="75"/>
      <c r="I718" s="75"/>
      <c r="J718" s="75"/>
      <c r="K718" s="27"/>
      <c r="L718" s="96"/>
      <c r="M718" s="27"/>
      <c r="N718" s="96"/>
      <c r="O718" s="75"/>
      <c r="P718" s="75"/>
      <c r="Q718" s="75"/>
      <c r="R718" s="75"/>
      <c r="S718" s="75"/>
      <c r="T718" s="75"/>
    </row>
    <row r="719" spans="1:20">
      <c r="A719" s="63"/>
      <c r="B719" s="75"/>
      <c r="C719" s="63"/>
      <c r="D719" s="75"/>
      <c r="E719" s="92"/>
      <c r="F719" s="92"/>
      <c r="G719" s="75"/>
      <c r="H719" s="75"/>
      <c r="I719" s="75"/>
      <c r="J719" s="75"/>
      <c r="K719" s="27"/>
      <c r="L719" s="96"/>
      <c r="M719" s="27"/>
      <c r="N719" s="96"/>
      <c r="O719" s="75"/>
      <c r="P719" s="75"/>
      <c r="Q719" s="75"/>
      <c r="R719" s="75"/>
      <c r="S719" s="75"/>
      <c r="T719" s="75"/>
    </row>
    <row r="720" spans="1:20">
      <c r="A720" s="63"/>
      <c r="B720" s="75"/>
      <c r="C720" s="63"/>
      <c r="D720" s="75"/>
      <c r="E720" s="92"/>
      <c r="F720" s="92"/>
      <c r="G720" s="75"/>
      <c r="H720" s="75"/>
      <c r="I720" s="75"/>
      <c r="J720" s="75"/>
      <c r="K720" s="27"/>
      <c r="L720" s="96"/>
      <c r="M720" s="27"/>
      <c r="N720" s="96"/>
      <c r="O720" s="75"/>
      <c r="P720" s="75"/>
      <c r="Q720" s="75"/>
      <c r="R720" s="75"/>
      <c r="S720" s="75"/>
      <c r="T720" s="75"/>
    </row>
    <row r="721" spans="1:20">
      <c r="A721" s="63"/>
      <c r="B721" s="75"/>
      <c r="C721" s="63"/>
      <c r="D721" s="75"/>
      <c r="E721" s="92"/>
      <c r="F721" s="92"/>
      <c r="G721" s="75"/>
      <c r="H721" s="75"/>
      <c r="I721" s="75"/>
      <c r="J721" s="75"/>
      <c r="K721" s="27"/>
      <c r="L721" s="96"/>
      <c r="M721" s="27"/>
      <c r="N721" s="96"/>
      <c r="O721" s="75"/>
      <c r="P721" s="75"/>
      <c r="Q721" s="75"/>
      <c r="R721" s="75"/>
      <c r="S721" s="75"/>
      <c r="T721" s="75"/>
    </row>
    <row r="722" spans="1:20">
      <c r="A722" s="63"/>
      <c r="B722" s="75"/>
      <c r="C722" s="63"/>
      <c r="D722" s="75"/>
      <c r="E722" s="92"/>
      <c r="F722" s="92"/>
      <c r="G722" s="75"/>
      <c r="H722" s="75"/>
      <c r="I722" s="75"/>
      <c r="J722" s="75"/>
      <c r="K722" s="27"/>
      <c r="L722" s="96"/>
      <c r="M722" s="27"/>
      <c r="N722" s="96"/>
      <c r="O722" s="75"/>
      <c r="P722" s="75"/>
      <c r="Q722" s="75"/>
      <c r="R722" s="75"/>
      <c r="S722" s="75"/>
      <c r="T722" s="75"/>
    </row>
    <row r="723" spans="1:20">
      <c r="A723" s="63"/>
      <c r="B723" s="75"/>
      <c r="C723" s="63"/>
      <c r="D723" s="75"/>
      <c r="E723" s="92"/>
      <c r="F723" s="92"/>
      <c r="G723" s="75"/>
      <c r="H723" s="75"/>
      <c r="I723" s="75"/>
      <c r="J723" s="75"/>
      <c r="K723" s="27"/>
      <c r="L723" s="96"/>
      <c r="M723" s="27"/>
      <c r="N723" s="96"/>
      <c r="O723" s="75"/>
      <c r="P723" s="75"/>
      <c r="Q723" s="75"/>
      <c r="R723" s="75"/>
      <c r="S723" s="75"/>
      <c r="T723" s="75"/>
    </row>
    <row r="724" spans="1:20">
      <c r="A724" s="63"/>
      <c r="B724" s="75"/>
      <c r="C724" s="63"/>
      <c r="D724" s="75"/>
      <c r="E724" s="92"/>
      <c r="F724" s="92"/>
      <c r="G724" s="75"/>
      <c r="H724" s="75"/>
      <c r="I724" s="75"/>
      <c r="J724" s="75"/>
      <c r="K724" s="27"/>
      <c r="L724" s="96"/>
      <c r="M724" s="27"/>
      <c r="N724" s="96"/>
      <c r="O724" s="75"/>
      <c r="P724" s="75"/>
      <c r="Q724" s="75"/>
      <c r="R724" s="75"/>
      <c r="S724" s="75"/>
      <c r="T724" s="75"/>
    </row>
    <row r="725" spans="1:20">
      <c r="A725" s="63"/>
      <c r="B725" s="75"/>
      <c r="C725" s="63"/>
      <c r="D725" s="75"/>
      <c r="E725" s="92"/>
      <c r="F725" s="92"/>
      <c r="G725" s="75"/>
      <c r="H725" s="75"/>
      <c r="I725" s="75"/>
      <c r="J725" s="75"/>
      <c r="K725" s="27"/>
      <c r="L725" s="96"/>
      <c r="M725" s="27"/>
      <c r="N725" s="96"/>
      <c r="O725" s="75"/>
      <c r="P725" s="75"/>
      <c r="Q725" s="75"/>
      <c r="R725" s="75"/>
      <c r="S725" s="75"/>
      <c r="T725" s="75"/>
    </row>
    <row r="726" spans="1:20">
      <c r="A726" s="63"/>
      <c r="B726" s="75"/>
      <c r="C726" s="63"/>
      <c r="D726" s="75"/>
      <c r="E726" s="92"/>
      <c r="F726" s="92"/>
      <c r="G726" s="75"/>
      <c r="H726" s="75"/>
      <c r="I726" s="75"/>
      <c r="J726" s="75"/>
      <c r="K726" s="27"/>
      <c r="L726" s="96"/>
      <c r="M726" s="27"/>
      <c r="N726" s="96"/>
      <c r="O726" s="75"/>
      <c r="P726" s="75"/>
      <c r="Q726" s="75"/>
      <c r="R726" s="75"/>
      <c r="S726" s="75"/>
      <c r="T726" s="75"/>
    </row>
    <row r="727" spans="1:20">
      <c r="A727" s="63"/>
      <c r="B727" s="75"/>
      <c r="C727" s="63"/>
      <c r="D727" s="75"/>
      <c r="E727" s="92"/>
      <c r="F727" s="92"/>
      <c r="G727" s="75"/>
      <c r="H727" s="75"/>
      <c r="I727" s="75"/>
      <c r="J727" s="75"/>
      <c r="K727" s="27"/>
      <c r="L727" s="96"/>
      <c r="M727" s="27"/>
      <c r="N727" s="96"/>
      <c r="O727" s="75"/>
      <c r="P727" s="75"/>
      <c r="Q727" s="75"/>
      <c r="R727" s="75"/>
      <c r="S727" s="75"/>
      <c r="T727" s="75"/>
    </row>
    <row r="728" spans="1:20">
      <c r="A728" s="63"/>
      <c r="B728" s="75"/>
      <c r="C728" s="63"/>
      <c r="D728" s="75"/>
      <c r="E728" s="92"/>
      <c r="F728" s="92"/>
      <c r="G728" s="75"/>
      <c r="H728" s="75"/>
      <c r="I728" s="75"/>
      <c r="J728" s="75"/>
      <c r="K728" s="27"/>
      <c r="L728" s="96"/>
      <c r="M728" s="27"/>
      <c r="N728" s="96"/>
      <c r="O728" s="75"/>
      <c r="P728" s="75"/>
      <c r="Q728" s="75"/>
      <c r="R728" s="75"/>
      <c r="S728" s="75"/>
      <c r="T728" s="75"/>
    </row>
    <row r="729" spans="1:20">
      <c r="A729" s="63"/>
      <c r="B729" s="75"/>
      <c r="C729" s="63"/>
      <c r="D729" s="75"/>
      <c r="E729" s="92"/>
      <c r="F729" s="92"/>
      <c r="G729" s="75"/>
      <c r="H729" s="75"/>
      <c r="I729" s="75"/>
      <c r="J729" s="75"/>
      <c r="K729" s="27"/>
      <c r="L729" s="96"/>
      <c r="M729" s="27"/>
      <c r="N729" s="96"/>
      <c r="O729" s="75"/>
      <c r="P729" s="75"/>
      <c r="Q729" s="75"/>
      <c r="R729" s="75"/>
      <c r="S729" s="75"/>
      <c r="T729" s="75"/>
    </row>
    <row r="730" spans="1:20">
      <c r="A730" s="63"/>
      <c r="B730" s="75"/>
      <c r="C730" s="63"/>
      <c r="D730" s="75"/>
      <c r="E730" s="92"/>
      <c r="F730" s="92"/>
      <c r="G730" s="75"/>
      <c r="H730" s="75"/>
      <c r="I730" s="75"/>
      <c r="J730" s="75"/>
      <c r="K730" s="27"/>
      <c r="L730" s="96"/>
      <c r="M730" s="27"/>
      <c r="N730" s="96"/>
      <c r="O730" s="75"/>
      <c r="P730" s="75"/>
      <c r="Q730" s="75"/>
      <c r="R730" s="75"/>
      <c r="S730" s="75"/>
      <c r="T730" s="75"/>
    </row>
    <row r="731" spans="1:20">
      <c r="A731" s="63"/>
      <c r="B731" s="75"/>
      <c r="C731" s="63"/>
      <c r="D731" s="75"/>
      <c r="E731" s="92"/>
      <c r="F731" s="92"/>
      <c r="G731" s="75"/>
      <c r="H731" s="75"/>
      <c r="I731" s="75"/>
      <c r="J731" s="75"/>
      <c r="K731" s="27"/>
      <c r="L731" s="96"/>
      <c r="M731" s="27"/>
      <c r="N731" s="96"/>
      <c r="O731" s="75"/>
      <c r="P731" s="75"/>
      <c r="Q731" s="75"/>
      <c r="R731" s="75"/>
      <c r="S731" s="75"/>
      <c r="T731" s="75"/>
    </row>
    <row r="732" spans="1:20">
      <c r="A732" s="63"/>
      <c r="B732" s="75"/>
      <c r="C732" s="63"/>
      <c r="D732" s="75"/>
      <c r="E732" s="92"/>
      <c r="F732" s="92"/>
      <c r="G732" s="75"/>
      <c r="H732" s="75"/>
      <c r="I732" s="75"/>
      <c r="J732" s="75"/>
      <c r="K732" s="27"/>
      <c r="L732" s="96"/>
      <c r="M732" s="27"/>
      <c r="N732" s="96"/>
      <c r="O732" s="75"/>
      <c r="P732" s="75"/>
      <c r="Q732" s="75"/>
      <c r="R732" s="75"/>
      <c r="S732" s="75"/>
      <c r="T732" s="75"/>
    </row>
    <row r="733" spans="1:20">
      <c r="A733" s="63"/>
      <c r="B733" s="75"/>
      <c r="C733" s="63"/>
      <c r="D733" s="75"/>
      <c r="E733" s="92"/>
      <c r="F733" s="92"/>
      <c r="G733" s="75"/>
      <c r="H733" s="75"/>
      <c r="I733" s="75"/>
      <c r="J733" s="75"/>
      <c r="K733" s="27"/>
      <c r="L733" s="96"/>
      <c r="M733" s="27"/>
      <c r="N733" s="96"/>
      <c r="O733" s="75"/>
      <c r="P733" s="75"/>
      <c r="Q733" s="75"/>
      <c r="R733" s="75"/>
      <c r="S733" s="75"/>
      <c r="T733" s="75"/>
    </row>
    <row r="734" spans="1:20">
      <c r="A734" s="63"/>
      <c r="B734" s="75"/>
      <c r="C734" s="63"/>
      <c r="D734" s="75"/>
      <c r="E734" s="92"/>
      <c r="F734" s="92"/>
      <c r="G734" s="75"/>
      <c r="H734" s="75"/>
      <c r="I734" s="75"/>
      <c r="J734" s="75"/>
      <c r="K734" s="27"/>
      <c r="L734" s="96"/>
      <c r="M734" s="27"/>
      <c r="N734" s="96"/>
      <c r="O734" s="75"/>
      <c r="P734" s="75"/>
      <c r="Q734" s="75"/>
      <c r="R734" s="75"/>
      <c r="S734" s="75"/>
      <c r="T734" s="75"/>
    </row>
    <row r="735" spans="1:20">
      <c r="A735" s="63"/>
      <c r="B735" s="75"/>
      <c r="C735" s="63"/>
      <c r="D735" s="75"/>
      <c r="E735" s="92"/>
      <c r="F735" s="92"/>
      <c r="G735" s="75"/>
      <c r="H735" s="75"/>
      <c r="I735" s="75"/>
      <c r="J735" s="75"/>
      <c r="K735" s="27"/>
      <c r="L735" s="96"/>
      <c r="M735" s="27"/>
      <c r="N735" s="96"/>
      <c r="O735" s="75"/>
      <c r="P735" s="75"/>
      <c r="Q735" s="75"/>
      <c r="R735" s="75"/>
      <c r="S735" s="75"/>
      <c r="T735" s="75"/>
    </row>
    <row r="736" spans="1:20">
      <c r="A736" s="63"/>
      <c r="B736" s="75"/>
      <c r="C736" s="63"/>
      <c r="D736" s="75"/>
      <c r="E736" s="92"/>
      <c r="F736" s="92"/>
      <c r="G736" s="75"/>
      <c r="H736" s="75"/>
      <c r="I736" s="75"/>
      <c r="J736" s="75"/>
      <c r="K736" s="27"/>
      <c r="L736" s="96"/>
      <c r="M736" s="27"/>
      <c r="N736" s="96"/>
      <c r="O736" s="75"/>
      <c r="P736" s="75"/>
      <c r="Q736" s="75"/>
      <c r="R736" s="75"/>
      <c r="S736" s="75"/>
      <c r="T736" s="75"/>
    </row>
    <row r="737" spans="1:20">
      <c r="A737" s="63"/>
      <c r="B737" s="75"/>
      <c r="C737" s="63"/>
      <c r="D737" s="75"/>
      <c r="E737" s="92"/>
      <c r="F737" s="92"/>
      <c r="G737" s="75"/>
      <c r="H737" s="75"/>
      <c r="I737" s="75"/>
      <c r="J737" s="75"/>
      <c r="K737" s="27"/>
      <c r="L737" s="96"/>
      <c r="M737" s="27"/>
      <c r="N737" s="96"/>
      <c r="O737" s="75"/>
      <c r="P737" s="75"/>
      <c r="Q737" s="75"/>
      <c r="R737" s="75"/>
      <c r="S737" s="75"/>
      <c r="T737" s="75"/>
    </row>
    <row r="738" spans="1:20">
      <c r="A738" s="63"/>
      <c r="B738" s="75"/>
      <c r="C738" s="63"/>
      <c r="D738" s="75"/>
      <c r="E738" s="92"/>
      <c r="F738" s="92"/>
      <c r="G738" s="75"/>
      <c r="H738" s="75"/>
      <c r="I738" s="75"/>
      <c r="J738" s="75"/>
      <c r="K738" s="27"/>
      <c r="L738" s="96"/>
      <c r="M738" s="27"/>
      <c r="N738" s="96"/>
      <c r="O738" s="75"/>
      <c r="P738" s="75"/>
      <c r="Q738" s="75"/>
      <c r="R738" s="75"/>
      <c r="S738" s="75"/>
      <c r="T738" s="75"/>
    </row>
    <row r="739" spans="1:20">
      <c r="A739" s="63"/>
      <c r="B739" s="75"/>
      <c r="C739" s="63"/>
      <c r="D739" s="75"/>
      <c r="E739" s="92"/>
      <c r="F739" s="92"/>
      <c r="G739" s="75"/>
      <c r="H739" s="75"/>
      <c r="I739" s="75"/>
      <c r="J739" s="75"/>
      <c r="K739" s="27"/>
      <c r="L739" s="96"/>
      <c r="M739" s="27"/>
      <c r="N739" s="96"/>
      <c r="O739" s="75"/>
      <c r="P739" s="75"/>
      <c r="Q739" s="75"/>
      <c r="R739" s="75"/>
      <c r="S739" s="75"/>
      <c r="T739" s="75"/>
    </row>
    <row r="740" spans="1:20">
      <c r="A740" s="63"/>
      <c r="B740" s="75"/>
      <c r="C740" s="63"/>
      <c r="D740" s="75"/>
      <c r="E740" s="92"/>
      <c r="F740" s="92"/>
      <c r="G740" s="75"/>
      <c r="H740" s="75"/>
      <c r="I740" s="75"/>
      <c r="J740" s="75"/>
      <c r="K740" s="27"/>
      <c r="L740" s="96"/>
      <c r="M740" s="27"/>
      <c r="N740" s="96"/>
      <c r="O740" s="75"/>
      <c r="P740" s="75"/>
      <c r="Q740" s="75"/>
      <c r="R740" s="75"/>
      <c r="S740" s="75"/>
      <c r="T740" s="75"/>
    </row>
    <row r="741" spans="1:20">
      <c r="A741" s="63"/>
      <c r="B741" s="75"/>
      <c r="C741" s="63"/>
      <c r="D741" s="75"/>
      <c r="E741" s="92"/>
      <c r="F741" s="92"/>
      <c r="G741" s="75"/>
      <c r="H741" s="75"/>
      <c r="I741" s="75"/>
      <c r="J741" s="75"/>
      <c r="K741" s="27"/>
      <c r="L741" s="96"/>
      <c r="M741" s="27"/>
      <c r="N741" s="96"/>
      <c r="O741" s="75"/>
      <c r="P741" s="75"/>
      <c r="Q741" s="75"/>
      <c r="R741" s="75"/>
      <c r="S741" s="75"/>
      <c r="T741" s="75"/>
    </row>
    <row r="742" spans="1:20">
      <c r="A742" s="63"/>
      <c r="B742" s="75"/>
      <c r="C742" s="63"/>
      <c r="D742" s="75"/>
      <c r="E742" s="92"/>
      <c r="F742" s="92"/>
      <c r="G742" s="75"/>
      <c r="H742" s="75"/>
      <c r="I742" s="75"/>
      <c r="J742" s="75"/>
      <c r="K742" s="27"/>
      <c r="L742" s="96"/>
      <c r="M742" s="27"/>
      <c r="N742" s="96"/>
      <c r="O742" s="75"/>
      <c r="P742" s="75"/>
      <c r="Q742" s="75"/>
      <c r="R742" s="75"/>
      <c r="S742" s="75"/>
      <c r="T742" s="75"/>
    </row>
    <row r="743" spans="1:20">
      <c r="A743" s="63"/>
      <c r="B743" s="75"/>
      <c r="C743" s="63"/>
      <c r="D743" s="75"/>
      <c r="E743" s="92"/>
      <c r="F743" s="92"/>
      <c r="G743" s="75"/>
      <c r="H743" s="75"/>
      <c r="I743" s="75"/>
      <c r="J743" s="75"/>
      <c r="K743" s="27"/>
      <c r="L743" s="96"/>
      <c r="M743" s="27"/>
      <c r="N743" s="96"/>
      <c r="O743" s="75"/>
      <c r="P743" s="75"/>
      <c r="Q743" s="75"/>
      <c r="R743" s="75"/>
      <c r="S743" s="75"/>
      <c r="T743" s="75"/>
    </row>
    <row r="744" spans="1:20">
      <c r="A744" s="63"/>
      <c r="B744" s="75"/>
      <c r="C744" s="63"/>
      <c r="D744" s="75"/>
      <c r="E744" s="92"/>
      <c r="F744" s="92"/>
      <c r="G744" s="75"/>
      <c r="H744" s="75"/>
      <c r="I744" s="75"/>
      <c r="J744" s="75"/>
      <c r="K744" s="27"/>
      <c r="L744" s="96"/>
      <c r="M744" s="27"/>
      <c r="N744" s="96"/>
      <c r="O744" s="75"/>
      <c r="P744" s="75"/>
      <c r="Q744" s="75"/>
      <c r="R744" s="75"/>
      <c r="S744" s="75"/>
      <c r="T744" s="75"/>
    </row>
    <row r="745" spans="1:20">
      <c r="A745" s="63"/>
      <c r="B745" s="75"/>
      <c r="C745" s="63"/>
      <c r="D745" s="75"/>
      <c r="E745" s="92"/>
      <c r="F745" s="92"/>
      <c r="G745" s="75"/>
      <c r="H745" s="75"/>
      <c r="I745" s="75"/>
      <c r="J745" s="75"/>
      <c r="K745" s="27"/>
      <c r="L745" s="96"/>
      <c r="M745" s="27"/>
      <c r="N745" s="96"/>
      <c r="O745" s="75"/>
      <c r="P745" s="75"/>
      <c r="Q745" s="75"/>
      <c r="R745" s="75"/>
      <c r="S745" s="75"/>
      <c r="T745" s="75"/>
    </row>
    <row r="746" spans="1:20">
      <c r="A746" s="63"/>
      <c r="B746" s="75"/>
      <c r="C746" s="63"/>
      <c r="D746" s="75"/>
      <c r="E746" s="92"/>
      <c r="F746" s="92"/>
      <c r="G746" s="75"/>
      <c r="H746" s="75"/>
      <c r="I746" s="75"/>
      <c r="J746" s="75"/>
      <c r="K746" s="27"/>
      <c r="L746" s="96"/>
      <c r="M746" s="27"/>
      <c r="N746" s="96"/>
      <c r="O746" s="75"/>
      <c r="P746" s="75"/>
      <c r="Q746" s="75"/>
      <c r="R746" s="75"/>
      <c r="S746" s="75"/>
      <c r="T746" s="75"/>
    </row>
    <row r="747" spans="1:20">
      <c r="A747" s="63"/>
      <c r="B747" s="75"/>
      <c r="C747" s="63"/>
      <c r="D747" s="75"/>
      <c r="E747" s="92"/>
      <c r="F747" s="92"/>
      <c r="G747" s="75"/>
      <c r="H747" s="75"/>
      <c r="I747" s="75"/>
      <c r="J747" s="75"/>
      <c r="K747" s="27"/>
      <c r="L747" s="96"/>
      <c r="M747" s="27"/>
      <c r="N747" s="96"/>
      <c r="O747" s="75"/>
      <c r="P747" s="75"/>
      <c r="Q747" s="75"/>
      <c r="R747" s="75"/>
      <c r="S747" s="75"/>
      <c r="T747" s="75"/>
    </row>
    <row r="748" spans="1:20">
      <c r="A748" s="63"/>
      <c r="B748" s="75"/>
      <c r="C748" s="63"/>
      <c r="D748" s="75"/>
      <c r="E748" s="92"/>
      <c r="F748" s="92"/>
      <c r="G748" s="75"/>
      <c r="H748" s="75"/>
      <c r="I748" s="75"/>
      <c r="J748" s="75"/>
      <c r="K748" s="27"/>
      <c r="L748" s="96"/>
      <c r="M748" s="27"/>
      <c r="N748" s="96"/>
      <c r="O748" s="75"/>
      <c r="P748" s="75"/>
      <c r="Q748" s="75"/>
      <c r="R748" s="75"/>
      <c r="S748" s="75"/>
      <c r="T748" s="75"/>
    </row>
    <row r="749" spans="1:20">
      <c r="A749" s="63"/>
      <c r="B749" s="75"/>
      <c r="C749" s="63"/>
      <c r="D749" s="75"/>
      <c r="E749" s="92"/>
      <c r="F749" s="92"/>
      <c r="G749" s="75"/>
      <c r="H749" s="75"/>
      <c r="I749" s="75"/>
      <c r="J749" s="75"/>
      <c r="K749" s="27"/>
      <c r="L749" s="96"/>
      <c r="M749" s="27"/>
      <c r="N749" s="96"/>
      <c r="O749" s="75"/>
      <c r="P749" s="75"/>
      <c r="Q749" s="75"/>
      <c r="R749" s="75"/>
      <c r="S749" s="75"/>
      <c r="T749" s="75"/>
    </row>
    <row r="750" spans="1:20">
      <c r="A750" s="63"/>
      <c r="B750" s="75"/>
      <c r="C750" s="63"/>
      <c r="D750" s="75"/>
      <c r="E750" s="92"/>
      <c r="F750" s="92"/>
      <c r="G750" s="75"/>
      <c r="H750" s="75"/>
      <c r="I750" s="75"/>
      <c r="J750" s="75"/>
      <c r="K750" s="27"/>
      <c r="L750" s="96"/>
      <c r="M750" s="27"/>
      <c r="N750" s="96"/>
      <c r="O750" s="75"/>
      <c r="P750" s="75"/>
      <c r="Q750" s="75"/>
      <c r="R750" s="75"/>
      <c r="S750" s="75"/>
      <c r="T750" s="75"/>
    </row>
    <row r="751" spans="1:20">
      <c r="A751" s="63"/>
      <c r="B751" s="75"/>
      <c r="C751" s="63"/>
      <c r="D751" s="75"/>
      <c r="E751" s="92"/>
      <c r="F751" s="92"/>
      <c r="G751" s="75"/>
      <c r="H751" s="75"/>
      <c r="I751" s="75"/>
      <c r="J751" s="75"/>
      <c r="K751" s="27"/>
      <c r="L751" s="96"/>
      <c r="M751" s="27"/>
      <c r="N751" s="96"/>
      <c r="O751" s="75"/>
      <c r="P751" s="75"/>
      <c r="Q751" s="75"/>
      <c r="R751" s="75"/>
      <c r="S751" s="75"/>
      <c r="T751" s="75"/>
    </row>
    <row r="752" spans="1:20">
      <c r="A752" s="63"/>
      <c r="B752" s="75"/>
      <c r="C752" s="63"/>
      <c r="D752" s="75"/>
      <c r="E752" s="92"/>
      <c r="F752" s="92"/>
      <c r="G752" s="75"/>
      <c r="H752" s="75"/>
      <c r="I752" s="75"/>
      <c r="J752" s="75"/>
      <c r="K752" s="27"/>
      <c r="L752" s="96"/>
      <c r="M752" s="27"/>
      <c r="N752" s="96"/>
      <c r="O752" s="75"/>
      <c r="P752" s="75"/>
      <c r="Q752" s="75"/>
      <c r="R752" s="75"/>
      <c r="S752" s="75"/>
      <c r="T752" s="75"/>
    </row>
    <row r="753" spans="1:20">
      <c r="A753" s="63"/>
      <c r="B753" s="75"/>
      <c r="C753" s="63"/>
      <c r="D753" s="75"/>
      <c r="E753" s="92"/>
      <c r="F753" s="92"/>
      <c r="G753" s="75"/>
      <c r="H753" s="75"/>
      <c r="I753" s="75"/>
      <c r="J753" s="75"/>
      <c r="K753" s="27"/>
      <c r="L753" s="96"/>
      <c r="M753" s="27"/>
      <c r="N753" s="96"/>
      <c r="O753" s="75"/>
      <c r="P753" s="75"/>
      <c r="Q753" s="75"/>
      <c r="R753" s="75"/>
      <c r="S753" s="75"/>
      <c r="T753" s="75"/>
    </row>
    <row r="754" spans="1:20">
      <c r="A754" s="63"/>
      <c r="B754" s="75"/>
      <c r="C754" s="63"/>
      <c r="D754" s="75"/>
      <c r="E754" s="92"/>
      <c r="F754" s="92"/>
      <c r="G754" s="75"/>
      <c r="H754" s="75"/>
      <c r="I754" s="75"/>
      <c r="J754" s="75"/>
      <c r="K754" s="27"/>
      <c r="L754" s="96"/>
      <c r="M754" s="27"/>
      <c r="N754" s="96"/>
      <c r="O754" s="75"/>
      <c r="P754" s="75"/>
      <c r="Q754" s="75"/>
      <c r="R754" s="75"/>
      <c r="S754" s="75"/>
      <c r="T754" s="75"/>
    </row>
    <row r="755" spans="1:20">
      <c r="A755" s="63"/>
      <c r="B755" s="75"/>
      <c r="C755" s="63"/>
      <c r="D755" s="75"/>
      <c r="E755" s="92"/>
      <c r="F755" s="92"/>
      <c r="G755" s="75"/>
      <c r="H755" s="75"/>
      <c r="I755" s="75"/>
      <c r="J755" s="75"/>
      <c r="K755" s="27"/>
      <c r="L755" s="96"/>
      <c r="M755" s="27"/>
      <c r="N755" s="96"/>
      <c r="O755" s="75"/>
      <c r="P755" s="75"/>
      <c r="Q755" s="75"/>
      <c r="R755" s="75"/>
      <c r="S755" s="75"/>
      <c r="T755" s="75"/>
    </row>
    <row r="756" spans="1:20">
      <c r="A756" s="63"/>
      <c r="B756" s="75"/>
      <c r="C756" s="63"/>
      <c r="D756" s="75"/>
      <c r="E756" s="92"/>
      <c r="F756" s="92"/>
      <c r="G756" s="75"/>
      <c r="H756" s="75"/>
      <c r="I756" s="75"/>
      <c r="J756" s="75"/>
      <c r="K756" s="27"/>
      <c r="L756" s="96"/>
      <c r="M756" s="27"/>
      <c r="N756" s="96"/>
      <c r="O756" s="75"/>
      <c r="P756" s="75"/>
      <c r="Q756" s="75"/>
      <c r="R756" s="75"/>
      <c r="S756" s="75"/>
      <c r="T756" s="75"/>
    </row>
    <row r="757" spans="1:20">
      <c r="A757" s="63"/>
      <c r="B757" s="75"/>
      <c r="C757" s="63"/>
      <c r="D757" s="75"/>
      <c r="E757" s="92"/>
      <c r="F757" s="92"/>
      <c r="G757" s="75"/>
      <c r="H757" s="75"/>
      <c r="I757" s="75"/>
      <c r="J757" s="75"/>
      <c r="K757" s="27"/>
      <c r="L757" s="96"/>
      <c r="M757" s="27"/>
      <c r="N757" s="96"/>
      <c r="O757" s="75"/>
      <c r="P757" s="75"/>
      <c r="Q757" s="75"/>
      <c r="R757" s="75"/>
      <c r="S757" s="75"/>
      <c r="T757" s="75"/>
    </row>
    <row r="758" spans="1:20">
      <c r="A758" s="63"/>
      <c r="B758" s="75"/>
      <c r="C758" s="63"/>
      <c r="D758" s="75"/>
      <c r="E758" s="92"/>
      <c r="F758" s="92"/>
      <c r="G758" s="75"/>
      <c r="H758" s="75"/>
      <c r="I758" s="75"/>
      <c r="J758" s="75"/>
      <c r="K758" s="27"/>
      <c r="L758" s="96"/>
      <c r="M758" s="27"/>
      <c r="N758" s="96"/>
      <c r="O758" s="75"/>
      <c r="P758" s="75"/>
      <c r="Q758" s="75"/>
      <c r="R758" s="75"/>
      <c r="S758" s="75"/>
      <c r="T758" s="75"/>
    </row>
    <row r="759" spans="1:20">
      <c r="A759" s="63"/>
      <c r="B759" s="75"/>
      <c r="C759" s="63"/>
      <c r="D759" s="75"/>
      <c r="E759" s="92"/>
      <c r="F759" s="92"/>
      <c r="G759" s="75"/>
      <c r="H759" s="75"/>
      <c r="I759" s="75"/>
      <c r="J759" s="75"/>
      <c r="K759" s="27"/>
      <c r="L759" s="96"/>
      <c r="M759" s="27"/>
      <c r="N759" s="96"/>
      <c r="O759" s="75"/>
      <c r="P759" s="75"/>
      <c r="Q759" s="75"/>
      <c r="R759" s="75"/>
      <c r="S759" s="75"/>
      <c r="T759" s="75"/>
    </row>
    <row r="760" spans="1:20">
      <c r="A760" s="63"/>
      <c r="B760" s="75"/>
      <c r="C760" s="63"/>
      <c r="D760" s="75"/>
      <c r="E760" s="92"/>
      <c r="F760" s="92"/>
      <c r="G760" s="75"/>
      <c r="H760" s="75"/>
      <c r="I760" s="75"/>
      <c r="J760" s="75"/>
      <c r="K760" s="27"/>
      <c r="L760" s="96"/>
      <c r="M760" s="27"/>
      <c r="N760" s="96"/>
      <c r="O760" s="75"/>
      <c r="P760" s="75"/>
      <c r="Q760" s="75"/>
      <c r="R760" s="75"/>
      <c r="S760" s="75"/>
      <c r="T760" s="75"/>
    </row>
    <row r="761" spans="1:20">
      <c r="A761" s="63"/>
      <c r="B761" s="75"/>
      <c r="C761" s="63"/>
      <c r="D761" s="75"/>
      <c r="E761" s="92"/>
      <c r="F761" s="92"/>
      <c r="G761" s="75"/>
      <c r="H761" s="75"/>
      <c r="I761" s="75"/>
      <c r="J761" s="75"/>
      <c r="K761" s="27"/>
      <c r="L761" s="96"/>
      <c r="M761" s="27"/>
      <c r="N761" s="96"/>
      <c r="O761" s="75"/>
      <c r="P761" s="75"/>
      <c r="Q761" s="75"/>
      <c r="R761" s="75"/>
      <c r="S761" s="75"/>
      <c r="T761" s="75"/>
    </row>
    <row r="762" spans="1:20">
      <c r="A762" s="63"/>
      <c r="B762" s="75"/>
      <c r="C762" s="63"/>
      <c r="D762" s="75"/>
      <c r="E762" s="92"/>
      <c r="F762" s="92"/>
      <c r="G762" s="75"/>
      <c r="H762" s="75"/>
      <c r="I762" s="75"/>
      <c r="J762" s="75"/>
      <c r="K762" s="27"/>
      <c r="L762" s="96"/>
      <c r="M762" s="27"/>
      <c r="N762" s="96"/>
      <c r="O762" s="75"/>
      <c r="P762" s="75"/>
      <c r="Q762" s="75"/>
      <c r="R762" s="75"/>
      <c r="S762" s="75"/>
      <c r="T762" s="75"/>
    </row>
    <row r="763" spans="1:20">
      <c r="A763" s="63"/>
      <c r="B763" s="75"/>
      <c r="C763" s="63"/>
      <c r="D763" s="75"/>
      <c r="E763" s="92"/>
      <c r="F763" s="92"/>
      <c r="G763" s="75"/>
      <c r="H763" s="75"/>
      <c r="I763" s="75"/>
      <c r="J763" s="75"/>
      <c r="K763" s="27"/>
      <c r="L763" s="96"/>
      <c r="M763" s="27"/>
      <c r="N763" s="96"/>
      <c r="O763" s="75"/>
      <c r="P763" s="75"/>
      <c r="Q763" s="75"/>
      <c r="R763" s="75"/>
      <c r="S763" s="75"/>
      <c r="T763" s="75"/>
    </row>
    <row r="764" spans="1:20">
      <c r="A764" s="63"/>
      <c r="B764" s="75"/>
      <c r="C764" s="63"/>
      <c r="D764" s="75"/>
      <c r="E764" s="92"/>
      <c r="F764" s="92"/>
      <c r="G764" s="75"/>
      <c r="H764" s="75"/>
      <c r="I764" s="75"/>
      <c r="J764" s="75"/>
      <c r="K764" s="27"/>
      <c r="L764" s="96"/>
      <c r="M764" s="27"/>
      <c r="N764" s="96"/>
      <c r="O764" s="75"/>
      <c r="P764" s="75"/>
      <c r="Q764" s="75"/>
      <c r="R764" s="75"/>
      <c r="S764" s="75"/>
      <c r="T764" s="75"/>
    </row>
    <row r="765" spans="1:20">
      <c r="A765" s="63"/>
      <c r="B765" s="75"/>
      <c r="C765" s="63"/>
      <c r="D765" s="75"/>
      <c r="E765" s="92"/>
      <c r="F765" s="92"/>
      <c r="G765" s="75"/>
      <c r="H765" s="75"/>
      <c r="I765" s="75"/>
      <c r="J765" s="75"/>
      <c r="K765" s="27"/>
      <c r="L765" s="96"/>
      <c r="M765" s="27"/>
      <c r="N765" s="96"/>
      <c r="O765" s="75"/>
      <c r="P765" s="75"/>
      <c r="Q765" s="75"/>
      <c r="R765" s="75"/>
      <c r="S765" s="75"/>
      <c r="T765" s="75"/>
    </row>
    <row r="766" spans="1:20">
      <c r="A766" s="63"/>
      <c r="B766" s="75"/>
      <c r="C766" s="63"/>
      <c r="D766" s="75"/>
      <c r="E766" s="92"/>
      <c r="F766" s="92"/>
      <c r="G766" s="75"/>
      <c r="H766" s="75"/>
      <c r="I766" s="75"/>
      <c r="J766" s="75"/>
      <c r="K766" s="27"/>
      <c r="L766" s="96"/>
      <c r="M766" s="27"/>
      <c r="N766" s="96"/>
      <c r="O766" s="75"/>
      <c r="P766" s="75"/>
      <c r="Q766" s="75"/>
      <c r="R766" s="75"/>
      <c r="S766" s="75"/>
      <c r="T766" s="75"/>
    </row>
    <row r="767" spans="1:20">
      <c r="A767" s="63"/>
      <c r="B767" s="75"/>
      <c r="C767" s="63"/>
      <c r="D767" s="75"/>
      <c r="E767" s="92"/>
      <c r="F767" s="92"/>
      <c r="G767" s="75"/>
      <c r="H767" s="75"/>
      <c r="I767" s="75"/>
      <c r="J767" s="75"/>
      <c r="K767" s="27"/>
      <c r="L767" s="96"/>
      <c r="M767" s="27"/>
      <c r="N767" s="96"/>
      <c r="O767" s="75"/>
      <c r="P767" s="75"/>
      <c r="Q767" s="75"/>
      <c r="R767" s="75"/>
      <c r="S767" s="75"/>
      <c r="T767" s="75"/>
    </row>
    <row r="768" spans="1:20">
      <c r="A768" s="63"/>
      <c r="B768" s="75"/>
      <c r="C768" s="63"/>
      <c r="D768" s="75"/>
      <c r="E768" s="92"/>
      <c r="F768" s="92"/>
      <c r="G768" s="75"/>
      <c r="H768" s="75"/>
      <c r="I768" s="75"/>
      <c r="J768" s="75"/>
      <c r="K768" s="27"/>
      <c r="L768" s="96"/>
      <c r="M768" s="27"/>
      <c r="N768" s="96"/>
      <c r="O768" s="75"/>
      <c r="P768" s="75"/>
      <c r="Q768" s="75"/>
      <c r="R768" s="75"/>
      <c r="S768" s="75"/>
      <c r="T768" s="75"/>
    </row>
    <row r="769" spans="1:20">
      <c r="A769" s="63"/>
      <c r="B769" s="75"/>
      <c r="C769" s="63"/>
      <c r="D769" s="75"/>
      <c r="E769" s="92"/>
      <c r="F769" s="92"/>
      <c r="G769" s="75"/>
      <c r="H769" s="75"/>
      <c r="I769" s="75"/>
      <c r="J769" s="75"/>
      <c r="K769" s="27"/>
      <c r="L769" s="96"/>
      <c r="M769" s="27"/>
      <c r="N769" s="96"/>
      <c r="O769" s="75"/>
      <c r="P769" s="75"/>
      <c r="Q769" s="75"/>
      <c r="R769" s="75"/>
      <c r="S769" s="75"/>
      <c r="T769" s="75"/>
    </row>
    <row r="770" spans="1:20">
      <c r="A770" s="63"/>
      <c r="B770" s="75"/>
      <c r="C770" s="63"/>
      <c r="D770" s="75"/>
      <c r="E770" s="92"/>
      <c r="F770" s="92"/>
      <c r="G770" s="75"/>
      <c r="H770" s="75"/>
      <c r="I770" s="75"/>
      <c r="J770" s="75"/>
      <c r="K770" s="27"/>
      <c r="L770" s="96"/>
      <c r="M770" s="27"/>
      <c r="N770" s="96"/>
      <c r="O770" s="75"/>
      <c r="P770" s="75"/>
      <c r="Q770" s="75"/>
      <c r="R770" s="75"/>
      <c r="S770" s="75"/>
      <c r="T770" s="75"/>
    </row>
    <row r="771" spans="1:20">
      <c r="A771" s="63"/>
      <c r="B771" s="75"/>
      <c r="C771" s="63"/>
      <c r="D771" s="75"/>
      <c r="E771" s="92"/>
      <c r="F771" s="92"/>
      <c r="G771" s="75"/>
      <c r="H771" s="75"/>
      <c r="I771" s="75"/>
      <c r="J771" s="75"/>
      <c r="K771" s="27"/>
      <c r="L771" s="96"/>
      <c r="M771" s="27"/>
      <c r="N771" s="96"/>
      <c r="O771" s="75"/>
      <c r="P771" s="75"/>
      <c r="Q771" s="75"/>
      <c r="R771" s="75"/>
      <c r="S771" s="75"/>
      <c r="T771" s="75"/>
    </row>
    <row r="772" spans="1:20">
      <c r="A772" s="63"/>
      <c r="B772" s="75"/>
      <c r="C772" s="63"/>
      <c r="D772" s="75"/>
      <c r="E772" s="92"/>
      <c r="F772" s="92"/>
      <c r="G772" s="75"/>
      <c r="H772" s="75"/>
      <c r="I772" s="75"/>
      <c r="J772" s="75"/>
      <c r="K772" s="27"/>
      <c r="L772" s="96"/>
      <c r="M772" s="27"/>
      <c r="N772" s="96"/>
      <c r="O772" s="75"/>
      <c r="P772" s="75"/>
      <c r="Q772" s="75"/>
      <c r="R772" s="75"/>
      <c r="S772" s="75"/>
      <c r="T772" s="75"/>
    </row>
    <row r="773" spans="1:20">
      <c r="A773" s="63"/>
      <c r="B773" s="75"/>
      <c r="C773" s="63"/>
      <c r="D773" s="75"/>
      <c r="E773" s="92"/>
      <c r="F773" s="92"/>
      <c r="G773" s="75"/>
      <c r="H773" s="75"/>
      <c r="I773" s="75"/>
      <c r="J773" s="75"/>
      <c r="K773" s="27"/>
      <c r="L773" s="96"/>
      <c r="M773" s="27"/>
      <c r="N773" s="96"/>
      <c r="O773" s="75"/>
      <c r="P773" s="75"/>
      <c r="Q773" s="75"/>
      <c r="R773" s="75"/>
      <c r="S773" s="75"/>
      <c r="T773" s="75"/>
    </row>
    <row r="774" spans="1:20">
      <c r="A774" s="63"/>
      <c r="B774" s="75"/>
      <c r="C774" s="63"/>
      <c r="D774" s="75"/>
      <c r="E774" s="92"/>
      <c r="F774" s="92"/>
      <c r="G774" s="75"/>
      <c r="H774" s="75"/>
      <c r="I774" s="75"/>
      <c r="J774" s="75"/>
      <c r="K774" s="27"/>
      <c r="L774" s="96"/>
      <c r="M774" s="27"/>
      <c r="N774" s="96"/>
      <c r="O774" s="75"/>
      <c r="P774" s="75"/>
      <c r="Q774" s="75"/>
      <c r="R774" s="75"/>
      <c r="S774" s="75"/>
      <c r="T774" s="75"/>
    </row>
    <row r="775" spans="1:20">
      <c r="A775" s="63"/>
      <c r="B775" s="75"/>
      <c r="C775" s="63"/>
      <c r="D775" s="75"/>
      <c r="E775" s="92"/>
      <c r="F775" s="92"/>
      <c r="G775" s="75"/>
      <c r="H775" s="75"/>
      <c r="I775" s="75"/>
      <c r="J775" s="75"/>
      <c r="K775" s="27"/>
      <c r="L775" s="96"/>
      <c r="M775" s="27"/>
      <c r="N775" s="96"/>
      <c r="O775" s="75"/>
      <c r="P775" s="75"/>
      <c r="Q775" s="75"/>
      <c r="R775" s="75"/>
      <c r="S775" s="75"/>
      <c r="T775" s="75"/>
    </row>
    <row r="776" spans="1:20">
      <c r="A776" s="63"/>
      <c r="B776" s="75"/>
      <c r="C776" s="63"/>
      <c r="D776" s="75"/>
      <c r="E776" s="92"/>
      <c r="F776" s="92"/>
      <c r="G776" s="75"/>
      <c r="H776" s="75"/>
      <c r="I776" s="75"/>
      <c r="J776" s="75"/>
      <c r="K776" s="27"/>
      <c r="L776" s="96"/>
      <c r="M776" s="27"/>
      <c r="N776" s="96"/>
      <c r="O776" s="75"/>
      <c r="P776" s="75"/>
      <c r="Q776" s="75"/>
      <c r="R776" s="75"/>
      <c r="S776" s="75"/>
      <c r="T776" s="75"/>
    </row>
    <row r="777" spans="1:20">
      <c r="A777" s="63"/>
      <c r="B777" s="75"/>
      <c r="C777" s="63"/>
      <c r="D777" s="75"/>
      <c r="E777" s="92"/>
      <c r="F777" s="92"/>
      <c r="G777" s="75"/>
      <c r="H777" s="75"/>
      <c r="I777" s="75"/>
      <c r="J777" s="75"/>
      <c r="K777" s="27"/>
      <c r="L777" s="96"/>
      <c r="M777" s="27"/>
      <c r="N777" s="96"/>
      <c r="O777" s="75"/>
      <c r="P777" s="75"/>
      <c r="Q777" s="75"/>
      <c r="R777" s="75"/>
      <c r="S777" s="75"/>
      <c r="T777" s="75"/>
    </row>
    <row r="778" spans="1:20">
      <c r="A778" s="63"/>
      <c r="B778" s="75"/>
      <c r="C778" s="63"/>
      <c r="D778" s="75"/>
      <c r="E778" s="92"/>
      <c r="F778" s="92"/>
      <c r="G778" s="75"/>
      <c r="H778" s="75"/>
      <c r="I778" s="75"/>
      <c r="J778" s="75"/>
      <c r="K778" s="27"/>
      <c r="L778" s="96"/>
      <c r="M778" s="27"/>
      <c r="N778" s="96"/>
      <c r="O778" s="75"/>
      <c r="P778" s="75"/>
      <c r="Q778" s="75"/>
      <c r="R778" s="75"/>
      <c r="S778" s="75"/>
      <c r="T778" s="75"/>
    </row>
    <row r="779" spans="1:20">
      <c r="A779" s="63"/>
      <c r="B779" s="75"/>
      <c r="C779" s="63"/>
      <c r="D779" s="75"/>
      <c r="E779" s="92"/>
      <c r="F779" s="92"/>
      <c r="G779" s="75"/>
      <c r="H779" s="75"/>
      <c r="I779" s="75"/>
      <c r="J779" s="75"/>
      <c r="K779" s="27"/>
      <c r="L779" s="96"/>
      <c r="M779" s="27"/>
      <c r="N779" s="96"/>
      <c r="O779" s="75"/>
      <c r="P779" s="75"/>
      <c r="Q779" s="75"/>
      <c r="R779" s="75"/>
      <c r="S779" s="75"/>
      <c r="T779" s="75"/>
    </row>
    <row r="780" spans="1:20">
      <c r="A780" s="63"/>
      <c r="B780" s="75"/>
      <c r="C780" s="63"/>
      <c r="D780" s="75"/>
      <c r="E780" s="92"/>
      <c r="F780" s="92"/>
      <c r="G780" s="75"/>
      <c r="H780" s="75"/>
      <c r="I780" s="75"/>
      <c r="J780" s="75"/>
      <c r="K780" s="27"/>
      <c r="L780" s="96"/>
      <c r="M780" s="27"/>
      <c r="N780" s="96"/>
      <c r="O780" s="75"/>
      <c r="P780" s="75"/>
      <c r="Q780" s="75"/>
      <c r="R780" s="75"/>
      <c r="S780" s="75"/>
      <c r="T780" s="75"/>
    </row>
    <row r="781" spans="1:20">
      <c r="A781" s="63"/>
      <c r="B781" s="75"/>
      <c r="C781" s="63"/>
      <c r="D781" s="75"/>
      <c r="E781" s="92"/>
      <c r="F781" s="92"/>
      <c r="G781" s="75"/>
      <c r="H781" s="75"/>
      <c r="I781" s="75"/>
      <c r="J781" s="75"/>
      <c r="K781" s="27"/>
      <c r="L781" s="96"/>
      <c r="M781" s="27"/>
      <c r="N781" s="96"/>
      <c r="O781" s="75"/>
      <c r="P781" s="75"/>
      <c r="Q781" s="75"/>
      <c r="R781" s="75"/>
      <c r="S781" s="75"/>
      <c r="T781" s="75"/>
    </row>
    <row r="782" spans="1:20">
      <c r="A782" s="63"/>
      <c r="B782" s="75"/>
      <c r="C782" s="63"/>
      <c r="D782" s="75"/>
      <c r="E782" s="92"/>
      <c r="F782" s="92"/>
      <c r="G782" s="75"/>
      <c r="H782" s="75"/>
      <c r="I782" s="75"/>
      <c r="J782" s="75"/>
      <c r="K782" s="27"/>
      <c r="L782" s="96"/>
      <c r="M782" s="27"/>
      <c r="N782" s="96"/>
      <c r="O782" s="75"/>
      <c r="P782" s="75"/>
      <c r="Q782" s="75"/>
      <c r="R782" s="75"/>
      <c r="S782" s="75"/>
      <c r="T782" s="75"/>
    </row>
    <row r="783" spans="1:20">
      <c r="A783" s="63"/>
      <c r="B783" s="75"/>
      <c r="C783" s="63"/>
      <c r="D783" s="75"/>
      <c r="E783" s="92"/>
      <c r="F783" s="92"/>
      <c r="G783" s="75"/>
      <c r="H783" s="75"/>
      <c r="I783" s="75"/>
      <c r="J783" s="75"/>
      <c r="K783" s="27"/>
      <c r="L783" s="96"/>
      <c r="M783" s="27"/>
      <c r="N783" s="96"/>
      <c r="O783" s="75"/>
      <c r="P783" s="75"/>
      <c r="Q783" s="75"/>
      <c r="R783" s="75"/>
      <c r="S783" s="75"/>
      <c r="T783" s="75"/>
    </row>
    <row r="784" spans="1:20">
      <c r="A784" s="63"/>
      <c r="B784" s="75"/>
      <c r="C784" s="63"/>
      <c r="D784" s="75"/>
      <c r="E784" s="92"/>
      <c r="F784" s="92"/>
      <c r="G784" s="75"/>
      <c r="H784" s="75"/>
      <c r="I784" s="75"/>
      <c r="J784" s="75"/>
      <c r="K784" s="27"/>
      <c r="L784" s="96"/>
      <c r="M784" s="27"/>
      <c r="N784" s="96"/>
      <c r="O784" s="75"/>
      <c r="P784" s="75"/>
      <c r="Q784" s="75"/>
      <c r="R784" s="75"/>
      <c r="S784" s="75"/>
      <c r="T784" s="75"/>
    </row>
    <row r="785" spans="1:20">
      <c r="A785" s="63"/>
      <c r="B785" s="75"/>
      <c r="C785" s="63"/>
      <c r="D785" s="75"/>
      <c r="E785" s="92"/>
      <c r="F785" s="92"/>
      <c r="G785" s="75"/>
      <c r="H785" s="75"/>
      <c r="I785" s="75"/>
      <c r="J785" s="75"/>
      <c r="K785" s="27"/>
      <c r="L785" s="96"/>
      <c r="M785" s="27"/>
      <c r="N785" s="96"/>
      <c r="O785" s="75"/>
      <c r="P785" s="75"/>
      <c r="Q785" s="75"/>
      <c r="R785" s="75"/>
      <c r="S785" s="75"/>
      <c r="T785" s="75"/>
    </row>
    <row r="786" spans="1:20">
      <c r="A786" s="63"/>
      <c r="B786" s="75"/>
      <c r="C786" s="63"/>
      <c r="D786" s="75"/>
      <c r="E786" s="92"/>
      <c r="F786" s="92"/>
      <c r="G786" s="75"/>
      <c r="H786" s="75"/>
      <c r="I786" s="75"/>
      <c r="J786" s="75"/>
      <c r="K786" s="27"/>
      <c r="L786" s="96"/>
      <c r="M786" s="27"/>
      <c r="N786" s="96"/>
      <c r="O786" s="75"/>
      <c r="P786" s="75"/>
      <c r="Q786" s="75"/>
      <c r="R786" s="75"/>
      <c r="S786" s="75"/>
      <c r="T786" s="75"/>
    </row>
    <row r="787" spans="1:20">
      <c r="A787" s="63"/>
      <c r="B787" s="75"/>
      <c r="C787" s="63"/>
      <c r="D787" s="75"/>
      <c r="E787" s="92"/>
      <c r="F787" s="92"/>
      <c r="G787" s="75"/>
      <c r="H787" s="75"/>
      <c r="I787" s="75"/>
      <c r="J787" s="75"/>
      <c r="K787" s="27"/>
      <c r="L787" s="96"/>
      <c r="M787" s="27"/>
      <c r="N787" s="96"/>
      <c r="O787" s="75"/>
      <c r="P787" s="75"/>
      <c r="Q787" s="75"/>
      <c r="R787" s="75"/>
      <c r="S787" s="75"/>
      <c r="T787" s="75"/>
    </row>
    <row r="788" spans="1:20">
      <c r="A788" s="63"/>
      <c r="B788" s="75"/>
      <c r="C788" s="63"/>
      <c r="D788" s="75"/>
      <c r="E788" s="92"/>
      <c r="F788" s="92"/>
      <c r="G788" s="75"/>
      <c r="H788" s="75"/>
      <c r="I788" s="75"/>
      <c r="J788" s="75"/>
      <c r="K788" s="27"/>
      <c r="L788" s="96"/>
      <c r="M788" s="27"/>
      <c r="N788" s="96"/>
      <c r="O788" s="75"/>
      <c r="P788" s="75"/>
      <c r="Q788" s="75"/>
      <c r="R788" s="75"/>
      <c r="S788" s="75"/>
      <c r="T788" s="75"/>
    </row>
    <row r="789" spans="1:20">
      <c r="A789" s="63"/>
      <c r="B789" s="75"/>
      <c r="C789" s="63"/>
      <c r="D789" s="75"/>
      <c r="E789" s="92"/>
      <c r="F789" s="92"/>
      <c r="G789" s="75"/>
      <c r="H789" s="75"/>
      <c r="I789" s="75"/>
      <c r="J789" s="75"/>
      <c r="K789" s="27"/>
      <c r="L789" s="96"/>
      <c r="M789" s="27"/>
      <c r="N789" s="96"/>
      <c r="O789" s="75"/>
      <c r="P789" s="75"/>
      <c r="Q789" s="75"/>
      <c r="R789" s="75"/>
      <c r="S789" s="75"/>
      <c r="T789" s="75"/>
    </row>
    <row r="790" spans="1:20">
      <c r="A790" s="63"/>
      <c r="B790" s="75"/>
      <c r="C790" s="63"/>
      <c r="D790" s="75"/>
      <c r="E790" s="92"/>
      <c r="F790" s="92"/>
      <c r="G790" s="75"/>
      <c r="H790" s="75"/>
      <c r="I790" s="75"/>
      <c r="J790" s="75"/>
      <c r="K790" s="27"/>
      <c r="L790" s="96"/>
      <c r="M790" s="27"/>
      <c r="N790" s="96"/>
      <c r="O790" s="75"/>
      <c r="P790" s="75"/>
      <c r="Q790" s="75"/>
      <c r="R790" s="75"/>
      <c r="S790" s="75"/>
      <c r="T790" s="75"/>
    </row>
    <row r="791" spans="1:20">
      <c r="A791" s="63"/>
      <c r="B791" s="75"/>
      <c r="C791" s="63"/>
      <c r="D791" s="75"/>
      <c r="E791" s="92"/>
      <c r="F791" s="92"/>
      <c r="G791" s="75"/>
      <c r="H791" s="75"/>
      <c r="I791" s="75"/>
      <c r="J791" s="75"/>
      <c r="K791" s="27"/>
      <c r="L791" s="96"/>
      <c r="M791" s="27"/>
      <c r="N791" s="96"/>
      <c r="O791" s="75"/>
      <c r="P791" s="75"/>
      <c r="Q791" s="75"/>
      <c r="R791" s="75"/>
      <c r="S791" s="75"/>
      <c r="T791" s="75"/>
    </row>
    <row r="792" spans="1:20">
      <c r="A792" s="63"/>
      <c r="B792" s="75"/>
      <c r="C792" s="63"/>
      <c r="D792" s="75"/>
      <c r="E792" s="92"/>
      <c r="F792" s="92"/>
      <c r="G792" s="75"/>
      <c r="H792" s="75"/>
      <c r="I792" s="75"/>
      <c r="J792" s="75"/>
      <c r="K792" s="27"/>
      <c r="L792" s="96"/>
      <c r="M792" s="27"/>
      <c r="N792" s="96"/>
      <c r="O792" s="75"/>
      <c r="P792" s="75"/>
      <c r="Q792" s="75"/>
      <c r="R792" s="75"/>
      <c r="S792" s="75"/>
      <c r="T792" s="75"/>
    </row>
    <row r="793" spans="1:20">
      <c r="A793" s="63"/>
      <c r="B793" s="75"/>
      <c r="C793" s="63"/>
      <c r="D793" s="75"/>
      <c r="E793" s="92"/>
      <c r="F793" s="92"/>
      <c r="G793" s="75"/>
      <c r="H793" s="75"/>
      <c r="I793" s="75"/>
      <c r="J793" s="75"/>
      <c r="K793" s="27"/>
      <c r="L793" s="96"/>
      <c r="M793" s="27"/>
      <c r="N793" s="96"/>
      <c r="O793" s="75"/>
      <c r="P793" s="75"/>
      <c r="Q793" s="75"/>
      <c r="R793" s="75"/>
      <c r="S793" s="75"/>
      <c r="T793" s="75"/>
    </row>
    <row r="794" spans="1:20">
      <c r="A794" s="63"/>
      <c r="B794" s="75"/>
      <c r="C794" s="63"/>
      <c r="D794" s="75"/>
      <c r="E794" s="92"/>
      <c r="F794" s="92"/>
      <c r="G794" s="75"/>
      <c r="H794" s="75"/>
      <c r="I794" s="75"/>
      <c r="J794" s="75"/>
      <c r="K794" s="27"/>
      <c r="L794" s="96"/>
      <c r="M794" s="27"/>
      <c r="N794" s="96"/>
      <c r="O794" s="75"/>
      <c r="P794" s="75"/>
      <c r="Q794" s="75"/>
      <c r="R794" s="75"/>
      <c r="S794" s="75"/>
      <c r="T794" s="75"/>
    </row>
    <row r="795" spans="1:20">
      <c r="A795" s="63"/>
      <c r="B795" s="75"/>
      <c r="C795" s="63"/>
      <c r="D795" s="75"/>
      <c r="E795" s="92"/>
      <c r="F795" s="92"/>
      <c r="G795" s="75"/>
      <c r="H795" s="75"/>
      <c r="I795" s="75"/>
      <c r="J795" s="75"/>
      <c r="K795" s="27"/>
      <c r="L795" s="96"/>
      <c r="M795" s="27"/>
      <c r="N795" s="96"/>
      <c r="O795" s="75"/>
      <c r="P795" s="75"/>
      <c r="Q795" s="75"/>
      <c r="R795" s="75"/>
      <c r="S795" s="75"/>
      <c r="T795" s="75"/>
    </row>
    <row r="796" spans="1:20">
      <c r="A796" s="63"/>
      <c r="B796" s="75"/>
      <c r="C796" s="63"/>
      <c r="D796" s="75"/>
      <c r="E796" s="92"/>
      <c r="F796" s="92"/>
      <c r="G796" s="75"/>
      <c r="H796" s="75"/>
      <c r="I796" s="75"/>
      <c r="J796" s="75"/>
      <c r="K796" s="27"/>
      <c r="L796" s="96"/>
      <c r="M796" s="27"/>
      <c r="N796" s="96"/>
      <c r="O796" s="75"/>
      <c r="P796" s="75"/>
      <c r="Q796" s="75"/>
      <c r="R796" s="75"/>
      <c r="S796" s="75"/>
      <c r="T796" s="75"/>
    </row>
    <row r="797" spans="1:20">
      <c r="A797" s="63"/>
      <c r="B797" s="75"/>
      <c r="C797" s="63"/>
      <c r="D797" s="75"/>
      <c r="E797" s="92"/>
      <c r="F797" s="92"/>
      <c r="G797" s="75"/>
      <c r="H797" s="75"/>
      <c r="I797" s="75"/>
      <c r="J797" s="75"/>
      <c r="K797" s="27"/>
      <c r="L797" s="96"/>
      <c r="M797" s="27"/>
      <c r="N797" s="96"/>
      <c r="O797" s="75"/>
      <c r="P797" s="75"/>
      <c r="Q797" s="75"/>
      <c r="R797" s="75"/>
      <c r="S797" s="75"/>
      <c r="T797" s="75"/>
    </row>
    <row r="798" spans="1:20">
      <c r="A798" s="63"/>
      <c r="B798" s="75"/>
      <c r="C798" s="63"/>
      <c r="D798" s="75"/>
      <c r="E798" s="92"/>
      <c r="F798" s="92"/>
      <c r="G798" s="75"/>
      <c r="H798" s="75"/>
      <c r="I798" s="75"/>
      <c r="J798" s="75"/>
      <c r="K798" s="27"/>
      <c r="L798" s="96"/>
      <c r="M798" s="27"/>
      <c r="N798" s="96"/>
      <c r="O798" s="75"/>
      <c r="P798" s="75"/>
      <c r="Q798" s="75"/>
      <c r="R798" s="75"/>
      <c r="S798" s="75"/>
      <c r="T798" s="75"/>
    </row>
    <row r="799" spans="1:20">
      <c r="A799" s="63"/>
      <c r="B799" s="75"/>
      <c r="C799" s="63"/>
      <c r="D799" s="75"/>
      <c r="E799" s="92"/>
      <c r="F799" s="92"/>
      <c r="G799" s="75"/>
      <c r="H799" s="75"/>
      <c r="I799" s="75"/>
      <c r="J799" s="75"/>
      <c r="K799" s="27"/>
      <c r="L799" s="96"/>
      <c r="M799" s="27"/>
      <c r="N799" s="96"/>
      <c r="O799" s="75"/>
      <c r="P799" s="75"/>
      <c r="Q799" s="75"/>
      <c r="R799" s="75"/>
      <c r="S799" s="75"/>
      <c r="T799" s="75"/>
    </row>
    <row r="800" spans="1:20">
      <c r="A800" s="63"/>
      <c r="B800" s="75"/>
      <c r="C800" s="63"/>
      <c r="D800" s="75"/>
      <c r="E800" s="92"/>
      <c r="F800" s="92"/>
      <c r="G800" s="75"/>
      <c r="H800" s="75"/>
      <c r="I800" s="75"/>
      <c r="J800" s="75"/>
      <c r="K800" s="27"/>
      <c r="L800" s="96"/>
      <c r="M800" s="27"/>
      <c r="N800" s="96"/>
      <c r="O800" s="75"/>
      <c r="P800" s="75"/>
      <c r="Q800" s="75"/>
      <c r="R800" s="75"/>
      <c r="S800" s="75"/>
      <c r="T800" s="75"/>
    </row>
    <row r="801" spans="1:20">
      <c r="A801" s="63"/>
      <c r="B801" s="75"/>
      <c r="C801" s="63"/>
      <c r="D801" s="75"/>
      <c r="E801" s="92"/>
      <c r="F801" s="92"/>
      <c r="G801" s="75"/>
      <c r="H801" s="75"/>
      <c r="I801" s="75"/>
      <c r="J801" s="75"/>
      <c r="K801" s="27"/>
      <c r="L801" s="96"/>
      <c r="M801" s="27"/>
      <c r="N801" s="96"/>
      <c r="O801" s="75"/>
      <c r="P801" s="75"/>
      <c r="Q801" s="75"/>
      <c r="R801" s="75"/>
      <c r="S801" s="75"/>
      <c r="T801" s="75"/>
    </row>
    <row r="802" spans="1:20">
      <c r="A802" s="63"/>
      <c r="B802" s="75"/>
      <c r="C802" s="63"/>
      <c r="D802" s="75"/>
      <c r="E802" s="92"/>
      <c r="F802" s="92"/>
      <c r="G802" s="75"/>
      <c r="H802" s="75"/>
      <c r="I802" s="75"/>
      <c r="J802" s="75"/>
      <c r="K802" s="27"/>
      <c r="L802" s="96"/>
      <c r="M802" s="27"/>
      <c r="N802" s="96"/>
      <c r="O802" s="75"/>
      <c r="P802" s="75"/>
      <c r="Q802" s="75"/>
      <c r="R802" s="75"/>
      <c r="S802" s="75"/>
      <c r="T802" s="75"/>
    </row>
    <row r="803" spans="1:20">
      <c r="A803" s="63"/>
      <c r="B803" s="75"/>
      <c r="C803" s="63"/>
      <c r="D803" s="75"/>
      <c r="E803" s="92"/>
      <c r="F803" s="92"/>
      <c r="G803" s="75"/>
      <c r="H803" s="75"/>
      <c r="I803" s="75"/>
      <c r="J803" s="75"/>
      <c r="K803" s="27"/>
      <c r="L803" s="96"/>
      <c r="M803" s="27"/>
      <c r="N803" s="96"/>
      <c r="O803" s="75"/>
      <c r="P803" s="75"/>
      <c r="Q803" s="75"/>
      <c r="R803" s="75"/>
      <c r="S803" s="75"/>
      <c r="T803" s="75"/>
    </row>
    <row r="804" spans="1:20">
      <c r="A804" s="63"/>
      <c r="B804" s="75"/>
      <c r="C804" s="63"/>
      <c r="D804" s="75"/>
      <c r="E804" s="92"/>
      <c r="F804" s="92"/>
      <c r="G804" s="75"/>
      <c r="H804" s="75"/>
      <c r="I804" s="75"/>
      <c r="J804" s="75"/>
      <c r="K804" s="27"/>
      <c r="L804" s="96"/>
      <c r="M804" s="27"/>
      <c r="N804" s="96"/>
      <c r="O804" s="75"/>
      <c r="P804" s="75"/>
      <c r="Q804" s="75"/>
      <c r="R804" s="75"/>
      <c r="S804" s="75"/>
      <c r="T804" s="75"/>
    </row>
    <row r="805" spans="1:20">
      <c r="A805" s="63"/>
      <c r="B805" s="75"/>
      <c r="C805" s="63"/>
      <c r="D805" s="75"/>
      <c r="E805" s="92"/>
      <c r="F805" s="92"/>
      <c r="G805" s="75"/>
      <c r="H805" s="75"/>
      <c r="I805" s="75"/>
      <c r="J805" s="75"/>
      <c r="K805" s="27"/>
      <c r="L805" s="96"/>
      <c r="M805" s="27"/>
      <c r="N805" s="96"/>
      <c r="O805" s="75"/>
      <c r="P805" s="75"/>
      <c r="Q805" s="75"/>
      <c r="R805" s="75"/>
      <c r="S805" s="75"/>
      <c r="T805" s="75"/>
    </row>
    <row r="806" spans="1:20">
      <c r="A806" s="63"/>
      <c r="B806" s="75"/>
      <c r="C806" s="63"/>
      <c r="D806" s="75"/>
      <c r="E806" s="92"/>
      <c r="F806" s="92"/>
      <c r="G806" s="75"/>
      <c r="H806" s="75"/>
      <c r="I806" s="75"/>
      <c r="J806" s="75"/>
      <c r="K806" s="27"/>
      <c r="L806" s="96"/>
      <c r="M806" s="27"/>
      <c r="N806" s="96"/>
      <c r="O806" s="75"/>
      <c r="P806" s="75"/>
      <c r="Q806" s="75"/>
      <c r="R806" s="75"/>
      <c r="S806" s="75"/>
      <c r="T806" s="75"/>
    </row>
    <row r="807" spans="1:20">
      <c r="A807" s="63"/>
      <c r="B807" s="75"/>
      <c r="C807" s="63"/>
      <c r="D807" s="75"/>
      <c r="E807" s="92"/>
      <c r="F807" s="92"/>
      <c r="G807" s="75"/>
      <c r="H807" s="75"/>
      <c r="I807" s="75"/>
      <c r="J807" s="75"/>
      <c r="K807" s="27"/>
      <c r="L807" s="96"/>
      <c r="M807" s="27"/>
      <c r="N807" s="96"/>
      <c r="O807" s="75"/>
      <c r="P807" s="75"/>
      <c r="Q807" s="75"/>
      <c r="R807" s="75"/>
      <c r="S807" s="75"/>
      <c r="T807" s="75"/>
    </row>
    <row r="808" spans="1:20">
      <c r="A808" s="63"/>
      <c r="B808" s="75"/>
      <c r="C808" s="63"/>
      <c r="D808" s="75"/>
      <c r="E808" s="92"/>
      <c r="F808" s="92"/>
      <c r="G808" s="75"/>
      <c r="H808" s="75"/>
      <c r="I808" s="75"/>
      <c r="J808" s="75"/>
      <c r="K808" s="27"/>
      <c r="L808" s="96"/>
      <c r="M808" s="27"/>
      <c r="N808" s="96"/>
      <c r="O808" s="75"/>
      <c r="P808" s="75"/>
      <c r="Q808" s="75"/>
      <c r="R808" s="75"/>
      <c r="S808" s="75"/>
      <c r="T808" s="75"/>
    </row>
    <row r="809" spans="1:20">
      <c r="A809" s="63"/>
      <c r="B809" s="75"/>
      <c r="C809" s="63"/>
      <c r="D809" s="75"/>
      <c r="E809" s="92"/>
      <c r="F809" s="92"/>
      <c r="G809" s="75"/>
      <c r="H809" s="75"/>
      <c r="I809" s="75"/>
      <c r="J809" s="75"/>
      <c r="K809" s="27"/>
      <c r="L809" s="96"/>
      <c r="M809" s="27"/>
      <c r="N809" s="96"/>
      <c r="O809" s="75"/>
      <c r="P809" s="75"/>
      <c r="Q809" s="75"/>
      <c r="R809" s="75"/>
      <c r="S809" s="75"/>
      <c r="T809" s="75"/>
    </row>
    <row r="810" spans="1:20">
      <c r="A810" s="63"/>
      <c r="B810" s="75"/>
      <c r="C810" s="63"/>
      <c r="D810" s="75"/>
      <c r="E810" s="92"/>
      <c r="F810" s="92"/>
      <c r="G810" s="75"/>
      <c r="H810" s="75"/>
      <c r="I810" s="75"/>
      <c r="J810" s="75"/>
      <c r="K810" s="27"/>
      <c r="L810" s="96"/>
      <c r="M810" s="27"/>
      <c r="N810" s="96"/>
      <c r="O810" s="75"/>
      <c r="P810" s="75"/>
      <c r="Q810" s="75"/>
      <c r="R810" s="75"/>
      <c r="S810" s="75"/>
      <c r="T810" s="75"/>
    </row>
    <row r="811" spans="1:20">
      <c r="A811" s="63"/>
      <c r="B811" s="75"/>
      <c r="C811" s="63"/>
      <c r="D811" s="75"/>
      <c r="E811" s="92"/>
      <c r="F811" s="92"/>
      <c r="G811" s="75"/>
      <c r="H811" s="75"/>
      <c r="I811" s="75"/>
      <c r="J811" s="75"/>
      <c r="K811" s="27"/>
      <c r="L811" s="96"/>
      <c r="M811" s="27"/>
      <c r="N811" s="96"/>
      <c r="O811" s="75"/>
      <c r="P811" s="75"/>
      <c r="Q811" s="75"/>
      <c r="R811" s="75"/>
      <c r="S811" s="75"/>
      <c r="T811" s="75"/>
    </row>
    <row r="812" spans="1:20">
      <c r="A812" s="63"/>
      <c r="B812" s="75"/>
      <c r="C812" s="63"/>
      <c r="D812" s="75"/>
      <c r="E812" s="92"/>
      <c r="F812" s="92"/>
      <c r="G812" s="75"/>
      <c r="H812" s="75"/>
      <c r="I812" s="75"/>
      <c r="J812" s="75"/>
      <c r="K812" s="27"/>
      <c r="L812" s="96"/>
      <c r="M812" s="27"/>
      <c r="N812" s="96"/>
      <c r="O812" s="75"/>
      <c r="P812" s="75"/>
      <c r="Q812" s="75"/>
      <c r="R812" s="75"/>
      <c r="S812" s="75"/>
      <c r="T812" s="75"/>
    </row>
    <row r="813" spans="1:20">
      <c r="A813" s="63"/>
      <c r="B813" s="75"/>
      <c r="C813" s="63"/>
      <c r="D813" s="75"/>
      <c r="E813" s="92"/>
      <c r="F813" s="92"/>
      <c r="G813" s="75"/>
      <c r="H813" s="75"/>
      <c r="I813" s="75"/>
      <c r="J813" s="75"/>
      <c r="K813" s="27"/>
      <c r="L813" s="96"/>
      <c r="M813" s="27"/>
      <c r="N813" s="96"/>
      <c r="O813" s="75"/>
      <c r="P813" s="75"/>
      <c r="Q813" s="75"/>
      <c r="R813" s="75"/>
      <c r="S813" s="75"/>
      <c r="T813" s="75"/>
    </row>
    <row r="814" spans="1:20">
      <c r="A814" s="63"/>
      <c r="B814" s="75"/>
      <c r="C814" s="63"/>
      <c r="D814" s="75"/>
      <c r="E814" s="92"/>
      <c r="F814" s="92"/>
      <c r="G814" s="75"/>
      <c r="H814" s="75"/>
      <c r="I814" s="75"/>
      <c r="J814" s="75"/>
      <c r="K814" s="27"/>
      <c r="L814" s="96"/>
      <c r="M814" s="27"/>
      <c r="N814" s="96"/>
      <c r="O814" s="75"/>
      <c r="P814" s="75"/>
      <c r="Q814" s="75"/>
      <c r="R814" s="75"/>
      <c r="S814" s="75"/>
      <c r="T814" s="75"/>
    </row>
    <row r="815" spans="1:20">
      <c r="A815" s="63"/>
      <c r="B815" s="75"/>
      <c r="C815" s="63"/>
      <c r="D815" s="75"/>
      <c r="E815" s="92"/>
      <c r="F815" s="92"/>
      <c r="G815" s="75"/>
      <c r="H815" s="75"/>
      <c r="I815" s="75"/>
      <c r="J815" s="75"/>
      <c r="K815" s="27"/>
      <c r="L815" s="96"/>
      <c r="M815" s="27"/>
      <c r="N815" s="96"/>
      <c r="O815" s="75"/>
      <c r="P815" s="75"/>
      <c r="Q815" s="75"/>
      <c r="R815" s="75"/>
      <c r="S815" s="75"/>
      <c r="T815" s="75"/>
    </row>
    <row r="816" spans="1:20">
      <c r="A816" s="63"/>
      <c r="B816" s="75"/>
      <c r="C816" s="63"/>
      <c r="D816" s="75"/>
      <c r="E816" s="92"/>
      <c r="F816" s="92"/>
      <c r="G816" s="75"/>
      <c r="H816" s="75"/>
      <c r="I816" s="75"/>
      <c r="J816" s="75"/>
      <c r="K816" s="27"/>
      <c r="L816" s="96"/>
      <c r="M816" s="27"/>
      <c r="N816" s="96"/>
      <c r="O816" s="75"/>
      <c r="P816" s="75"/>
      <c r="Q816" s="75"/>
      <c r="R816" s="75"/>
      <c r="S816" s="75"/>
      <c r="T816" s="75"/>
    </row>
    <row r="817" spans="1:20">
      <c r="A817" s="63"/>
      <c r="B817" s="75"/>
      <c r="C817" s="63"/>
      <c r="D817" s="75"/>
      <c r="E817" s="92"/>
      <c r="F817" s="92"/>
      <c r="G817" s="75"/>
      <c r="H817" s="75"/>
      <c r="I817" s="75"/>
      <c r="J817" s="75"/>
      <c r="K817" s="27"/>
      <c r="L817" s="96"/>
      <c r="M817" s="27"/>
      <c r="N817" s="96"/>
      <c r="O817" s="75"/>
      <c r="P817" s="75"/>
      <c r="Q817" s="75"/>
      <c r="R817" s="75"/>
      <c r="S817" s="75"/>
      <c r="T817" s="75"/>
    </row>
    <row r="818" spans="1:20">
      <c r="A818" s="63"/>
      <c r="B818" s="75"/>
      <c r="C818" s="63"/>
      <c r="D818" s="75"/>
      <c r="E818" s="92"/>
      <c r="F818" s="92"/>
      <c r="G818" s="75"/>
      <c r="H818" s="75"/>
      <c r="I818" s="75"/>
      <c r="J818" s="75"/>
      <c r="K818" s="27"/>
      <c r="L818" s="96"/>
      <c r="M818" s="27"/>
      <c r="N818" s="96"/>
      <c r="O818" s="75"/>
      <c r="P818" s="75"/>
      <c r="Q818" s="75"/>
      <c r="R818" s="75"/>
      <c r="S818" s="75"/>
      <c r="T818" s="75"/>
    </row>
    <row r="819" spans="1:20">
      <c r="A819" s="63"/>
      <c r="B819" s="75"/>
      <c r="C819" s="63"/>
      <c r="D819" s="75"/>
      <c r="E819" s="92"/>
      <c r="F819" s="92"/>
      <c r="G819" s="75"/>
      <c r="H819" s="75"/>
      <c r="I819" s="75"/>
      <c r="J819" s="75"/>
      <c r="K819" s="27"/>
      <c r="L819" s="96"/>
      <c r="M819" s="27"/>
      <c r="N819" s="96"/>
      <c r="O819" s="75"/>
      <c r="P819" s="75"/>
      <c r="Q819" s="75"/>
      <c r="R819" s="75"/>
      <c r="S819" s="75"/>
      <c r="T819" s="75"/>
    </row>
    <row r="820" spans="1:20">
      <c r="A820" s="63"/>
      <c r="B820" s="75"/>
      <c r="C820" s="63"/>
      <c r="D820" s="75"/>
      <c r="E820" s="92"/>
      <c r="F820" s="92"/>
      <c r="G820" s="75"/>
      <c r="H820" s="75"/>
      <c r="I820" s="75"/>
      <c r="J820" s="75"/>
      <c r="K820" s="27"/>
      <c r="L820" s="96"/>
      <c r="M820" s="27"/>
      <c r="N820" s="96"/>
      <c r="O820" s="75"/>
      <c r="P820" s="75"/>
      <c r="Q820" s="75"/>
      <c r="R820" s="75"/>
      <c r="S820" s="75"/>
      <c r="T820" s="75"/>
    </row>
    <row r="821" spans="1:20">
      <c r="A821" s="63"/>
      <c r="B821" s="75"/>
      <c r="C821" s="63"/>
      <c r="D821" s="75"/>
      <c r="E821" s="92"/>
      <c r="F821" s="92"/>
      <c r="G821" s="75"/>
      <c r="H821" s="75"/>
      <c r="I821" s="75"/>
      <c r="J821" s="75"/>
      <c r="K821" s="27"/>
      <c r="L821" s="96"/>
      <c r="M821" s="27"/>
      <c r="N821" s="96"/>
      <c r="O821" s="75"/>
      <c r="P821" s="75"/>
      <c r="Q821" s="75"/>
      <c r="R821" s="75"/>
      <c r="S821" s="75"/>
      <c r="T821" s="75"/>
    </row>
    <row r="822" spans="1:20">
      <c r="A822" s="63"/>
      <c r="B822" s="75"/>
      <c r="C822" s="63"/>
      <c r="D822" s="75"/>
      <c r="E822" s="92"/>
      <c r="F822" s="92"/>
      <c r="G822" s="75"/>
      <c r="H822" s="75"/>
      <c r="I822" s="75"/>
      <c r="J822" s="75"/>
      <c r="K822" s="27"/>
      <c r="L822" s="96"/>
      <c r="M822" s="27"/>
      <c r="N822" s="96"/>
      <c r="O822" s="75"/>
      <c r="P822" s="75"/>
      <c r="Q822" s="75"/>
      <c r="R822" s="75"/>
      <c r="S822" s="75"/>
      <c r="T822" s="75"/>
    </row>
    <row r="823" spans="1:20">
      <c r="A823" s="63"/>
      <c r="B823" s="75"/>
      <c r="C823" s="63"/>
      <c r="D823" s="75"/>
      <c r="E823" s="92"/>
      <c r="F823" s="92"/>
      <c r="G823" s="75"/>
      <c r="H823" s="75"/>
      <c r="I823" s="75"/>
      <c r="J823" s="75"/>
      <c r="K823" s="27"/>
      <c r="L823" s="96"/>
      <c r="M823" s="27"/>
      <c r="N823" s="96"/>
      <c r="O823" s="75"/>
      <c r="P823" s="75"/>
      <c r="Q823" s="75"/>
      <c r="R823" s="75"/>
      <c r="S823" s="75"/>
      <c r="T823" s="75"/>
    </row>
    <row r="824" spans="1:20">
      <c r="A824" s="63"/>
      <c r="B824" s="75"/>
      <c r="C824" s="63"/>
      <c r="D824" s="75"/>
      <c r="E824" s="92"/>
      <c r="F824" s="92"/>
      <c r="G824" s="75"/>
      <c r="H824" s="75"/>
      <c r="I824" s="75"/>
      <c r="J824" s="75"/>
      <c r="K824" s="27"/>
      <c r="L824" s="96"/>
      <c r="M824" s="27"/>
      <c r="N824" s="96"/>
      <c r="O824" s="75"/>
      <c r="P824" s="75"/>
      <c r="Q824" s="75"/>
      <c r="R824" s="75"/>
      <c r="S824" s="75"/>
      <c r="T824" s="75"/>
    </row>
    <row r="825" spans="1:20">
      <c r="A825" s="63"/>
      <c r="B825" s="75"/>
      <c r="C825" s="63"/>
      <c r="D825" s="75"/>
      <c r="E825" s="92"/>
      <c r="F825" s="92"/>
      <c r="G825" s="75"/>
      <c r="H825" s="75"/>
      <c r="I825" s="75"/>
      <c r="J825" s="75"/>
      <c r="K825" s="27"/>
      <c r="L825" s="96"/>
      <c r="M825" s="27"/>
      <c r="N825" s="96"/>
      <c r="O825" s="75"/>
      <c r="P825" s="75"/>
      <c r="Q825" s="75"/>
      <c r="R825" s="75"/>
      <c r="S825" s="75"/>
      <c r="T825" s="75"/>
    </row>
    <row r="826" spans="1:20">
      <c r="A826" s="63"/>
      <c r="B826" s="75"/>
      <c r="C826" s="63"/>
      <c r="D826" s="75"/>
      <c r="E826" s="92"/>
      <c r="F826" s="92"/>
      <c r="G826" s="75"/>
      <c r="H826" s="75"/>
      <c r="I826" s="75"/>
      <c r="J826" s="75"/>
      <c r="K826" s="27"/>
      <c r="L826" s="96"/>
      <c r="M826" s="27"/>
      <c r="N826" s="96"/>
      <c r="O826" s="75"/>
      <c r="P826" s="75"/>
      <c r="Q826" s="75"/>
      <c r="R826" s="75"/>
      <c r="S826" s="75"/>
      <c r="T826" s="75"/>
    </row>
    <row r="827" spans="1:20">
      <c r="A827" s="63"/>
      <c r="B827" s="75"/>
      <c r="C827" s="63"/>
      <c r="D827" s="75"/>
      <c r="E827" s="92"/>
      <c r="F827" s="92"/>
      <c r="G827" s="75"/>
      <c r="H827" s="75"/>
      <c r="I827" s="75"/>
      <c r="J827" s="75"/>
      <c r="K827" s="27"/>
      <c r="L827" s="96"/>
      <c r="M827" s="27"/>
      <c r="N827" s="96"/>
      <c r="O827" s="75"/>
      <c r="P827" s="75"/>
      <c r="Q827" s="75"/>
      <c r="R827" s="75"/>
      <c r="S827" s="75"/>
      <c r="T827" s="75"/>
    </row>
    <row r="828" spans="1:20">
      <c r="A828" s="63"/>
      <c r="B828" s="75"/>
      <c r="C828" s="63"/>
      <c r="D828" s="75"/>
      <c r="E828" s="92"/>
      <c r="F828" s="92"/>
      <c r="G828" s="75"/>
      <c r="H828" s="75"/>
      <c r="I828" s="75"/>
      <c r="J828" s="75"/>
      <c r="K828" s="27"/>
      <c r="L828" s="96"/>
      <c r="M828" s="27"/>
      <c r="N828" s="96"/>
      <c r="O828" s="75"/>
      <c r="P828" s="75"/>
      <c r="Q828" s="75"/>
      <c r="R828" s="75"/>
      <c r="S828" s="75"/>
      <c r="T828" s="75"/>
    </row>
    <row r="829" spans="1:20">
      <c r="A829" s="63"/>
      <c r="B829" s="75"/>
      <c r="C829" s="63"/>
      <c r="D829" s="75"/>
      <c r="E829" s="92"/>
      <c r="F829" s="92"/>
      <c r="G829" s="75"/>
      <c r="H829" s="75"/>
      <c r="I829" s="75"/>
      <c r="J829" s="75"/>
      <c r="K829" s="27"/>
      <c r="L829" s="96"/>
      <c r="M829" s="27"/>
      <c r="N829" s="96"/>
      <c r="O829" s="75"/>
      <c r="P829" s="75"/>
      <c r="Q829" s="75"/>
      <c r="R829" s="75"/>
      <c r="S829" s="75"/>
      <c r="T829" s="75"/>
    </row>
  </sheetData>
  <autoFilter ref="A3:O460"/>
  <phoneticPr fontId="37" type="noConversion"/>
  <hyperlinks>
    <hyperlink ref="B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H21"/>
  <sheetViews>
    <sheetView zoomScale="85" zoomScaleNormal="85" workbookViewId="0">
      <pane ySplit="5" topLeftCell="A6" activePane="bottomLeft" state="frozen"/>
      <selection activeCell="G23" sqref="G23"/>
      <selection pane="bottomLeft" activeCell="H20" sqref="H20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193" t="s">
        <v>0</v>
      </c>
      <c r="C2" s="197"/>
      <c r="E2" s="3"/>
      <c r="F2" s="3" t="s">
        <v>356</v>
      </c>
      <c r="G2" s="3" t="s">
        <v>357</v>
      </c>
      <c r="H2" s="3"/>
    </row>
    <row r="3" spans="1:8">
      <c r="B3" s="5" t="s">
        <v>2043</v>
      </c>
      <c r="C3" s="5" t="s">
        <v>1989</v>
      </c>
      <c r="D3" s="2" t="s">
        <v>2</v>
      </c>
      <c r="E3" s="3"/>
      <c r="F3" s="3">
        <v>95</v>
      </c>
      <c r="G3" s="2" t="s">
        <v>581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1991</v>
      </c>
      <c r="C6" s="68" t="s">
        <v>97</v>
      </c>
      <c r="D6" s="144" t="s">
        <v>317</v>
      </c>
      <c r="E6" s="69" t="s">
        <v>318</v>
      </c>
      <c r="F6" s="25" t="s">
        <v>8</v>
      </c>
      <c r="G6" s="65" t="s">
        <v>2018</v>
      </c>
      <c r="H6" s="68" t="s">
        <v>86</v>
      </c>
    </row>
    <row r="7" spans="1:8" s="15" customFormat="1">
      <c r="A7" s="27">
        <v>2</v>
      </c>
      <c r="B7" s="27" t="s">
        <v>476</v>
      </c>
      <c r="C7" s="28" t="s">
        <v>477</v>
      </c>
      <c r="D7" s="144" t="s">
        <v>317</v>
      </c>
      <c r="E7" s="25" t="s">
        <v>925</v>
      </c>
      <c r="F7" s="25" t="s">
        <v>8</v>
      </c>
      <c r="G7" s="25"/>
      <c r="H7" s="28" t="s">
        <v>489</v>
      </c>
    </row>
    <row r="8" spans="1:8" s="15" customFormat="1">
      <c r="A8" s="63">
        <v>3</v>
      </c>
      <c r="B8" s="27" t="s">
        <v>1992</v>
      </c>
      <c r="C8" s="83" t="s">
        <v>2002</v>
      </c>
      <c r="D8" s="144" t="s">
        <v>2007</v>
      </c>
      <c r="E8" s="25"/>
      <c r="F8" s="25" t="s">
        <v>8</v>
      </c>
      <c r="G8" s="25"/>
      <c r="H8" s="28"/>
    </row>
    <row r="9" spans="1:8" s="15" customFormat="1">
      <c r="A9" s="63">
        <v>4</v>
      </c>
      <c r="B9" s="27" t="s">
        <v>1993</v>
      </c>
      <c r="C9" s="83" t="s">
        <v>2001</v>
      </c>
      <c r="D9" s="78" t="s">
        <v>2008</v>
      </c>
      <c r="E9" s="25"/>
      <c r="F9" s="25" t="s">
        <v>8</v>
      </c>
      <c r="G9" s="25"/>
      <c r="H9" s="28"/>
    </row>
    <row r="10" spans="1:8" s="15" customFormat="1">
      <c r="A10" s="27">
        <v>5</v>
      </c>
      <c r="B10" s="27" t="s">
        <v>1994</v>
      </c>
      <c r="C10" s="83" t="s">
        <v>2045</v>
      </c>
      <c r="D10" s="144" t="s">
        <v>2009</v>
      </c>
      <c r="E10" s="25"/>
      <c r="F10" s="25" t="s">
        <v>8</v>
      </c>
      <c r="G10" s="25"/>
      <c r="H10" s="28" t="s">
        <v>2051</v>
      </c>
    </row>
    <row r="11" spans="1:8" s="62" customFormat="1" ht="28">
      <c r="A11" s="63">
        <v>6</v>
      </c>
      <c r="B11" s="63" t="s">
        <v>1995</v>
      </c>
      <c r="C11" s="64" t="s">
        <v>2006</v>
      </c>
      <c r="D11" s="145" t="s">
        <v>2011</v>
      </c>
      <c r="E11" s="65"/>
      <c r="F11" s="65" t="s">
        <v>8</v>
      </c>
      <c r="G11" s="65"/>
      <c r="H11" s="64" t="s">
        <v>3484</v>
      </c>
    </row>
    <row r="12" spans="1:8" s="62" customFormat="1" ht="28">
      <c r="A12" s="63">
        <v>7</v>
      </c>
      <c r="B12" s="63" t="s">
        <v>1996</v>
      </c>
      <c r="C12" s="64" t="s">
        <v>2005</v>
      </c>
      <c r="D12" s="145" t="s">
        <v>2010</v>
      </c>
      <c r="E12" s="65"/>
      <c r="F12" s="65" t="s">
        <v>8</v>
      </c>
      <c r="G12" s="65"/>
      <c r="H12" s="64" t="s">
        <v>2016</v>
      </c>
    </row>
    <row r="13" spans="1:8" s="62" customFormat="1">
      <c r="A13" s="27">
        <v>8</v>
      </c>
      <c r="B13" s="63" t="s">
        <v>1997</v>
      </c>
      <c r="C13" s="64" t="s">
        <v>2000</v>
      </c>
      <c r="D13" s="144" t="s">
        <v>2012</v>
      </c>
      <c r="E13" s="65"/>
      <c r="F13" s="65"/>
      <c r="G13" s="65"/>
      <c r="H13" s="64"/>
    </row>
    <row r="14" spans="1:8" s="147" customFormat="1">
      <c r="A14" s="63">
        <v>9</v>
      </c>
      <c r="B14" s="70" t="s">
        <v>1998</v>
      </c>
      <c r="C14" s="71" t="s">
        <v>2003</v>
      </c>
      <c r="D14" s="146" t="s">
        <v>2013</v>
      </c>
      <c r="E14" s="72"/>
      <c r="F14" s="72"/>
      <c r="G14" s="19"/>
      <c r="H14" s="30"/>
    </row>
    <row r="15" spans="1:8" s="147" customFormat="1">
      <c r="A15" s="63">
        <v>10</v>
      </c>
      <c r="B15" s="70" t="s">
        <v>1999</v>
      </c>
      <c r="C15" s="71" t="s">
        <v>2004</v>
      </c>
      <c r="D15" s="146" t="s">
        <v>2014</v>
      </c>
      <c r="E15" s="72"/>
      <c r="F15" s="72"/>
      <c r="G15" s="19"/>
      <c r="H15" s="30"/>
    </row>
    <row r="16" spans="1:8" ht="28">
      <c r="A16" s="27">
        <v>11</v>
      </c>
      <c r="B16" s="84" t="s">
        <v>384</v>
      </c>
      <c r="C16" s="75" t="s">
        <v>117</v>
      </c>
      <c r="D16" s="80" t="s">
        <v>108</v>
      </c>
      <c r="E16" s="75"/>
      <c r="F16" s="25" t="s">
        <v>8</v>
      </c>
      <c r="G16" s="85" t="s">
        <v>379</v>
      </c>
      <c r="H16" s="76" t="s">
        <v>385</v>
      </c>
    </row>
    <row r="17" spans="1:8">
      <c r="A17" s="63">
        <v>12</v>
      </c>
      <c r="B17" s="84" t="s">
        <v>129</v>
      </c>
      <c r="C17" s="75" t="s">
        <v>118</v>
      </c>
      <c r="D17" s="80" t="s">
        <v>317</v>
      </c>
      <c r="E17" s="75"/>
      <c r="F17" s="75"/>
      <c r="G17" s="75"/>
      <c r="H17" s="56" t="s">
        <v>386</v>
      </c>
    </row>
    <row r="18" spans="1:8">
      <c r="A18" s="63">
        <v>13</v>
      </c>
      <c r="B18" s="84" t="s">
        <v>346</v>
      </c>
      <c r="C18" s="84" t="s">
        <v>921</v>
      </c>
      <c r="D18" s="80" t="s">
        <v>110</v>
      </c>
      <c r="E18" s="75"/>
      <c r="F18" s="25" t="s">
        <v>8</v>
      </c>
      <c r="G18" s="84" t="s">
        <v>387</v>
      </c>
      <c r="H18" s="75"/>
    </row>
    <row r="19" spans="1:8">
      <c r="A19" s="27">
        <v>14</v>
      </c>
      <c r="B19" s="84" t="s">
        <v>131</v>
      </c>
      <c r="C19" s="75" t="s">
        <v>119</v>
      </c>
      <c r="D19" s="80" t="s">
        <v>317</v>
      </c>
      <c r="E19" s="75"/>
      <c r="F19" s="75"/>
      <c r="G19" s="75"/>
      <c r="H19" s="56" t="s">
        <v>386</v>
      </c>
    </row>
    <row r="20" spans="1:8">
      <c r="A20" s="63">
        <v>15</v>
      </c>
      <c r="B20" s="84" t="s">
        <v>351</v>
      </c>
      <c r="C20" s="75" t="s">
        <v>11</v>
      </c>
      <c r="D20" s="80" t="s">
        <v>110</v>
      </c>
      <c r="E20" s="75"/>
      <c r="F20" s="25" t="s">
        <v>8</v>
      </c>
      <c r="G20" s="84" t="s">
        <v>387</v>
      </c>
      <c r="H20" s="75"/>
    </row>
    <row r="21" spans="1:8">
      <c r="A21" s="63">
        <v>16</v>
      </c>
      <c r="B21" s="75" t="s">
        <v>120</v>
      </c>
      <c r="C21" s="75" t="s">
        <v>94</v>
      </c>
      <c r="D21" s="148" t="s">
        <v>388</v>
      </c>
      <c r="E21" s="75"/>
      <c r="F21" s="75"/>
      <c r="G21" s="75"/>
      <c r="H21" s="75"/>
    </row>
  </sheetData>
  <mergeCells count="1">
    <mergeCell ref="B2:C2"/>
  </mergeCells>
  <phoneticPr fontId="41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14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A1:P1440"/>
  <sheetViews>
    <sheetView zoomScale="55" zoomScaleNormal="55" workbookViewId="0">
      <pane ySplit="3" topLeftCell="A1405" activePane="bottomLeft" state="frozen"/>
      <selection pane="bottomLeft" activeCell="B15" sqref="B15"/>
    </sheetView>
  </sheetViews>
  <sheetFormatPr defaultColWidth="8.90625" defaultRowHeight="14"/>
  <cols>
    <col min="1" max="1" width="26.26953125" customWidth="1"/>
    <col min="2" max="2" width="45.08984375" customWidth="1"/>
    <col min="3" max="3" width="21.08984375" customWidth="1"/>
    <col min="4" max="4" width="26.6328125" style="93" customWidth="1"/>
    <col min="5" max="5" width="22" customWidth="1"/>
    <col min="6" max="6" width="14.90625" customWidth="1"/>
    <col min="7" max="7" width="14.36328125" customWidth="1"/>
    <col min="8" max="8" width="22.08984375" customWidth="1"/>
    <col min="9" max="9" width="11.81640625" customWidth="1"/>
    <col min="10" max="10" width="22.6328125" customWidth="1"/>
    <col min="11" max="11" width="8.26953125" customWidth="1"/>
    <col min="12" max="12" width="22.81640625" customWidth="1"/>
    <col min="13" max="13" width="21.453125" customWidth="1"/>
    <col min="14" max="14" width="20.54296875" customWidth="1"/>
    <col min="15" max="15" width="25.08984375" customWidth="1"/>
    <col min="16" max="16" width="31.7265625" customWidth="1"/>
  </cols>
  <sheetData>
    <row r="1" spans="1:16" ht="20.5" customHeight="1">
      <c r="A1" s="74" t="s">
        <v>1990</v>
      </c>
      <c r="B1" s="2" t="s">
        <v>2</v>
      </c>
    </row>
    <row r="2" spans="1:16">
      <c r="B2" s="59" t="s">
        <v>2019</v>
      </c>
      <c r="C2" s="59" t="s">
        <v>2020</v>
      </c>
      <c r="D2" s="59" t="s">
        <v>2021</v>
      </c>
      <c r="E2" s="59" t="s">
        <v>2022</v>
      </c>
      <c r="F2" s="59" t="s">
        <v>2023</v>
      </c>
      <c r="G2" s="59" t="s">
        <v>2024</v>
      </c>
      <c r="H2" s="59" t="s">
        <v>2025</v>
      </c>
      <c r="I2" s="59" t="s">
        <v>2026</v>
      </c>
      <c r="J2" s="59" t="s">
        <v>2027</v>
      </c>
      <c r="K2" s="59" t="s">
        <v>2028</v>
      </c>
      <c r="L2" s="59" t="s">
        <v>2029</v>
      </c>
      <c r="M2" s="59" t="s">
        <v>2030</v>
      </c>
      <c r="N2" s="59" t="s">
        <v>2031</v>
      </c>
      <c r="O2" s="59" t="s">
        <v>2032</v>
      </c>
      <c r="P2" s="59" t="s">
        <v>2033</v>
      </c>
    </row>
    <row r="3" spans="1:16" s="62" customFormat="1">
      <c r="A3" s="63">
        <v>1</v>
      </c>
      <c r="B3" s="88" t="s">
        <v>2034</v>
      </c>
      <c r="C3" s="88" t="s">
        <v>2035</v>
      </c>
      <c r="D3" s="88" t="s">
        <v>1993</v>
      </c>
      <c r="E3" s="88" t="s">
        <v>1994</v>
      </c>
      <c r="F3" s="88" t="s">
        <v>1995</v>
      </c>
      <c r="G3" s="88" t="s">
        <v>1996</v>
      </c>
      <c r="H3" s="88" t="s">
        <v>4054</v>
      </c>
      <c r="I3" s="88" t="s">
        <v>1998</v>
      </c>
      <c r="J3" s="88" t="s">
        <v>2036</v>
      </c>
      <c r="K3" s="88" t="s">
        <v>2037</v>
      </c>
      <c r="L3" s="88" t="s">
        <v>2038</v>
      </c>
      <c r="M3" s="88" t="s">
        <v>2039</v>
      </c>
      <c r="N3" s="88" t="s">
        <v>2040</v>
      </c>
      <c r="O3" s="88" t="s">
        <v>2041</v>
      </c>
      <c r="P3" s="88" t="s">
        <v>2042</v>
      </c>
    </row>
    <row r="4" spans="1:16">
      <c r="A4" s="63" t="s">
        <v>4282</v>
      </c>
      <c r="B4" s="14" t="str">
        <f>VLOOKUP(P4,'护理记录单文书字典(数据)'!B$4:C$99,2,0)</f>
        <v>C1C105360CFAB21180ADEB460462A91E</v>
      </c>
      <c r="C4" s="87" t="s">
        <v>2046</v>
      </c>
      <c r="D4" s="14" t="s">
        <v>2047</v>
      </c>
      <c r="E4" s="87" t="s">
        <v>2048</v>
      </c>
      <c r="F4" s="87">
        <v>1</v>
      </c>
      <c r="G4" s="87">
        <v>1</v>
      </c>
      <c r="H4" s="14"/>
      <c r="I4" s="75"/>
      <c r="J4" s="75">
        <v>1</v>
      </c>
      <c r="K4" s="75" t="s">
        <v>162</v>
      </c>
      <c r="L4" s="75" t="s">
        <v>509</v>
      </c>
      <c r="M4" s="75" t="s">
        <v>535</v>
      </c>
      <c r="N4" s="75" t="s">
        <v>509</v>
      </c>
      <c r="O4" s="75" t="s">
        <v>535</v>
      </c>
      <c r="P4" s="159" t="s">
        <v>4283</v>
      </c>
    </row>
    <row r="5" spans="1:16">
      <c r="A5" s="63" t="s">
        <v>4282</v>
      </c>
      <c r="B5" s="14" t="str">
        <f>VLOOKUP(P5,'护理记录单文书字典(数据)'!B$4:C$99,2,0)</f>
        <v>C1C105360CFAB21180ADEB460462A91E</v>
      </c>
      <c r="C5" s="87" t="s">
        <v>4284</v>
      </c>
      <c r="D5" s="14" t="s">
        <v>4285</v>
      </c>
      <c r="E5" s="87" t="s">
        <v>2048</v>
      </c>
      <c r="F5" s="87">
        <v>1</v>
      </c>
      <c r="G5" s="87">
        <v>1</v>
      </c>
      <c r="H5" s="14"/>
      <c r="I5" s="75"/>
      <c r="J5" s="75">
        <v>1</v>
      </c>
      <c r="K5" s="75" t="s">
        <v>162</v>
      </c>
      <c r="L5" s="75" t="s">
        <v>509</v>
      </c>
      <c r="M5" s="75" t="s">
        <v>535</v>
      </c>
      <c r="N5" s="75" t="s">
        <v>509</v>
      </c>
      <c r="O5" s="75" t="s">
        <v>535</v>
      </c>
      <c r="P5" s="159" t="s">
        <v>4283</v>
      </c>
    </row>
    <row r="6" spans="1:16">
      <c r="A6" s="63" t="s">
        <v>4282</v>
      </c>
      <c r="B6" s="14" t="str">
        <f>VLOOKUP(P6,'护理记录单文书字典(数据)'!B$4:C$99,2,0)</f>
        <v>E2D940706900B31198A9659D229FBD1F</v>
      </c>
      <c r="C6" s="87" t="s">
        <v>2126</v>
      </c>
      <c r="D6" s="14" t="s">
        <v>2125</v>
      </c>
      <c r="E6" s="87" t="s">
        <v>2104</v>
      </c>
      <c r="F6" s="87">
        <v>1</v>
      </c>
      <c r="G6" s="87">
        <v>1</v>
      </c>
      <c r="H6" s="14"/>
      <c r="I6" s="75"/>
      <c r="J6" s="75">
        <v>1</v>
      </c>
      <c r="K6" s="75" t="s">
        <v>162</v>
      </c>
      <c r="L6" s="75" t="s">
        <v>509</v>
      </c>
      <c r="M6" s="75" t="s">
        <v>535</v>
      </c>
      <c r="N6" s="75" t="s">
        <v>509</v>
      </c>
      <c r="O6" s="75" t="s">
        <v>535</v>
      </c>
      <c r="P6" s="159" t="s">
        <v>2123</v>
      </c>
    </row>
    <row r="7" spans="1:16">
      <c r="A7" s="63" t="s">
        <v>4282</v>
      </c>
      <c r="B7" s="14" t="str">
        <f>VLOOKUP(P7,'护理记录单文书字典(数据)'!B$4:C$99,2,0)</f>
        <v>E2D940706900B31198A9659D229FBD1F</v>
      </c>
      <c r="C7" s="87" t="s">
        <v>4286</v>
      </c>
      <c r="D7" s="14" t="s">
        <v>2127</v>
      </c>
      <c r="E7" s="87" t="s">
        <v>2104</v>
      </c>
      <c r="F7" s="87">
        <v>1</v>
      </c>
      <c r="G7" s="87">
        <v>1</v>
      </c>
      <c r="H7" s="14"/>
      <c r="I7" s="75"/>
      <c r="J7" s="75">
        <v>1</v>
      </c>
      <c r="K7" s="75" t="s">
        <v>162</v>
      </c>
      <c r="L7" s="75" t="s">
        <v>509</v>
      </c>
      <c r="M7" s="75" t="s">
        <v>535</v>
      </c>
      <c r="N7" s="75" t="s">
        <v>509</v>
      </c>
      <c r="O7" s="75" t="s">
        <v>535</v>
      </c>
      <c r="P7" s="159" t="s">
        <v>2123</v>
      </c>
    </row>
    <row r="8" spans="1:16">
      <c r="A8" s="63" t="s">
        <v>4282</v>
      </c>
      <c r="B8" s="14" t="str">
        <f>VLOOKUP(P8,'护理记录单文书字典(数据)'!B$4:C$99,2,0)</f>
        <v>E2D940706900B31198A9659D229FBD1F</v>
      </c>
      <c r="C8" s="87" t="s">
        <v>4287</v>
      </c>
      <c r="D8" s="14" t="s">
        <v>2128</v>
      </c>
      <c r="E8" s="87" t="s">
        <v>2052</v>
      </c>
      <c r="F8" s="87">
        <v>1</v>
      </c>
      <c r="G8" s="87">
        <v>1</v>
      </c>
      <c r="H8" s="14" t="s">
        <v>4060</v>
      </c>
      <c r="I8" s="75"/>
      <c r="J8" s="75">
        <v>1</v>
      </c>
      <c r="K8" s="75" t="s">
        <v>162</v>
      </c>
      <c r="L8" s="75" t="s">
        <v>509</v>
      </c>
      <c r="M8" s="75" t="s">
        <v>535</v>
      </c>
      <c r="N8" s="75" t="s">
        <v>509</v>
      </c>
      <c r="O8" s="75" t="s">
        <v>535</v>
      </c>
      <c r="P8" s="159" t="s">
        <v>2123</v>
      </c>
    </row>
    <row r="9" spans="1:16">
      <c r="A9" s="63" t="s">
        <v>4282</v>
      </c>
      <c r="B9" s="14" t="str">
        <f>VLOOKUP(P9,'护理记录单文书字典(数据)'!B$4:C$99,2,0)</f>
        <v>E2D940706900B31198A9659D229FBD1F</v>
      </c>
      <c r="C9" s="87" t="s">
        <v>2129</v>
      </c>
      <c r="D9" s="14" t="s">
        <v>335</v>
      </c>
      <c r="E9" s="87" t="s">
        <v>2048</v>
      </c>
      <c r="F9" s="87">
        <v>1</v>
      </c>
      <c r="G9" s="87">
        <v>1</v>
      </c>
      <c r="H9" s="14"/>
      <c r="I9" s="75"/>
      <c r="J9" s="75">
        <v>1</v>
      </c>
      <c r="K9" s="75" t="s">
        <v>162</v>
      </c>
      <c r="L9" s="75" t="s">
        <v>509</v>
      </c>
      <c r="M9" s="75" t="s">
        <v>535</v>
      </c>
      <c r="N9" s="75" t="s">
        <v>509</v>
      </c>
      <c r="O9" s="75" t="s">
        <v>535</v>
      </c>
      <c r="P9" s="159" t="s">
        <v>2123</v>
      </c>
    </row>
    <row r="10" spans="1:16">
      <c r="A10" s="63" t="s">
        <v>4282</v>
      </c>
      <c r="B10" s="14" t="str">
        <f>VLOOKUP(P10,'护理记录单文书字典(数据)'!B$4:C$99,2,0)</f>
        <v>9ED0AC340CFAB21103BD9E7A16119653</v>
      </c>
      <c r="C10" s="87" t="s">
        <v>2046</v>
      </c>
      <c r="D10" s="14" t="s">
        <v>2047</v>
      </c>
      <c r="E10" s="87" t="s">
        <v>2048</v>
      </c>
      <c r="F10" s="87">
        <v>1</v>
      </c>
      <c r="G10" s="87">
        <v>1</v>
      </c>
      <c r="H10" s="14"/>
      <c r="I10" s="75"/>
      <c r="J10" s="75">
        <v>1</v>
      </c>
      <c r="K10" s="75" t="s">
        <v>162</v>
      </c>
      <c r="L10" s="75" t="s">
        <v>509</v>
      </c>
      <c r="M10" s="75" t="s">
        <v>535</v>
      </c>
      <c r="N10" s="75" t="s">
        <v>509</v>
      </c>
      <c r="O10" s="75" t="s">
        <v>535</v>
      </c>
      <c r="P10" s="75" t="s">
        <v>538</v>
      </c>
    </row>
    <row r="11" spans="1:16">
      <c r="A11" s="63" t="s">
        <v>4282</v>
      </c>
      <c r="B11" s="14" t="str">
        <f>VLOOKUP(P11,'护理记录单文书字典(数据)'!B$4:C$99,2,0)</f>
        <v>9ED0AC340CFAB21103BD9E7A16119653</v>
      </c>
      <c r="C11" s="87" t="s">
        <v>2049</v>
      </c>
      <c r="D11" s="14" t="s">
        <v>98</v>
      </c>
      <c r="E11" s="87" t="s">
        <v>2048</v>
      </c>
      <c r="F11" s="87">
        <v>1</v>
      </c>
      <c r="G11" s="87">
        <v>1</v>
      </c>
      <c r="H11" s="14"/>
      <c r="I11" s="75"/>
      <c r="J11" s="75">
        <v>1</v>
      </c>
      <c r="K11" s="75" t="s">
        <v>162</v>
      </c>
      <c r="L11" s="75" t="s">
        <v>509</v>
      </c>
      <c r="M11" s="75" t="s">
        <v>535</v>
      </c>
      <c r="N11" s="75" t="s">
        <v>509</v>
      </c>
      <c r="O11" s="75" t="s">
        <v>535</v>
      </c>
      <c r="P11" s="75" t="s">
        <v>538</v>
      </c>
    </row>
    <row r="12" spans="1:16">
      <c r="A12" s="63" t="s">
        <v>4282</v>
      </c>
      <c r="B12" s="14" t="str">
        <f>VLOOKUP(P12,'护理记录单文书字典(数据)'!B$4:C$99,2,0)</f>
        <v>9ED0AC340CFAB21103BD9E7A16119653</v>
      </c>
      <c r="C12" s="87" t="s">
        <v>2050</v>
      </c>
      <c r="D12" s="14" t="s">
        <v>159</v>
      </c>
      <c r="E12" s="87" t="s">
        <v>2052</v>
      </c>
      <c r="F12" s="87">
        <v>1</v>
      </c>
      <c r="G12" s="87">
        <v>1</v>
      </c>
      <c r="H12" s="14" t="s">
        <v>942</v>
      </c>
      <c r="I12" s="75"/>
      <c r="J12" s="75">
        <v>1</v>
      </c>
      <c r="K12" s="75" t="s">
        <v>162</v>
      </c>
      <c r="L12" s="75" t="s">
        <v>509</v>
      </c>
      <c r="M12" s="75" t="s">
        <v>535</v>
      </c>
      <c r="N12" s="75" t="s">
        <v>509</v>
      </c>
      <c r="O12" s="75" t="s">
        <v>535</v>
      </c>
      <c r="P12" s="75" t="s">
        <v>538</v>
      </c>
    </row>
    <row r="13" spans="1:16">
      <c r="A13" s="63" t="s">
        <v>4282</v>
      </c>
      <c r="B13" s="14" t="str">
        <f>VLOOKUP(P13,'护理记录单文书字典(数据)'!B$4:C$99,2,0)</f>
        <v>9ED0AC340CFAB21103BD9E7A16119653</v>
      </c>
      <c r="C13" s="87" t="s">
        <v>2055</v>
      </c>
      <c r="D13" s="14" t="s">
        <v>2054</v>
      </c>
      <c r="E13" s="87" t="s">
        <v>2048</v>
      </c>
      <c r="F13" s="87">
        <v>1</v>
      </c>
      <c r="G13" s="87">
        <v>1</v>
      </c>
      <c r="H13" s="14"/>
      <c r="I13" s="75"/>
      <c r="J13" s="75">
        <v>1</v>
      </c>
      <c r="K13" s="75" t="s">
        <v>162</v>
      </c>
      <c r="L13" s="75" t="s">
        <v>509</v>
      </c>
      <c r="M13" s="75" t="s">
        <v>535</v>
      </c>
      <c r="N13" s="75" t="s">
        <v>509</v>
      </c>
      <c r="O13" s="75" t="s">
        <v>535</v>
      </c>
      <c r="P13" s="75" t="s">
        <v>538</v>
      </c>
    </row>
    <row r="14" spans="1:16">
      <c r="A14" s="63" t="s">
        <v>4282</v>
      </c>
      <c r="B14" s="14" t="str">
        <f>VLOOKUP(P14,'护理记录单文书字典(数据)'!B$4:C$99,2,0)</f>
        <v>9ED0AC340CFAB21103BD9E7A16119653</v>
      </c>
      <c r="C14" s="87" t="s">
        <v>2057</v>
      </c>
      <c r="D14" s="14" t="s">
        <v>2056</v>
      </c>
      <c r="E14" s="87" t="s">
        <v>2048</v>
      </c>
      <c r="F14" s="87">
        <v>1</v>
      </c>
      <c r="G14" s="87">
        <v>1</v>
      </c>
      <c r="H14" s="14"/>
      <c r="I14" s="75"/>
      <c r="J14" s="75">
        <v>1</v>
      </c>
      <c r="K14" s="75" t="s">
        <v>162</v>
      </c>
      <c r="L14" s="75" t="s">
        <v>509</v>
      </c>
      <c r="M14" s="75" t="s">
        <v>535</v>
      </c>
      <c r="N14" s="75" t="s">
        <v>509</v>
      </c>
      <c r="O14" s="75" t="s">
        <v>535</v>
      </c>
      <c r="P14" s="75" t="s">
        <v>538</v>
      </c>
    </row>
    <row r="15" spans="1:16">
      <c r="A15" s="63" t="s">
        <v>4282</v>
      </c>
      <c r="B15" s="14" t="str">
        <f>VLOOKUP(P15,'护理记录单文书字典(数据)'!B$4:C$99,2,0)</f>
        <v>9ED0AC340CFAB21103BD9E7A16119653</v>
      </c>
      <c r="C15" s="87" t="s">
        <v>2058</v>
      </c>
      <c r="D15" s="14" t="s">
        <v>947</v>
      </c>
      <c r="E15" s="87" t="s">
        <v>2052</v>
      </c>
      <c r="F15" s="87">
        <v>1</v>
      </c>
      <c r="G15" s="87">
        <v>1</v>
      </c>
      <c r="H15" s="14" t="s">
        <v>946</v>
      </c>
      <c r="I15" s="75"/>
      <c r="J15" s="75">
        <v>1</v>
      </c>
      <c r="K15" s="75" t="s">
        <v>162</v>
      </c>
      <c r="L15" s="75" t="s">
        <v>509</v>
      </c>
      <c r="M15" s="75" t="s">
        <v>535</v>
      </c>
      <c r="N15" s="75" t="s">
        <v>509</v>
      </c>
      <c r="O15" s="75" t="s">
        <v>535</v>
      </c>
      <c r="P15" s="75" t="s">
        <v>538</v>
      </c>
    </row>
    <row r="16" spans="1:16">
      <c r="A16" s="63" t="s">
        <v>4282</v>
      </c>
      <c r="B16" s="14" t="str">
        <f>VLOOKUP(P16,'护理记录单文书字典(数据)'!B$4:C$99,2,0)</f>
        <v>9ED0AC340CFAB21103BD9E7A16119653</v>
      </c>
      <c r="C16" s="87" t="s">
        <v>2061</v>
      </c>
      <c r="D16" s="14" t="s">
        <v>2060</v>
      </c>
      <c r="E16" s="87" t="s">
        <v>2048</v>
      </c>
      <c r="F16" s="87">
        <v>1</v>
      </c>
      <c r="G16" s="87">
        <v>1</v>
      </c>
      <c r="H16" s="14"/>
      <c r="I16" s="75"/>
      <c r="J16" s="75">
        <v>1</v>
      </c>
      <c r="K16" s="75" t="s">
        <v>162</v>
      </c>
      <c r="L16" s="75" t="s">
        <v>509</v>
      </c>
      <c r="M16" s="75" t="s">
        <v>535</v>
      </c>
      <c r="N16" s="75" t="s">
        <v>509</v>
      </c>
      <c r="O16" s="75" t="s">
        <v>535</v>
      </c>
      <c r="P16" s="75" t="s">
        <v>538</v>
      </c>
    </row>
    <row r="17" spans="1:16">
      <c r="A17" s="63" t="s">
        <v>4282</v>
      </c>
      <c r="B17" s="14" t="str">
        <f>VLOOKUP(P17,'护理记录单文书字典(数据)'!B$4:C$99,2,0)</f>
        <v>9ED0AC340CFAB21103BD9E7A16119653</v>
      </c>
      <c r="C17" s="87" t="s">
        <v>2062</v>
      </c>
      <c r="D17" s="14" t="s">
        <v>83</v>
      </c>
      <c r="E17" s="87" t="s">
        <v>2048</v>
      </c>
      <c r="F17" s="87">
        <v>1</v>
      </c>
      <c r="G17" s="87">
        <v>1</v>
      </c>
      <c r="H17" s="14"/>
      <c r="I17" s="75"/>
      <c r="J17" s="75">
        <v>1</v>
      </c>
      <c r="K17" s="75" t="s">
        <v>162</v>
      </c>
      <c r="L17" s="75" t="s">
        <v>509</v>
      </c>
      <c r="M17" s="75" t="s">
        <v>535</v>
      </c>
      <c r="N17" s="75" t="s">
        <v>509</v>
      </c>
      <c r="O17" s="75" t="s">
        <v>535</v>
      </c>
      <c r="P17" s="75" t="s">
        <v>538</v>
      </c>
    </row>
    <row r="18" spans="1:16">
      <c r="A18" s="63" t="s">
        <v>4282</v>
      </c>
      <c r="B18" s="14" t="str">
        <f>VLOOKUP(P18,'护理记录单文书字典(数据)'!B$4:C$99,2,0)</f>
        <v>9ED0AC340CFAB21103BD9E7A16119653</v>
      </c>
      <c r="C18" s="87" t="s">
        <v>4288</v>
      </c>
      <c r="D18" s="14" t="s">
        <v>4289</v>
      </c>
      <c r="E18" s="87" t="s">
        <v>2048</v>
      </c>
      <c r="F18" s="87">
        <v>1</v>
      </c>
      <c r="G18" s="87">
        <v>1</v>
      </c>
      <c r="H18" s="14"/>
      <c r="I18" s="75"/>
      <c r="J18" s="75">
        <v>1</v>
      </c>
      <c r="K18" s="75" t="s">
        <v>162</v>
      </c>
      <c r="L18" s="75" t="s">
        <v>509</v>
      </c>
      <c r="M18" s="75" t="s">
        <v>535</v>
      </c>
      <c r="N18" s="75" t="s">
        <v>509</v>
      </c>
      <c r="O18" s="75" t="s">
        <v>535</v>
      </c>
      <c r="P18" s="75" t="s">
        <v>538</v>
      </c>
    </row>
    <row r="19" spans="1:16">
      <c r="A19" s="63" t="s">
        <v>4282</v>
      </c>
      <c r="B19" s="14" t="str">
        <f>VLOOKUP(P19,'护理记录单文书字典(数据)'!B$4:C$99,2,0)</f>
        <v>9ED0AC340CFAB21103BD9E7A16119653</v>
      </c>
      <c r="C19" s="87" t="s">
        <v>4290</v>
      </c>
      <c r="D19" s="14" t="s">
        <v>4291</v>
      </c>
      <c r="E19" s="87" t="s">
        <v>2048</v>
      </c>
      <c r="F19" s="87">
        <v>1</v>
      </c>
      <c r="G19" s="87">
        <v>1</v>
      </c>
      <c r="H19" s="14"/>
      <c r="I19" s="75"/>
      <c r="J19" s="75">
        <v>1</v>
      </c>
      <c r="K19" s="75" t="s">
        <v>162</v>
      </c>
      <c r="L19" s="75" t="s">
        <v>509</v>
      </c>
      <c r="M19" s="75" t="s">
        <v>535</v>
      </c>
      <c r="N19" s="75" t="s">
        <v>509</v>
      </c>
      <c r="O19" s="75" t="s">
        <v>535</v>
      </c>
      <c r="P19" s="75" t="s">
        <v>538</v>
      </c>
    </row>
    <row r="20" spans="1:16">
      <c r="A20" s="63" t="s">
        <v>4282</v>
      </c>
      <c r="B20" s="14" t="str">
        <f>VLOOKUP(P20,'护理记录单文书字典(数据)'!B$4:C$99,2,0)</f>
        <v>9ED0AC340CFAB21103BD9E7A16119653</v>
      </c>
      <c r="C20" s="87" t="s">
        <v>2063</v>
      </c>
      <c r="D20" s="14" t="s">
        <v>952</v>
      </c>
      <c r="E20" s="87" t="s">
        <v>2052</v>
      </c>
      <c r="F20" s="87">
        <v>1</v>
      </c>
      <c r="G20" s="87">
        <v>1</v>
      </c>
      <c r="H20" s="14" t="s">
        <v>951</v>
      </c>
      <c r="I20" s="75"/>
      <c r="J20" s="75">
        <v>1</v>
      </c>
      <c r="K20" s="75" t="s">
        <v>162</v>
      </c>
      <c r="L20" s="75" t="s">
        <v>509</v>
      </c>
      <c r="M20" s="75" t="s">
        <v>535</v>
      </c>
      <c r="N20" s="75" t="s">
        <v>509</v>
      </c>
      <c r="O20" s="75" t="s">
        <v>535</v>
      </c>
      <c r="P20" s="75" t="s">
        <v>538</v>
      </c>
    </row>
    <row r="21" spans="1:16">
      <c r="A21" s="63" t="s">
        <v>4282</v>
      </c>
      <c r="B21" s="14" t="str">
        <f>VLOOKUP(P21,'护理记录单文书字典(数据)'!B$4:C$99,2,0)</f>
        <v>9ED0AC340CFAB21103BD9E7A16119653</v>
      </c>
      <c r="C21" s="87" t="s">
        <v>4292</v>
      </c>
      <c r="D21" s="14" t="s">
        <v>1528</v>
      </c>
      <c r="E21" s="87" t="s">
        <v>2048</v>
      </c>
      <c r="F21" s="87">
        <v>1</v>
      </c>
      <c r="G21" s="87">
        <v>1</v>
      </c>
      <c r="H21" s="14"/>
      <c r="I21" s="75"/>
      <c r="J21" s="75">
        <v>1</v>
      </c>
      <c r="K21" s="75" t="s">
        <v>162</v>
      </c>
      <c r="L21" s="75" t="s">
        <v>509</v>
      </c>
      <c r="M21" s="75" t="s">
        <v>535</v>
      </c>
      <c r="N21" s="75" t="s">
        <v>509</v>
      </c>
      <c r="O21" s="75" t="s">
        <v>535</v>
      </c>
      <c r="P21" s="75" t="s">
        <v>538</v>
      </c>
    </row>
    <row r="22" spans="1:16">
      <c r="A22" s="63" t="s">
        <v>4282</v>
      </c>
      <c r="B22" s="14" t="str">
        <f>VLOOKUP(P22,'护理记录单文书字典(数据)'!B$4:C$99,2,0)</f>
        <v>9ED0AC340CFAB21103BD9E7A16119653</v>
      </c>
      <c r="C22" s="87" t="s">
        <v>4293</v>
      </c>
      <c r="D22" s="14" t="s">
        <v>4294</v>
      </c>
      <c r="E22" s="87" t="s">
        <v>2052</v>
      </c>
      <c r="F22" s="87">
        <v>1</v>
      </c>
      <c r="G22" s="87">
        <v>1</v>
      </c>
      <c r="H22" s="14" t="s">
        <v>2094</v>
      </c>
      <c r="I22" s="75"/>
      <c r="J22" s="75">
        <v>1</v>
      </c>
      <c r="K22" s="75" t="s">
        <v>162</v>
      </c>
      <c r="L22" s="75" t="s">
        <v>509</v>
      </c>
      <c r="M22" s="75" t="s">
        <v>535</v>
      </c>
      <c r="N22" s="75" t="s">
        <v>509</v>
      </c>
      <c r="O22" s="75" t="s">
        <v>535</v>
      </c>
      <c r="P22" s="75" t="s">
        <v>538</v>
      </c>
    </row>
    <row r="23" spans="1:16">
      <c r="A23" s="63" t="s">
        <v>4282</v>
      </c>
      <c r="B23" s="14" t="str">
        <f>VLOOKUP(P23,'护理记录单文书字典(数据)'!B$4:C$99,2,0)</f>
        <v>9ED0AC340CFAB21103BD9E7A16119653</v>
      </c>
      <c r="C23" s="87" t="s">
        <v>4295</v>
      </c>
      <c r="D23" s="14" t="s">
        <v>4296</v>
      </c>
      <c r="E23" s="87" t="s">
        <v>2048</v>
      </c>
      <c r="F23" s="87">
        <v>1</v>
      </c>
      <c r="G23" s="87">
        <v>1</v>
      </c>
      <c r="H23" s="14"/>
      <c r="I23" s="75"/>
      <c r="J23" s="75">
        <v>1</v>
      </c>
      <c r="K23" s="75" t="s">
        <v>162</v>
      </c>
      <c r="L23" s="75" t="s">
        <v>509</v>
      </c>
      <c r="M23" s="75" t="s">
        <v>535</v>
      </c>
      <c r="N23" s="75" t="s">
        <v>509</v>
      </c>
      <c r="O23" s="75" t="s">
        <v>535</v>
      </c>
      <c r="P23" s="75" t="s">
        <v>538</v>
      </c>
    </row>
    <row r="24" spans="1:16">
      <c r="A24" s="63" t="s">
        <v>4282</v>
      </c>
      <c r="B24" s="14" t="str">
        <f>VLOOKUP(P24,'护理记录单文书字典(数据)'!B$4:C$99,2,0)</f>
        <v>9ED0AC340CFAB21103BD9E7A16119653</v>
      </c>
      <c r="C24" s="87" t="s">
        <v>4297</v>
      </c>
      <c r="D24" s="14" t="s">
        <v>4298</v>
      </c>
      <c r="E24" s="87" t="s">
        <v>2048</v>
      </c>
      <c r="F24" s="87">
        <v>1</v>
      </c>
      <c r="G24" s="87">
        <v>1</v>
      </c>
      <c r="H24" s="14"/>
      <c r="I24" s="75"/>
      <c r="J24" s="75">
        <v>1</v>
      </c>
      <c r="K24" s="75" t="s">
        <v>162</v>
      </c>
      <c r="L24" s="75" t="s">
        <v>509</v>
      </c>
      <c r="M24" s="75" t="s">
        <v>535</v>
      </c>
      <c r="N24" s="75" t="s">
        <v>509</v>
      </c>
      <c r="O24" s="75" t="s">
        <v>535</v>
      </c>
      <c r="P24" s="75" t="s">
        <v>538</v>
      </c>
    </row>
    <row r="25" spans="1:16">
      <c r="A25" s="63" t="s">
        <v>4282</v>
      </c>
      <c r="B25" s="14" t="str">
        <f>VLOOKUP(P25,'护理记录单文书字典(数据)'!B$4:C$99,2,0)</f>
        <v>9ED0AC340CFAB21103BD9E7A16119653</v>
      </c>
      <c r="C25" s="87" t="s">
        <v>4299</v>
      </c>
      <c r="D25" s="14" t="s">
        <v>4300</v>
      </c>
      <c r="E25" s="87" t="s">
        <v>2048</v>
      </c>
      <c r="F25" s="87">
        <v>1</v>
      </c>
      <c r="G25" s="87">
        <v>1</v>
      </c>
      <c r="H25" s="14"/>
      <c r="I25" s="75"/>
      <c r="J25" s="75">
        <v>1</v>
      </c>
      <c r="K25" s="75" t="s">
        <v>162</v>
      </c>
      <c r="L25" s="75" t="s">
        <v>509</v>
      </c>
      <c r="M25" s="75" t="s">
        <v>535</v>
      </c>
      <c r="N25" s="75" t="s">
        <v>509</v>
      </c>
      <c r="O25" s="75" t="s">
        <v>535</v>
      </c>
      <c r="P25" s="75" t="s">
        <v>538</v>
      </c>
    </row>
    <row r="26" spans="1:16">
      <c r="A26" s="63" t="s">
        <v>4282</v>
      </c>
      <c r="B26" s="14" t="str">
        <f>VLOOKUP(P26,'护理记录单文书字典(数据)'!B$4:C$99,2,0)</f>
        <v>9ED0AC340CFAB21103BD9E7A16119653</v>
      </c>
      <c r="C26" s="87" t="s">
        <v>4301</v>
      </c>
      <c r="D26" s="14" t="s">
        <v>4302</v>
      </c>
      <c r="E26" s="87" t="s">
        <v>2048</v>
      </c>
      <c r="F26" s="87">
        <v>1</v>
      </c>
      <c r="G26" s="87">
        <v>1</v>
      </c>
      <c r="H26" s="14"/>
      <c r="I26" s="75"/>
      <c r="J26" s="75">
        <v>1</v>
      </c>
      <c r="K26" s="75" t="s">
        <v>162</v>
      </c>
      <c r="L26" s="75" t="s">
        <v>509</v>
      </c>
      <c r="M26" s="75" t="s">
        <v>535</v>
      </c>
      <c r="N26" s="75" t="s">
        <v>509</v>
      </c>
      <c r="O26" s="75" t="s">
        <v>535</v>
      </c>
      <c r="P26" s="75" t="s">
        <v>538</v>
      </c>
    </row>
    <row r="27" spans="1:16">
      <c r="A27" s="63" t="s">
        <v>4282</v>
      </c>
      <c r="B27" s="14" t="str">
        <f>VLOOKUP(P27,'护理记录单文书字典(数据)'!B$4:C$99,2,0)</f>
        <v>9ED0AC340CFAB21103BD9E7A16119653</v>
      </c>
      <c r="C27" s="87" t="s">
        <v>4303</v>
      </c>
      <c r="D27" s="14" t="s">
        <v>4304</v>
      </c>
      <c r="E27" s="87" t="s">
        <v>2052</v>
      </c>
      <c r="F27" s="87">
        <v>1</v>
      </c>
      <c r="G27" s="87">
        <v>1</v>
      </c>
      <c r="H27" s="14" t="s">
        <v>4305</v>
      </c>
      <c r="I27" s="75"/>
      <c r="J27" s="75">
        <v>1</v>
      </c>
      <c r="K27" s="75" t="s">
        <v>162</v>
      </c>
      <c r="L27" s="75" t="s">
        <v>509</v>
      </c>
      <c r="M27" s="75" t="s">
        <v>535</v>
      </c>
      <c r="N27" s="75" t="s">
        <v>509</v>
      </c>
      <c r="O27" s="75" t="s">
        <v>535</v>
      </c>
      <c r="P27" s="75" t="s">
        <v>538</v>
      </c>
    </row>
    <row r="28" spans="1:16">
      <c r="A28" s="63" t="s">
        <v>4282</v>
      </c>
      <c r="B28" s="14" t="str">
        <f>VLOOKUP(P28,'护理记录单文书字典(数据)'!B$4:C$99,2,0)</f>
        <v>9ED0AC340CFAB21103BD9E7A16119653</v>
      </c>
      <c r="C28" s="87" t="s">
        <v>4306</v>
      </c>
      <c r="D28" s="14" t="s">
        <v>4307</v>
      </c>
      <c r="E28" s="87" t="s">
        <v>2048</v>
      </c>
      <c r="F28" s="87">
        <v>1</v>
      </c>
      <c r="G28" s="87">
        <v>1</v>
      </c>
      <c r="H28" s="14"/>
      <c r="I28" s="75"/>
      <c r="J28" s="75">
        <v>1</v>
      </c>
      <c r="K28" s="75" t="s">
        <v>162</v>
      </c>
      <c r="L28" s="75" t="s">
        <v>509</v>
      </c>
      <c r="M28" s="75" t="s">
        <v>535</v>
      </c>
      <c r="N28" s="75" t="s">
        <v>509</v>
      </c>
      <c r="O28" s="75" t="s">
        <v>535</v>
      </c>
      <c r="P28" s="75" t="s">
        <v>538</v>
      </c>
    </row>
    <row r="29" spans="1:16">
      <c r="A29" s="63" t="s">
        <v>4282</v>
      </c>
      <c r="B29" s="14" t="str">
        <f>VLOOKUP(P29,'护理记录单文书字典(数据)'!B$4:C$99,2,0)</f>
        <v>9ED0AC340CFAB21103BD9E7A16119653</v>
      </c>
      <c r="C29" s="87" t="s">
        <v>4308</v>
      </c>
      <c r="D29" s="14" t="s">
        <v>4309</v>
      </c>
      <c r="E29" s="87" t="s">
        <v>2052</v>
      </c>
      <c r="F29" s="87">
        <v>1</v>
      </c>
      <c r="G29" s="87">
        <v>1</v>
      </c>
      <c r="H29" s="14" t="s">
        <v>4310</v>
      </c>
      <c r="I29" s="75"/>
      <c r="J29" s="75">
        <v>1</v>
      </c>
      <c r="K29" s="75" t="s">
        <v>162</v>
      </c>
      <c r="L29" s="75" t="s">
        <v>509</v>
      </c>
      <c r="M29" s="75" t="s">
        <v>535</v>
      </c>
      <c r="N29" s="75" t="s">
        <v>509</v>
      </c>
      <c r="O29" s="75" t="s">
        <v>535</v>
      </c>
      <c r="P29" s="75" t="s">
        <v>538</v>
      </c>
    </row>
    <row r="30" spans="1:16" s="164" customFormat="1">
      <c r="A30" s="176"/>
      <c r="B30" s="14" t="str">
        <f>VLOOKUP(P30,'护理记录单文书字典(数据)'!B$4:C$99,2,0)</f>
        <v>9ED0AC340CFAB21103BD9E7A16119653</v>
      </c>
      <c r="C30" s="163" t="s">
        <v>4311</v>
      </c>
      <c r="D30" s="162" t="s">
        <v>4312</v>
      </c>
      <c r="E30" s="163" t="s">
        <v>2052</v>
      </c>
      <c r="F30" s="163">
        <v>1</v>
      </c>
      <c r="G30" s="163">
        <v>1</v>
      </c>
      <c r="H30" s="162" t="s">
        <v>4313</v>
      </c>
      <c r="I30" s="162"/>
      <c r="J30" s="162">
        <v>1</v>
      </c>
      <c r="K30" s="162" t="s">
        <v>162</v>
      </c>
      <c r="L30" s="162" t="s">
        <v>509</v>
      </c>
      <c r="M30" s="162" t="s">
        <v>535</v>
      </c>
      <c r="N30" s="162" t="s">
        <v>509</v>
      </c>
      <c r="O30" s="162" t="s">
        <v>535</v>
      </c>
      <c r="P30" s="162" t="s">
        <v>538</v>
      </c>
    </row>
    <row r="31" spans="1:16" s="164" customFormat="1">
      <c r="A31" s="176"/>
      <c r="B31" s="14" t="str">
        <f>VLOOKUP(P31,'护理记录单文书字典(数据)'!B$4:C$99,2,0)</f>
        <v>9ED0AC340CFAB21103BD9E7A16119653</v>
      </c>
      <c r="C31" s="163" t="s">
        <v>4314</v>
      </c>
      <c r="D31" s="162" t="s">
        <v>4315</v>
      </c>
      <c r="E31" s="163" t="s">
        <v>2052</v>
      </c>
      <c r="F31" s="163">
        <v>1</v>
      </c>
      <c r="G31" s="163">
        <v>1</v>
      </c>
      <c r="H31" s="162" t="s">
        <v>4313</v>
      </c>
      <c r="I31" s="162"/>
      <c r="J31" s="162">
        <v>1</v>
      </c>
      <c r="K31" s="162" t="s">
        <v>162</v>
      </c>
      <c r="L31" s="162" t="s">
        <v>509</v>
      </c>
      <c r="M31" s="162" t="s">
        <v>535</v>
      </c>
      <c r="N31" s="162" t="s">
        <v>509</v>
      </c>
      <c r="O31" s="162" t="s">
        <v>535</v>
      </c>
      <c r="P31" s="162" t="s">
        <v>538</v>
      </c>
    </row>
    <row r="32" spans="1:16" s="164" customFormat="1">
      <c r="A32" s="176"/>
      <c r="B32" s="14" t="str">
        <f>VLOOKUP(P32,'护理记录单文书字典(数据)'!B$4:C$99,2,0)</f>
        <v>9ED0AC340CFAB21103BD9E7A16119653</v>
      </c>
      <c r="C32" s="163" t="s">
        <v>4316</v>
      </c>
      <c r="D32" s="162" t="s">
        <v>4317</v>
      </c>
      <c r="E32" s="163" t="s">
        <v>2052</v>
      </c>
      <c r="F32" s="163">
        <v>1</v>
      </c>
      <c r="G32" s="163">
        <v>1</v>
      </c>
      <c r="H32" s="162" t="s">
        <v>4313</v>
      </c>
      <c r="I32" s="162"/>
      <c r="J32" s="162">
        <v>1</v>
      </c>
      <c r="K32" s="162" t="s">
        <v>162</v>
      </c>
      <c r="L32" s="162" t="s">
        <v>509</v>
      </c>
      <c r="M32" s="162" t="s">
        <v>535</v>
      </c>
      <c r="N32" s="162" t="s">
        <v>509</v>
      </c>
      <c r="O32" s="162" t="s">
        <v>535</v>
      </c>
      <c r="P32" s="162" t="s">
        <v>538</v>
      </c>
    </row>
    <row r="33" spans="1:16" s="164" customFormat="1">
      <c r="A33" s="176"/>
      <c r="B33" s="14" t="str">
        <f>VLOOKUP(P33,'护理记录单文书字典(数据)'!B$4:C$99,2,0)</f>
        <v>9ED0AC340CFAB21103BD9E7A16119653</v>
      </c>
      <c r="C33" s="163" t="s">
        <v>4318</v>
      </c>
      <c r="D33" s="162" t="s">
        <v>4319</v>
      </c>
      <c r="E33" s="163" t="s">
        <v>2052</v>
      </c>
      <c r="F33" s="163">
        <v>1</v>
      </c>
      <c r="G33" s="163">
        <v>1</v>
      </c>
      <c r="H33" s="162" t="s">
        <v>4313</v>
      </c>
      <c r="I33" s="162"/>
      <c r="J33" s="162">
        <v>1</v>
      </c>
      <c r="K33" s="162" t="s">
        <v>162</v>
      </c>
      <c r="L33" s="162" t="s">
        <v>509</v>
      </c>
      <c r="M33" s="162" t="s">
        <v>535</v>
      </c>
      <c r="N33" s="162" t="s">
        <v>509</v>
      </c>
      <c r="O33" s="162" t="s">
        <v>535</v>
      </c>
      <c r="P33" s="162" t="s">
        <v>538</v>
      </c>
    </row>
    <row r="34" spans="1:16" s="164" customFormat="1">
      <c r="A34" s="176"/>
      <c r="B34" s="14" t="str">
        <f>VLOOKUP(P34,'护理记录单文书字典(数据)'!B$4:C$99,2,0)</f>
        <v>9ED0AC340CFAB21103BD9E7A16119653</v>
      </c>
      <c r="C34" s="163" t="s">
        <v>4320</v>
      </c>
      <c r="D34" s="162" t="s">
        <v>4321</v>
      </c>
      <c r="E34" s="163" t="s">
        <v>2052</v>
      </c>
      <c r="F34" s="163">
        <v>1</v>
      </c>
      <c r="G34" s="163">
        <v>1</v>
      </c>
      <c r="H34" s="162" t="s">
        <v>4313</v>
      </c>
      <c r="I34" s="162"/>
      <c r="J34" s="162">
        <v>1</v>
      </c>
      <c r="K34" s="162" t="s">
        <v>162</v>
      </c>
      <c r="L34" s="162" t="s">
        <v>509</v>
      </c>
      <c r="M34" s="162" t="s">
        <v>535</v>
      </c>
      <c r="N34" s="162" t="s">
        <v>509</v>
      </c>
      <c r="O34" s="162" t="s">
        <v>535</v>
      </c>
      <c r="P34" s="162" t="s">
        <v>538</v>
      </c>
    </row>
    <row r="35" spans="1:16" s="164" customFormat="1">
      <c r="A35" s="176"/>
      <c r="B35" s="14" t="str">
        <f>VLOOKUP(P35,'护理记录单文书字典(数据)'!B$4:C$99,2,0)</f>
        <v>9ED0AC340CFAB21103BD9E7A16119653</v>
      </c>
      <c r="C35" s="163" t="s">
        <v>4322</v>
      </c>
      <c r="D35" s="162" t="s">
        <v>4323</v>
      </c>
      <c r="E35" s="163" t="s">
        <v>2052</v>
      </c>
      <c r="F35" s="163">
        <v>1</v>
      </c>
      <c r="G35" s="163">
        <v>1</v>
      </c>
      <c r="H35" s="162" t="s">
        <v>4313</v>
      </c>
      <c r="I35" s="162"/>
      <c r="J35" s="162">
        <v>1</v>
      </c>
      <c r="K35" s="162" t="s">
        <v>162</v>
      </c>
      <c r="L35" s="162" t="s">
        <v>509</v>
      </c>
      <c r="M35" s="162" t="s">
        <v>535</v>
      </c>
      <c r="N35" s="162" t="s">
        <v>509</v>
      </c>
      <c r="O35" s="162" t="s">
        <v>535</v>
      </c>
      <c r="P35" s="162" t="s">
        <v>538</v>
      </c>
    </row>
    <row r="36" spans="1:16" s="164" customFormat="1">
      <c r="A36" s="176"/>
      <c r="B36" s="14" t="str">
        <f>VLOOKUP(P36,'护理记录单文书字典(数据)'!B$4:C$99,2,0)</f>
        <v>9ED0AC340CFAB21103BD9E7A16119653</v>
      </c>
      <c r="C36" s="163" t="s">
        <v>4324</v>
      </c>
      <c r="D36" s="162" t="s">
        <v>4325</v>
      </c>
      <c r="E36" s="163" t="s">
        <v>2052</v>
      </c>
      <c r="F36" s="163">
        <v>1</v>
      </c>
      <c r="G36" s="163">
        <v>1</v>
      </c>
      <c r="H36" s="162" t="s">
        <v>4313</v>
      </c>
      <c r="I36" s="162"/>
      <c r="J36" s="162">
        <v>1</v>
      </c>
      <c r="K36" s="162" t="s">
        <v>162</v>
      </c>
      <c r="L36" s="162" t="s">
        <v>509</v>
      </c>
      <c r="M36" s="162" t="s">
        <v>535</v>
      </c>
      <c r="N36" s="162" t="s">
        <v>509</v>
      </c>
      <c r="O36" s="162" t="s">
        <v>535</v>
      </c>
      <c r="P36" s="162" t="s">
        <v>538</v>
      </c>
    </row>
    <row r="37" spans="1:16" s="164" customFormat="1">
      <c r="A37" s="176"/>
      <c r="B37" s="14" t="str">
        <f>VLOOKUP(P37,'护理记录单文书字典(数据)'!B$4:C$99,2,0)</f>
        <v>9ED0AC340CFAB21103BD9E7A16119653</v>
      </c>
      <c r="C37" s="163" t="s">
        <v>4326</v>
      </c>
      <c r="D37" s="162" t="s">
        <v>4327</v>
      </c>
      <c r="E37" s="163" t="s">
        <v>2052</v>
      </c>
      <c r="F37" s="163">
        <v>1</v>
      </c>
      <c r="G37" s="163">
        <v>1</v>
      </c>
      <c r="H37" s="162" t="s">
        <v>4313</v>
      </c>
      <c r="I37" s="162"/>
      <c r="J37" s="162">
        <v>1</v>
      </c>
      <c r="K37" s="162" t="s">
        <v>162</v>
      </c>
      <c r="L37" s="162" t="s">
        <v>509</v>
      </c>
      <c r="M37" s="162" t="s">
        <v>535</v>
      </c>
      <c r="N37" s="162" t="s">
        <v>509</v>
      </c>
      <c r="O37" s="162" t="s">
        <v>535</v>
      </c>
      <c r="P37" s="162" t="s">
        <v>538</v>
      </c>
    </row>
    <row r="38" spans="1:16" s="164" customFormat="1">
      <c r="A38" s="176"/>
      <c r="B38" s="14" t="str">
        <f>VLOOKUP(P38,'护理记录单文书字典(数据)'!B$4:C$99,2,0)</f>
        <v>9ED0AC340CFAB21103BD9E7A16119653</v>
      </c>
      <c r="C38" s="163" t="s">
        <v>4328</v>
      </c>
      <c r="D38" s="162" t="s">
        <v>4329</v>
      </c>
      <c r="E38" s="163" t="s">
        <v>2052</v>
      </c>
      <c r="F38" s="163">
        <v>1</v>
      </c>
      <c r="G38" s="163">
        <v>1</v>
      </c>
      <c r="H38" s="162" t="s">
        <v>4313</v>
      </c>
      <c r="I38" s="162"/>
      <c r="J38" s="162">
        <v>1</v>
      </c>
      <c r="K38" s="162" t="s">
        <v>162</v>
      </c>
      <c r="L38" s="162" t="s">
        <v>509</v>
      </c>
      <c r="M38" s="162" t="s">
        <v>535</v>
      </c>
      <c r="N38" s="162" t="s">
        <v>509</v>
      </c>
      <c r="O38" s="162" t="s">
        <v>535</v>
      </c>
      <c r="P38" s="162" t="s">
        <v>538</v>
      </c>
    </row>
    <row r="39" spans="1:16" s="164" customFormat="1">
      <c r="A39" s="176"/>
      <c r="B39" s="14" t="str">
        <f>VLOOKUP(P39,'护理记录单文书字典(数据)'!B$4:C$99,2,0)</f>
        <v>9ED0AC340CFAB21103BD9E7A16119653</v>
      </c>
      <c r="C39" s="163" t="s">
        <v>4330</v>
      </c>
      <c r="D39" s="162" t="s">
        <v>4331</v>
      </c>
      <c r="E39" s="163" t="s">
        <v>2052</v>
      </c>
      <c r="F39" s="163">
        <v>1</v>
      </c>
      <c r="G39" s="163">
        <v>1</v>
      </c>
      <c r="H39" s="162" t="s">
        <v>4313</v>
      </c>
      <c r="I39" s="162"/>
      <c r="J39" s="162">
        <v>1</v>
      </c>
      <c r="K39" s="162" t="s">
        <v>162</v>
      </c>
      <c r="L39" s="162" t="s">
        <v>509</v>
      </c>
      <c r="M39" s="162" t="s">
        <v>535</v>
      </c>
      <c r="N39" s="162" t="s">
        <v>509</v>
      </c>
      <c r="O39" s="162" t="s">
        <v>535</v>
      </c>
      <c r="P39" s="162" t="s">
        <v>538</v>
      </c>
    </row>
    <row r="40" spans="1:16" s="164" customFormat="1">
      <c r="A40" s="176"/>
      <c r="B40" s="14" t="str">
        <f>VLOOKUP(P40,'护理记录单文书字典(数据)'!B$4:C$99,2,0)</f>
        <v>9ED0AC340CFAB21103BD9E7A16119653</v>
      </c>
      <c r="C40" s="163" t="s">
        <v>4332</v>
      </c>
      <c r="D40" s="162" t="s">
        <v>4333</v>
      </c>
      <c r="E40" s="163" t="s">
        <v>2052</v>
      </c>
      <c r="F40" s="163">
        <v>1</v>
      </c>
      <c r="G40" s="163">
        <v>1</v>
      </c>
      <c r="H40" s="162" t="s">
        <v>4313</v>
      </c>
      <c r="I40" s="162"/>
      <c r="J40" s="162">
        <v>1</v>
      </c>
      <c r="K40" s="162" t="s">
        <v>162</v>
      </c>
      <c r="L40" s="162" t="s">
        <v>509</v>
      </c>
      <c r="M40" s="162" t="s">
        <v>535</v>
      </c>
      <c r="N40" s="162" t="s">
        <v>509</v>
      </c>
      <c r="O40" s="162" t="s">
        <v>535</v>
      </c>
      <c r="P40" s="162" t="s">
        <v>538</v>
      </c>
    </row>
    <row r="41" spans="1:16" s="164" customFormat="1">
      <c r="A41" s="176"/>
      <c r="B41" s="14" t="str">
        <f>VLOOKUP(P41,'护理记录单文书字典(数据)'!B$4:C$99,2,0)</f>
        <v>9ED0AC340CFAB21103BD9E7A16119653</v>
      </c>
      <c r="C41" s="163" t="s">
        <v>4334</v>
      </c>
      <c r="D41" s="162" t="s">
        <v>4335</v>
      </c>
      <c r="E41" s="163" t="s">
        <v>2052</v>
      </c>
      <c r="F41" s="163">
        <v>1</v>
      </c>
      <c r="G41" s="163">
        <v>1</v>
      </c>
      <c r="H41" s="162" t="s">
        <v>4313</v>
      </c>
      <c r="I41" s="162"/>
      <c r="J41" s="162">
        <v>1</v>
      </c>
      <c r="K41" s="162" t="s">
        <v>162</v>
      </c>
      <c r="L41" s="162" t="s">
        <v>509</v>
      </c>
      <c r="M41" s="162" t="s">
        <v>535</v>
      </c>
      <c r="N41" s="162" t="s">
        <v>509</v>
      </c>
      <c r="O41" s="162" t="s">
        <v>535</v>
      </c>
      <c r="P41" s="162" t="s">
        <v>538</v>
      </c>
    </row>
    <row r="42" spans="1:16" s="164" customFormat="1">
      <c r="A42" s="176"/>
      <c r="B42" s="14" t="str">
        <f>VLOOKUP(P42,'护理记录单文书字典(数据)'!B$4:C$99,2,0)</f>
        <v>9ED0AC340CFAB21103BD9E7A16119653</v>
      </c>
      <c r="C42" s="163" t="s">
        <v>4336</v>
      </c>
      <c r="D42" s="162" t="s">
        <v>4337</v>
      </c>
      <c r="E42" s="163" t="s">
        <v>2052</v>
      </c>
      <c r="F42" s="163">
        <v>1</v>
      </c>
      <c r="G42" s="163">
        <v>1</v>
      </c>
      <c r="H42" s="162" t="s">
        <v>4313</v>
      </c>
      <c r="I42" s="162"/>
      <c r="J42" s="162">
        <v>1</v>
      </c>
      <c r="K42" s="162" t="s">
        <v>162</v>
      </c>
      <c r="L42" s="162" t="s">
        <v>509</v>
      </c>
      <c r="M42" s="162" t="s">
        <v>535</v>
      </c>
      <c r="N42" s="162" t="s">
        <v>509</v>
      </c>
      <c r="O42" s="162" t="s">
        <v>535</v>
      </c>
      <c r="P42" s="162" t="s">
        <v>538</v>
      </c>
    </row>
    <row r="43" spans="1:16" s="164" customFormat="1">
      <c r="A43" s="176"/>
      <c r="B43" s="14" t="str">
        <f>VLOOKUP(P43,'护理记录单文书字典(数据)'!B$4:C$99,2,0)</f>
        <v>9ED0AC340CFAB21103BD9E7A16119653</v>
      </c>
      <c r="C43" s="163" t="s">
        <v>4338</v>
      </c>
      <c r="D43" s="162" t="s">
        <v>4339</v>
      </c>
      <c r="E43" s="163" t="s">
        <v>2052</v>
      </c>
      <c r="F43" s="163">
        <v>1</v>
      </c>
      <c r="G43" s="163">
        <v>1</v>
      </c>
      <c r="H43" s="162" t="s">
        <v>4313</v>
      </c>
      <c r="I43" s="162"/>
      <c r="J43" s="162">
        <v>1</v>
      </c>
      <c r="K43" s="162" t="s">
        <v>162</v>
      </c>
      <c r="L43" s="162" t="s">
        <v>509</v>
      </c>
      <c r="M43" s="162" t="s">
        <v>535</v>
      </c>
      <c r="N43" s="162" t="s">
        <v>509</v>
      </c>
      <c r="O43" s="162" t="s">
        <v>535</v>
      </c>
      <c r="P43" s="162" t="s">
        <v>538</v>
      </c>
    </row>
    <row r="44" spans="1:16" s="164" customFormat="1">
      <c r="A44" s="176"/>
      <c r="B44" s="14" t="str">
        <f>VLOOKUP(P44,'护理记录单文书字典(数据)'!B$4:C$99,2,0)</f>
        <v>9ED0AC340CFAB21103BD9E7A16119653</v>
      </c>
      <c r="C44" s="163" t="s">
        <v>4340</v>
      </c>
      <c r="D44" s="162" t="s">
        <v>4341</v>
      </c>
      <c r="E44" s="163" t="s">
        <v>2052</v>
      </c>
      <c r="F44" s="163">
        <v>1</v>
      </c>
      <c r="G44" s="163">
        <v>1</v>
      </c>
      <c r="H44" s="162" t="s">
        <v>4313</v>
      </c>
      <c r="I44" s="162"/>
      <c r="J44" s="162">
        <v>1</v>
      </c>
      <c r="K44" s="162" t="s">
        <v>162</v>
      </c>
      <c r="L44" s="162" t="s">
        <v>509</v>
      </c>
      <c r="M44" s="162" t="s">
        <v>535</v>
      </c>
      <c r="N44" s="162" t="s">
        <v>509</v>
      </c>
      <c r="O44" s="162" t="s">
        <v>535</v>
      </c>
      <c r="P44" s="162" t="s">
        <v>538</v>
      </c>
    </row>
    <row r="45" spans="1:16" s="164" customFormat="1">
      <c r="A45" s="176"/>
      <c r="B45" s="14" t="str">
        <f>VLOOKUP(P45,'护理记录单文书字典(数据)'!B$4:C$99,2,0)</f>
        <v>9ED0AC340CFAB21103BD9E7A16119653</v>
      </c>
      <c r="C45" s="163" t="s">
        <v>4342</v>
      </c>
      <c r="D45" s="162" t="s">
        <v>4343</v>
      </c>
      <c r="E45" s="163" t="s">
        <v>2052</v>
      </c>
      <c r="F45" s="163">
        <v>1</v>
      </c>
      <c r="G45" s="163">
        <v>1</v>
      </c>
      <c r="H45" s="162" t="s">
        <v>4313</v>
      </c>
      <c r="I45" s="162"/>
      <c r="J45" s="162">
        <v>1</v>
      </c>
      <c r="K45" s="162" t="s">
        <v>162</v>
      </c>
      <c r="L45" s="162" t="s">
        <v>509</v>
      </c>
      <c r="M45" s="162" t="s">
        <v>535</v>
      </c>
      <c r="N45" s="162" t="s">
        <v>509</v>
      </c>
      <c r="O45" s="162" t="s">
        <v>535</v>
      </c>
      <c r="P45" s="162" t="s">
        <v>538</v>
      </c>
    </row>
    <row r="46" spans="1:16" s="164" customFormat="1">
      <c r="A46" s="176"/>
      <c r="B46" s="14" t="str">
        <f>VLOOKUP(P46,'护理记录单文书字典(数据)'!B$4:C$99,2,0)</f>
        <v>9ED0AC340CFAB21103BD9E7A16119653</v>
      </c>
      <c r="C46" s="163" t="s">
        <v>4344</v>
      </c>
      <c r="D46" s="162" t="s">
        <v>4345</v>
      </c>
      <c r="E46" s="163" t="s">
        <v>2052</v>
      </c>
      <c r="F46" s="163">
        <v>1</v>
      </c>
      <c r="G46" s="163">
        <v>1</v>
      </c>
      <c r="H46" s="162" t="s">
        <v>4313</v>
      </c>
      <c r="I46" s="162"/>
      <c r="J46" s="162">
        <v>1</v>
      </c>
      <c r="K46" s="162" t="s">
        <v>162</v>
      </c>
      <c r="L46" s="162" t="s">
        <v>509</v>
      </c>
      <c r="M46" s="162" t="s">
        <v>535</v>
      </c>
      <c r="N46" s="162" t="s">
        <v>509</v>
      </c>
      <c r="O46" s="162" t="s">
        <v>535</v>
      </c>
      <c r="P46" s="162" t="s">
        <v>538</v>
      </c>
    </row>
    <row r="47" spans="1:16" s="164" customFormat="1">
      <c r="A47" s="176"/>
      <c r="B47" s="14" t="str">
        <f>VLOOKUP(P47,'护理记录单文书字典(数据)'!B$4:C$99,2,0)</f>
        <v>9ED0AC340CFAB21103BD9E7A16119653</v>
      </c>
      <c r="C47" s="163" t="s">
        <v>4346</v>
      </c>
      <c r="D47" s="162" t="s">
        <v>4347</v>
      </c>
      <c r="E47" s="163" t="s">
        <v>2052</v>
      </c>
      <c r="F47" s="163">
        <v>1</v>
      </c>
      <c r="G47" s="163">
        <v>1</v>
      </c>
      <c r="H47" s="162" t="s">
        <v>4313</v>
      </c>
      <c r="I47" s="162"/>
      <c r="J47" s="162">
        <v>1</v>
      </c>
      <c r="K47" s="162" t="s">
        <v>162</v>
      </c>
      <c r="L47" s="162" t="s">
        <v>509</v>
      </c>
      <c r="M47" s="162" t="s">
        <v>535</v>
      </c>
      <c r="N47" s="162" t="s">
        <v>509</v>
      </c>
      <c r="O47" s="162" t="s">
        <v>535</v>
      </c>
      <c r="P47" s="162" t="s">
        <v>538</v>
      </c>
    </row>
    <row r="48" spans="1:16" s="164" customFormat="1">
      <c r="A48" s="176"/>
      <c r="B48" s="14" t="str">
        <f>VLOOKUP(P48,'护理记录单文书字典(数据)'!B$4:C$99,2,0)</f>
        <v>9ED0AC340CFAB21103BD9E7A16119653</v>
      </c>
      <c r="C48" s="163" t="s">
        <v>4348</v>
      </c>
      <c r="D48" s="162" t="s">
        <v>4349</v>
      </c>
      <c r="E48" s="163" t="s">
        <v>2052</v>
      </c>
      <c r="F48" s="163">
        <v>1</v>
      </c>
      <c r="G48" s="163">
        <v>1</v>
      </c>
      <c r="H48" s="162" t="s">
        <v>4313</v>
      </c>
      <c r="I48" s="162"/>
      <c r="J48" s="162">
        <v>1</v>
      </c>
      <c r="K48" s="162" t="s">
        <v>162</v>
      </c>
      <c r="L48" s="162" t="s">
        <v>509</v>
      </c>
      <c r="M48" s="162" t="s">
        <v>535</v>
      </c>
      <c r="N48" s="162" t="s">
        <v>509</v>
      </c>
      <c r="O48" s="162" t="s">
        <v>535</v>
      </c>
      <c r="P48" s="162" t="s">
        <v>538</v>
      </c>
    </row>
    <row r="49" spans="1:16" s="164" customFormat="1">
      <c r="A49" s="176"/>
      <c r="B49" s="14" t="str">
        <f>VLOOKUP(P49,'护理记录单文书字典(数据)'!B$4:C$99,2,0)</f>
        <v>9ED0AC340CFAB21103BD9E7A16119653</v>
      </c>
      <c r="C49" s="163" t="s">
        <v>4350</v>
      </c>
      <c r="D49" s="162" t="s">
        <v>4351</v>
      </c>
      <c r="E49" s="163" t="s">
        <v>2052</v>
      </c>
      <c r="F49" s="163">
        <v>1</v>
      </c>
      <c r="G49" s="163">
        <v>1</v>
      </c>
      <c r="H49" s="162" t="s">
        <v>4313</v>
      </c>
      <c r="I49" s="162"/>
      <c r="J49" s="162">
        <v>1</v>
      </c>
      <c r="K49" s="162" t="s">
        <v>162</v>
      </c>
      <c r="L49" s="162" t="s">
        <v>509</v>
      </c>
      <c r="M49" s="162" t="s">
        <v>535</v>
      </c>
      <c r="N49" s="162" t="s">
        <v>509</v>
      </c>
      <c r="O49" s="162" t="s">
        <v>535</v>
      </c>
      <c r="P49" s="162" t="s">
        <v>538</v>
      </c>
    </row>
    <row r="50" spans="1:16" s="164" customFormat="1">
      <c r="A50" s="176"/>
      <c r="B50" s="14" t="str">
        <f>VLOOKUP(P50,'护理记录单文书字典(数据)'!B$4:C$99,2,0)</f>
        <v>9ED0AC340CFAB21103BD9E7A16119653</v>
      </c>
      <c r="C50" s="163" t="s">
        <v>4352</v>
      </c>
      <c r="D50" s="162" t="s">
        <v>4353</v>
      </c>
      <c r="E50" s="163" t="s">
        <v>2052</v>
      </c>
      <c r="F50" s="163">
        <v>1</v>
      </c>
      <c r="G50" s="163">
        <v>1</v>
      </c>
      <c r="H50" s="162" t="s">
        <v>4313</v>
      </c>
      <c r="I50" s="162"/>
      <c r="J50" s="162">
        <v>1</v>
      </c>
      <c r="K50" s="162" t="s">
        <v>162</v>
      </c>
      <c r="L50" s="162" t="s">
        <v>509</v>
      </c>
      <c r="M50" s="162" t="s">
        <v>535</v>
      </c>
      <c r="N50" s="162" t="s">
        <v>509</v>
      </c>
      <c r="O50" s="162" t="s">
        <v>535</v>
      </c>
      <c r="P50" s="162" t="s">
        <v>538</v>
      </c>
    </row>
    <row r="51" spans="1:16" s="164" customFormat="1">
      <c r="A51" s="176"/>
      <c r="B51" s="14" t="str">
        <f>VLOOKUP(P51,'护理记录单文书字典(数据)'!B$4:C$99,2,0)</f>
        <v>9ED0AC340CFAB21103BD9E7A16119653</v>
      </c>
      <c r="C51" s="163" t="s">
        <v>4354</v>
      </c>
      <c r="D51" s="162" t="s">
        <v>4355</v>
      </c>
      <c r="E51" s="163" t="s">
        <v>2052</v>
      </c>
      <c r="F51" s="163">
        <v>1</v>
      </c>
      <c r="G51" s="163">
        <v>1</v>
      </c>
      <c r="H51" s="162" t="s">
        <v>4313</v>
      </c>
      <c r="I51" s="162"/>
      <c r="J51" s="162">
        <v>1</v>
      </c>
      <c r="K51" s="162" t="s">
        <v>162</v>
      </c>
      <c r="L51" s="162" t="s">
        <v>509</v>
      </c>
      <c r="M51" s="162" t="s">
        <v>535</v>
      </c>
      <c r="N51" s="162" t="s">
        <v>509</v>
      </c>
      <c r="O51" s="162" t="s">
        <v>535</v>
      </c>
      <c r="P51" s="162" t="s">
        <v>538</v>
      </c>
    </row>
    <row r="52" spans="1:16" s="164" customFormat="1">
      <c r="A52" s="176"/>
      <c r="B52" s="14" t="str">
        <f>VLOOKUP(P52,'护理记录单文书字典(数据)'!B$4:C$99,2,0)</f>
        <v>9ED0AC340CFAB21103BD9E7A16119653</v>
      </c>
      <c r="C52" s="163" t="s">
        <v>4356</v>
      </c>
      <c r="D52" s="162" t="s">
        <v>4357</v>
      </c>
      <c r="E52" s="163" t="s">
        <v>2052</v>
      </c>
      <c r="F52" s="163">
        <v>1</v>
      </c>
      <c r="G52" s="163">
        <v>1</v>
      </c>
      <c r="H52" s="162" t="s">
        <v>4313</v>
      </c>
      <c r="I52" s="162"/>
      <c r="J52" s="162">
        <v>1</v>
      </c>
      <c r="K52" s="162" t="s">
        <v>162</v>
      </c>
      <c r="L52" s="162" t="s">
        <v>509</v>
      </c>
      <c r="M52" s="162" t="s">
        <v>535</v>
      </c>
      <c r="N52" s="162" t="s">
        <v>509</v>
      </c>
      <c r="O52" s="162" t="s">
        <v>535</v>
      </c>
      <c r="P52" s="162" t="s">
        <v>538</v>
      </c>
    </row>
    <row r="53" spans="1:16" s="164" customFormat="1">
      <c r="A53" s="176"/>
      <c r="B53" s="14" t="str">
        <f>VLOOKUP(P53,'护理记录单文书字典(数据)'!B$4:C$99,2,0)</f>
        <v>9ED0AC340CFAB21103BD9E7A16119653</v>
      </c>
      <c r="C53" s="163" t="s">
        <v>4358</v>
      </c>
      <c r="D53" s="162" t="s">
        <v>4359</v>
      </c>
      <c r="E53" s="163" t="s">
        <v>2052</v>
      </c>
      <c r="F53" s="163">
        <v>1</v>
      </c>
      <c r="G53" s="163">
        <v>1</v>
      </c>
      <c r="H53" s="162" t="s">
        <v>4313</v>
      </c>
      <c r="I53" s="162"/>
      <c r="J53" s="162">
        <v>1</v>
      </c>
      <c r="K53" s="162" t="s">
        <v>162</v>
      </c>
      <c r="L53" s="162" t="s">
        <v>509</v>
      </c>
      <c r="M53" s="162" t="s">
        <v>535</v>
      </c>
      <c r="N53" s="162" t="s">
        <v>509</v>
      </c>
      <c r="O53" s="162" t="s">
        <v>535</v>
      </c>
      <c r="P53" s="162" t="s">
        <v>538</v>
      </c>
    </row>
    <row r="54" spans="1:16" s="164" customFormat="1">
      <c r="A54" s="176"/>
      <c r="B54" s="14" t="str">
        <f>VLOOKUP(P54,'护理记录单文书字典(数据)'!B$4:C$99,2,0)</f>
        <v>9ED0AC340CFAB21103BD9E7A16119653</v>
      </c>
      <c r="C54" s="163" t="s">
        <v>4360</v>
      </c>
      <c r="D54" s="162" t="s">
        <v>4361</v>
      </c>
      <c r="E54" s="163" t="s">
        <v>2052</v>
      </c>
      <c r="F54" s="163">
        <v>1</v>
      </c>
      <c r="G54" s="163">
        <v>1</v>
      </c>
      <c r="H54" s="162" t="s">
        <v>4313</v>
      </c>
      <c r="I54" s="162"/>
      <c r="J54" s="162">
        <v>1</v>
      </c>
      <c r="K54" s="162" t="s">
        <v>162</v>
      </c>
      <c r="L54" s="162" t="s">
        <v>509</v>
      </c>
      <c r="M54" s="162" t="s">
        <v>535</v>
      </c>
      <c r="N54" s="162" t="s">
        <v>509</v>
      </c>
      <c r="O54" s="162" t="s">
        <v>535</v>
      </c>
      <c r="P54" s="162" t="s">
        <v>538</v>
      </c>
    </row>
    <row r="55" spans="1:16" s="29" customFormat="1">
      <c r="A55" s="63" t="s">
        <v>4282</v>
      </c>
      <c r="B55" s="14" t="str">
        <f>VLOOKUP(P55,'护理记录单文书字典(数据)'!B$4:C$99,2,0)</f>
        <v>9ED0AC340CFAB21103BD9E7A16119653</v>
      </c>
      <c r="C55" s="87" t="s">
        <v>4362</v>
      </c>
      <c r="D55" s="14" t="s">
        <v>4312</v>
      </c>
      <c r="E55" s="87" t="s">
        <v>2052</v>
      </c>
      <c r="F55" s="87">
        <v>0</v>
      </c>
      <c r="G55" s="87">
        <v>1</v>
      </c>
      <c r="H55" s="14" t="s">
        <v>4363</v>
      </c>
      <c r="I55" s="14"/>
      <c r="J55" s="14">
        <v>1</v>
      </c>
      <c r="K55" s="14" t="s">
        <v>162</v>
      </c>
      <c r="L55" s="14" t="s">
        <v>509</v>
      </c>
      <c r="M55" s="14" t="s">
        <v>535</v>
      </c>
      <c r="N55" s="14" t="s">
        <v>509</v>
      </c>
      <c r="O55" s="14" t="s">
        <v>535</v>
      </c>
      <c r="P55" s="14" t="s">
        <v>538</v>
      </c>
    </row>
    <row r="56" spans="1:16" s="29" customFormat="1">
      <c r="A56" s="63" t="s">
        <v>4282</v>
      </c>
      <c r="B56" s="14" t="str">
        <f>VLOOKUP(P56,'护理记录单文书字典(数据)'!B$4:C$99,2,0)</f>
        <v>9ED0AC340CFAB21103BD9E7A16119653</v>
      </c>
      <c r="C56" s="87" t="s">
        <v>4364</v>
      </c>
      <c r="D56" s="14" t="s">
        <v>4323</v>
      </c>
      <c r="E56" s="87" t="s">
        <v>2052</v>
      </c>
      <c r="F56" s="87">
        <v>0</v>
      </c>
      <c r="G56" s="87">
        <v>1</v>
      </c>
      <c r="H56" s="14" t="s">
        <v>4363</v>
      </c>
      <c r="I56" s="14"/>
      <c r="J56" s="14">
        <v>1</v>
      </c>
      <c r="K56" s="14" t="s">
        <v>162</v>
      </c>
      <c r="L56" s="14" t="s">
        <v>509</v>
      </c>
      <c r="M56" s="14" t="s">
        <v>535</v>
      </c>
      <c r="N56" s="14" t="s">
        <v>509</v>
      </c>
      <c r="O56" s="14" t="s">
        <v>535</v>
      </c>
      <c r="P56" s="14" t="s">
        <v>538</v>
      </c>
    </row>
    <row r="57" spans="1:16" s="29" customFormat="1">
      <c r="A57" s="63" t="s">
        <v>4282</v>
      </c>
      <c r="B57" s="14" t="str">
        <f>VLOOKUP(P57,'护理记录单文书字典(数据)'!B$4:C$99,2,0)</f>
        <v>9ED0AC340CFAB21103BD9E7A16119653</v>
      </c>
      <c r="C57" s="87" t="s">
        <v>4365</v>
      </c>
      <c r="D57" s="14" t="s">
        <v>4366</v>
      </c>
      <c r="E57" s="87" t="s">
        <v>2052</v>
      </c>
      <c r="F57" s="87">
        <v>0</v>
      </c>
      <c r="G57" s="87">
        <v>1</v>
      </c>
      <c r="H57" s="14" t="s">
        <v>4363</v>
      </c>
      <c r="I57" s="14"/>
      <c r="J57" s="14">
        <v>1</v>
      </c>
      <c r="K57" s="14" t="s">
        <v>162</v>
      </c>
      <c r="L57" s="14" t="s">
        <v>509</v>
      </c>
      <c r="M57" s="14" t="s">
        <v>535</v>
      </c>
      <c r="N57" s="14" t="s">
        <v>509</v>
      </c>
      <c r="O57" s="14" t="s">
        <v>535</v>
      </c>
      <c r="P57" s="14" t="s">
        <v>538</v>
      </c>
    </row>
    <row r="58" spans="1:16" s="29" customFormat="1">
      <c r="A58" s="63" t="s">
        <v>4282</v>
      </c>
      <c r="B58" s="14" t="str">
        <f>VLOOKUP(P58,'护理记录单文书字典(数据)'!B$4:C$99,2,0)</f>
        <v>9ED0AC340CFAB21103BD9E7A16119653</v>
      </c>
      <c r="C58" s="87" t="s">
        <v>4367</v>
      </c>
      <c r="D58" s="14" t="s">
        <v>4343</v>
      </c>
      <c r="E58" s="87" t="s">
        <v>2052</v>
      </c>
      <c r="F58" s="87">
        <v>0</v>
      </c>
      <c r="G58" s="87">
        <v>1</v>
      </c>
      <c r="H58" s="14" t="s">
        <v>4363</v>
      </c>
      <c r="I58" s="14"/>
      <c r="J58" s="14">
        <v>1</v>
      </c>
      <c r="K58" s="14" t="s">
        <v>162</v>
      </c>
      <c r="L58" s="14" t="s">
        <v>509</v>
      </c>
      <c r="M58" s="14" t="s">
        <v>535</v>
      </c>
      <c r="N58" s="14" t="s">
        <v>509</v>
      </c>
      <c r="O58" s="14" t="s">
        <v>535</v>
      </c>
      <c r="P58" s="14" t="s">
        <v>538</v>
      </c>
    </row>
    <row r="59" spans="1:16" s="29" customFormat="1">
      <c r="A59" s="63" t="s">
        <v>4282</v>
      </c>
      <c r="B59" s="14" t="str">
        <f>VLOOKUP(P59,'护理记录单文书字典(数据)'!B$4:C$99,2,0)</f>
        <v>9ED0AC340CFAB21103BD9E7A16119653</v>
      </c>
      <c r="C59" s="87" t="s">
        <v>4368</v>
      </c>
      <c r="D59" s="14" t="s">
        <v>4353</v>
      </c>
      <c r="E59" s="87" t="s">
        <v>2052</v>
      </c>
      <c r="F59" s="87">
        <v>0</v>
      </c>
      <c r="G59" s="87">
        <v>1</v>
      </c>
      <c r="H59" s="14" t="s">
        <v>4363</v>
      </c>
      <c r="I59" s="14"/>
      <c r="J59" s="14">
        <v>1</v>
      </c>
      <c r="K59" s="14" t="s">
        <v>162</v>
      </c>
      <c r="L59" s="14" t="s">
        <v>509</v>
      </c>
      <c r="M59" s="14" t="s">
        <v>535</v>
      </c>
      <c r="N59" s="14" t="s">
        <v>509</v>
      </c>
      <c r="O59" s="14" t="s">
        <v>535</v>
      </c>
      <c r="P59" s="14" t="s">
        <v>538</v>
      </c>
    </row>
    <row r="60" spans="1:16">
      <c r="A60" s="63" t="s">
        <v>4282</v>
      </c>
      <c r="B60" s="14" t="str">
        <f>VLOOKUP(P60,'护理记录单文书字典(数据)'!B$4:C$99,2,0)</f>
        <v>9ED0AC340CFAB21103BD9E7A16119653</v>
      </c>
      <c r="C60" s="87" t="s">
        <v>4369</v>
      </c>
      <c r="D60" s="14" t="s">
        <v>4370</v>
      </c>
      <c r="E60" s="87" t="s">
        <v>2052</v>
      </c>
      <c r="F60" s="87">
        <v>1</v>
      </c>
      <c r="G60" s="87">
        <v>1</v>
      </c>
      <c r="H60" s="14" t="s">
        <v>4313</v>
      </c>
      <c r="I60" s="75"/>
      <c r="J60" s="75">
        <v>1</v>
      </c>
      <c r="K60" s="75" t="s">
        <v>162</v>
      </c>
      <c r="L60" s="75" t="s">
        <v>509</v>
      </c>
      <c r="M60" s="75" t="s">
        <v>535</v>
      </c>
      <c r="N60" s="75" t="s">
        <v>509</v>
      </c>
      <c r="O60" s="75" t="s">
        <v>535</v>
      </c>
      <c r="P60" s="75" t="s">
        <v>538</v>
      </c>
    </row>
    <row r="61" spans="1:16">
      <c r="A61" s="63" t="s">
        <v>4282</v>
      </c>
      <c r="B61" s="14" t="str">
        <f>VLOOKUP(P61,'护理记录单文书字典(数据)'!B$4:C$99,2,0)</f>
        <v>9ED0AC340CFAB21103BD9E7A16119653</v>
      </c>
      <c r="C61" s="87" t="s">
        <v>4371</v>
      </c>
      <c r="D61" s="14" t="s">
        <v>4372</v>
      </c>
      <c r="E61" s="87" t="s">
        <v>2052</v>
      </c>
      <c r="F61" s="87">
        <v>1</v>
      </c>
      <c r="G61" s="87">
        <v>1</v>
      </c>
      <c r="H61" s="14" t="s">
        <v>4313</v>
      </c>
      <c r="I61" s="75"/>
      <c r="J61" s="75">
        <v>1</v>
      </c>
      <c r="K61" s="75" t="s">
        <v>162</v>
      </c>
      <c r="L61" s="75" t="s">
        <v>509</v>
      </c>
      <c r="M61" s="75" t="s">
        <v>535</v>
      </c>
      <c r="N61" s="75" t="s">
        <v>509</v>
      </c>
      <c r="O61" s="75" t="s">
        <v>535</v>
      </c>
      <c r="P61" s="75" t="s">
        <v>538</v>
      </c>
    </row>
    <row r="62" spans="1:16">
      <c r="A62" s="63" t="s">
        <v>4282</v>
      </c>
      <c r="B62" s="14" t="str">
        <f>VLOOKUP(P62,'护理记录单文书字典(数据)'!B$4:C$99,2,0)</f>
        <v>9ED0AC340CFAB21103BD9E7A16119653</v>
      </c>
      <c r="C62" s="87" t="s">
        <v>4373</v>
      </c>
      <c r="D62" s="14" t="s">
        <v>4374</v>
      </c>
      <c r="E62" s="87" t="s">
        <v>2048</v>
      </c>
      <c r="F62" s="87">
        <v>1</v>
      </c>
      <c r="G62" s="87">
        <v>1</v>
      </c>
      <c r="H62" s="14"/>
      <c r="I62" s="75"/>
      <c r="J62" s="75">
        <v>1</v>
      </c>
      <c r="K62" s="75" t="s">
        <v>162</v>
      </c>
      <c r="L62" s="75" t="s">
        <v>509</v>
      </c>
      <c r="M62" s="75" t="s">
        <v>535</v>
      </c>
      <c r="N62" s="75" t="s">
        <v>509</v>
      </c>
      <c r="O62" s="75" t="s">
        <v>535</v>
      </c>
      <c r="P62" s="75" t="s">
        <v>538</v>
      </c>
    </row>
    <row r="63" spans="1:16">
      <c r="A63" s="63" t="s">
        <v>4282</v>
      </c>
      <c r="B63" s="14" t="str">
        <f>VLOOKUP(P63,'护理记录单文书字典(数据)'!B$4:C$99,2,0)</f>
        <v>9ED0AC340CFAB21103BD9E7A16119653</v>
      </c>
      <c r="C63" s="87" t="s">
        <v>4375</v>
      </c>
      <c r="D63" s="14" t="s">
        <v>4376</v>
      </c>
      <c r="E63" s="87" t="s">
        <v>2048</v>
      </c>
      <c r="F63" s="87">
        <v>1</v>
      </c>
      <c r="G63" s="87">
        <v>1</v>
      </c>
      <c r="H63" s="14"/>
      <c r="I63" s="75"/>
      <c r="J63" s="75">
        <v>1</v>
      </c>
      <c r="K63" s="75" t="s">
        <v>162</v>
      </c>
      <c r="L63" s="75" t="s">
        <v>509</v>
      </c>
      <c r="M63" s="75" t="s">
        <v>535</v>
      </c>
      <c r="N63" s="75" t="s">
        <v>509</v>
      </c>
      <c r="O63" s="75" t="s">
        <v>535</v>
      </c>
      <c r="P63" s="75" t="s">
        <v>538</v>
      </c>
    </row>
    <row r="64" spans="1:16">
      <c r="A64" s="63" t="s">
        <v>4282</v>
      </c>
      <c r="B64" s="14" t="str">
        <f>VLOOKUP(P64,'护理记录单文书字典(数据)'!B$4:C$99,2,0)</f>
        <v>9ED0AC340CFAB21103BD9E7A16119653</v>
      </c>
      <c r="C64" s="87" t="s">
        <v>4377</v>
      </c>
      <c r="D64" s="14" t="s">
        <v>4378</v>
      </c>
      <c r="E64" s="87" t="s">
        <v>2048</v>
      </c>
      <c r="F64" s="87">
        <v>1</v>
      </c>
      <c r="G64" s="87">
        <v>1</v>
      </c>
      <c r="H64" s="14"/>
      <c r="I64" s="75"/>
      <c r="J64" s="75">
        <v>1</v>
      </c>
      <c r="K64" s="75" t="s">
        <v>162</v>
      </c>
      <c r="L64" s="75" t="s">
        <v>509</v>
      </c>
      <c r="M64" s="75" t="s">
        <v>535</v>
      </c>
      <c r="N64" s="75" t="s">
        <v>509</v>
      </c>
      <c r="O64" s="75" t="s">
        <v>535</v>
      </c>
      <c r="P64" s="75" t="s">
        <v>538</v>
      </c>
    </row>
    <row r="65" spans="1:16">
      <c r="A65" s="63" t="s">
        <v>4282</v>
      </c>
      <c r="B65" s="14" t="str">
        <f>VLOOKUP(P65,'护理记录单文书字典(数据)'!B$4:C$99,2,0)</f>
        <v>9ED0AC340CFAB21103BD9E7A16119653</v>
      </c>
      <c r="C65" s="87" t="s">
        <v>2100</v>
      </c>
      <c r="D65" s="14" t="s">
        <v>4379</v>
      </c>
      <c r="E65" s="87" t="s">
        <v>2048</v>
      </c>
      <c r="F65" s="87">
        <v>1</v>
      </c>
      <c r="G65" s="87">
        <v>1</v>
      </c>
      <c r="H65" s="14"/>
      <c r="I65" s="75"/>
      <c r="J65" s="75">
        <v>1</v>
      </c>
      <c r="K65" s="75" t="s">
        <v>162</v>
      </c>
      <c r="L65" s="75" t="s">
        <v>509</v>
      </c>
      <c r="M65" s="75" t="s">
        <v>535</v>
      </c>
      <c r="N65" s="75" t="s">
        <v>509</v>
      </c>
      <c r="O65" s="75" t="s">
        <v>535</v>
      </c>
      <c r="P65" s="75" t="s">
        <v>538</v>
      </c>
    </row>
    <row r="66" spans="1:16">
      <c r="A66" s="63" t="s">
        <v>4282</v>
      </c>
      <c r="B66" s="14" t="str">
        <f>VLOOKUP(P66,'护理记录单文书字典(数据)'!B$4:C$99,2,0)</f>
        <v>9ED0AC340CFAB21103BD9E7A16119653</v>
      </c>
      <c r="C66" s="87" t="s">
        <v>4380</v>
      </c>
      <c r="D66" s="14" t="s">
        <v>4381</v>
      </c>
      <c r="E66" s="87" t="s">
        <v>2048</v>
      </c>
      <c r="F66" s="87">
        <v>1</v>
      </c>
      <c r="G66" s="87">
        <v>1</v>
      </c>
      <c r="H66" s="14"/>
      <c r="I66" s="75"/>
      <c r="J66" s="75">
        <v>1</v>
      </c>
      <c r="K66" s="75" t="s">
        <v>162</v>
      </c>
      <c r="L66" s="75" t="s">
        <v>509</v>
      </c>
      <c r="M66" s="75" t="s">
        <v>535</v>
      </c>
      <c r="N66" s="75" t="s">
        <v>509</v>
      </c>
      <c r="O66" s="75" t="s">
        <v>535</v>
      </c>
      <c r="P66" s="75" t="s">
        <v>538</v>
      </c>
    </row>
    <row r="67" spans="1:16">
      <c r="A67" s="63" t="s">
        <v>4282</v>
      </c>
      <c r="B67" s="14" t="str">
        <f>VLOOKUP(P67,'护理记录单文书字典(数据)'!B$4:C$99,2,0)</f>
        <v>9ED0AC340CFAB21103BD9E7A16119653</v>
      </c>
      <c r="C67" s="87" t="s">
        <v>4382</v>
      </c>
      <c r="D67" s="14" t="s">
        <v>4383</v>
      </c>
      <c r="E67" s="87" t="s">
        <v>2048</v>
      </c>
      <c r="F67" s="87">
        <v>1</v>
      </c>
      <c r="G67" s="87">
        <v>1</v>
      </c>
      <c r="H67" s="14"/>
      <c r="I67" s="75"/>
      <c r="J67" s="75">
        <v>1</v>
      </c>
      <c r="K67" s="75" t="s">
        <v>162</v>
      </c>
      <c r="L67" s="75" t="s">
        <v>509</v>
      </c>
      <c r="M67" s="75" t="s">
        <v>535</v>
      </c>
      <c r="N67" s="75" t="s">
        <v>509</v>
      </c>
      <c r="O67" s="75" t="s">
        <v>535</v>
      </c>
      <c r="P67" s="75" t="s">
        <v>538</v>
      </c>
    </row>
    <row r="68" spans="1:16">
      <c r="A68" s="63" t="s">
        <v>4282</v>
      </c>
      <c r="B68" s="14" t="str">
        <f>VLOOKUP(P68,'护理记录单文书字典(数据)'!B$4:C$99,2,0)</f>
        <v>9ED0AC340CFAB21103BD9E7A16119653</v>
      </c>
      <c r="C68" s="87" t="s">
        <v>4384</v>
      </c>
      <c r="D68" s="14" t="s">
        <v>4385</v>
      </c>
      <c r="E68" s="87" t="s">
        <v>2048</v>
      </c>
      <c r="F68" s="87">
        <v>1</v>
      </c>
      <c r="G68" s="87">
        <v>1</v>
      </c>
      <c r="H68" s="14"/>
      <c r="I68" s="75"/>
      <c r="J68" s="75">
        <v>1</v>
      </c>
      <c r="K68" s="75" t="s">
        <v>162</v>
      </c>
      <c r="L68" s="75" t="s">
        <v>509</v>
      </c>
      <c r="M68" s="75" t="s">
        <v>535</v>
      </c>
      <c r="N68" s="75" t="s">
        <v>509</v>
      </c>
      <c r="O68" s="75" t="s">
        <v>535</v>
      </c>
      <c r="P68" s="75" t="s">
        <v>538</v>
      </c>
    </row>
    <row r="69" spans="1:16">
      <c r="A69" s="63" t="s">
        <v>4282</v>
      </c>
      <c r="B69" s="14" t="str">
        <f>VLOOKUP(P69,'护理记录单文书字典(数据)'!B$4:C$99,2,0)</f>
        <v>9ED0AC340CFAB21103BD9E7A16119653</v>
      </c>
      <c r="C69" s="87" t="s">
        <v>4386</v>
      </c>
      <c r="D69" s="14" t="s">
        <v>4387</v>
      </c>
      <c r="E69" s="87" t="s">
        <v>2048</v>
      </c>
      <c r="F69" s="87">
        <v>1</v>
      </c>
      <c r="G69" s="87">
        <v>1</v>
      </c>
      <c r="H69" s="14"/>
      <c r="I69" s="75"/>
      <c r="J69" s="75">
        <v>1</v>
      </c>
      <c r="K69" s="75" t="s">
        <v>162</v>
      </c>
      <c r="L69" s="75" t="s">
        <v>509</v>
      </c>
      <c r="M69" s="75" t="s">
        <v>535</v>
      </c>
      <c r="N69" s="75" t="s">
        <v>509</v>
      </c>
      <c r="O69" s="75" t="s">
        <v>535</v>
      </c>
      <c r="P69" s="75" t="s">
        <v>538</v>
      </c>
    </row>
    <row r="70" spans="1:16">
      <c r="A70" s="63" t="s">
        <v>4282</v>
      </c>
      <c r="B70" s="14" t="str">
        <f>VLOOKUP(P70,'护理记录单文书字典(数据)'!B$4:C$99,2,0)</f>
        <v>9ED0AC340CFAB21103BD9E7A16119653</v>
      </c>
      <c r="C70" s="87" t="s">
        <v>4388</v>
      </c>
      <c r="D70" s="14" t="s">
        <v>4389</v>
      </c>
      <c r="E70" s="87" t="s">
        <v>2048</v>
      </c>
      <c r="F70" s="87">
        <v>1</v>
      </c>
      <c r="G70" s="87">
        <v>1</v>
      </c>
      <c r="H70" s="14"/>
      <c r="I70" s="75"/>
      <c r="J70" s="75">
        <v>1</v>
      </c>
      <c r="K70" s="75" t="s">
        <v>162</v>
      </c>
      <c r="L70" s="75" t="s">
        <v>509</v>
      </c>
      <c r="M70" s="75" t="s">
        <v>535</v>
      </c>
      <c r="N70" s="75" t="s">
        <v>509</v>
      </c>
      <c r="O70" s="75" t="s">
        <v>535</v>
      </c>
      <c r="P70" s="75" t="s">
        <v>538</v>
      </c>
    </row>
    <row r="71" spans="1:16">
      <c r="A71" s="63" t="s">
        <v>4282</v>
      </c>
      <c r="B71" s="14" t="str">
        <f>VLOOKUP(P71,'护理记录单文书字典(数据)'!B$4:C$99,2,0)</f>
        <v>9ED0AC340CFAB21103BD9E7A16119653</v>
      </c>
      <c r="C71" s="87" t="s">
        <v>4390</v>
      </c>
      <c r="D71" s="14" t="s">
        <v>4391</v>
      </c>
      <c r="E71" s="87" t="s">
        <v>2048</v>
      </c>
      <c r="F71" s="87">
        <v>1</v>
      </c>
      <c r="G71" s="87">
        <v>1</v>
      </c>
      <c r="H71" s="14"/>
      <c r="I71" s="75"/>
      <c r="J71" s="75">
        <v>1</v>
      </c>
      <c r="K71" s="75" t="s">
        <v>162</v>
      </c>
      <c r="L71" s="75" t="s">
        <v>509</v>
      </c>
      <c r="M71" s="75" t="s">
        <v>535</v>
      </c>
      <c r="N71" s="75" t="s">
        <v>509</v>
      </c>
      <c r="O71" s="75" t="s">
        <v>535</v>
      </c>
      <c r="P71" s="75" t="s">
        <v>538</v>
      </c>
    </row>
    <row r="72" spans="1:16">
      <c r="A72" s="63" t="s">
        <v>4282</v>
      </c>
      <c r="B72" s="14" t="str">
        <f>VLOOKUP(P72,'护理记录单文书字典(数据)'!B$4:C$99,2,0)</f>
        <v>9ED0AC340CFAB21103BD9E7A16119653</v>
      </c>
      <c r="C72" s="87" t="s">
        <v>4392</v>
      </c>
      <c r="D72" s="14" t="s">
        <v>4393</v>
      </c>
      <c r="E72" s="87" t="s">
        <v>2048</v>
      </c>
      <c r="F72" s="87">
        <v>1</v>
      </c>
      <c r="G72" s="87">
        <v>1</v>
      </c>
      <c r="H72" s="14"/>
      <c r="I72" s="75"/>
      <c r="J72" s="75">
        <v>1</v>
      </c>
      <c r="K72" s="75" t="s">
        <v>162</v>
      </c>
      <c r="L72" s="75" t="s">
        <v>509</v>
      </c>
      <c r="M72" s="75" t="s">
        <v>535</v>
      </c>
      <c r="N72" s="75" t="s">
        <v>509</v>
      </c>
      <c r="O72" s="75" t="s">
        <v>535</v>
      </c>
      <c r="P72" s="75" t="s">
        <v>538</v>
      </c>
    </row>
    <row r="73" spans="1:16">
      <c r="A73" s="63" t="s">
        <v>4282</v>
      </c>
      <c r="B73" s="14" t="str">
        <f>VLOOKUP(P73,'护理记录单文书字典(数据)'!B$4:C$99,2,0)</f>
        <v>9ED0AC340CFAB21103BD9E7A16119653</v>
      </c>
      <c r="C73" s="87" t="s">
        <v>4394</v>
      </c>
      <c r="D73" s="14" t="s">
        <v>4395</v>
      </c>
      <c r="E73" s="87" t="s">
        <v>2048</v>
      </c>
      <c r="F73" s="87">
        <v>1</v>
      </c>
      <c r="G73" s="87">
        <v>1</v>
      </c>
      <c r="H73" s="14"/>
      <c r="I73" s="75"/>
      <c r="J73" s="75">
        <v>1</v>
      </c>
      <c r="K73" s="75" t="s">
        <v>162</v>
      </c>
      <c r="L73" s="75" t="s">
        <v>509</v>
      </c>
      <c r="M73" s="75" t="s">
        <v>535</v>
      </c>
      <c r="N73" s="75" t="s">
        <v>509</v>
      </c>
      <c r="O73" s="75" t="s">
        <v>535</v>
      </c>
      <c r="P73" s="75" t="s">
        <v>538</v>
      </c>
    </row>
    <row r="74" spans="1:16">
      <c r="A74" s="63" t="s">
        <v>4282</v>
      </c>
      <c r="B74" s="14" t="str">
        <f>VLOOKUP(P74,'护理记录单文书字典(数据)'!B$4:C$99,2,0)</f>
        <v>9ED0AC340CFAB21103BD9E7A16119653</v>
      </c>
      <c r="C74" s="87" t="s">
        <v>4396</v>
      </c>
      <c r="D74" s="14" t="s">
        <v>4397</v>
      </c>
      <c r="E74" s="87" t="s">
        <v>2048</v>
      </c>
      <c r="F74" s="87">
        <v>1</v>
      </c>
      <c r="G74" s="87">
        <v>1</v>
      </c>
      <c r="H74" s="14"/>
      <c r="I74" s="75"/>
      <c r="J74" s="75">
        <v>1</v>
      </c>
      <c r="K74" s="75" t="s">
        <v>162</v>
      </c>
      <c r="L74" s="75" t="s">
        <v>509</v>
      </c>
      <c r="M74" s="75" t="s">
        <v>535</v>
      </c>
      <c r="N74" s="75" t="s">
        <v>509</v>
      </c>
      <c r="O74" s="75" t="s">
        <v>535</v>
      </c>
      <c r="P74" s="75" t="s">
        <v>538</v>
      </c>
    </row>
    <row r="75" spans="1:16">
      <c r="A75" s="63" t="s">
        <v>4282</v>
      </c>
      <c r="B75" s="14" t="str">
        <f>VLOOKUP(P75,'护理记录单文书字典(数据)'!B$4:C$99,2,0)</f>
        <v>9ED0AC340CFAB21103BD9E7A16119653</v>
      </c>
      <c r="C75" s="87" t="s">
        <v>4398</v>
      </c>
      <c r="D75" s="14" t="s">
        <v>4399</v>
      </c>
      <c r="E75" s="87" t="s">
        <v>2048</v>
      </c>
      <c r="F75" s="87">
        <v>1</v>
      </c>
      <c r="G75" s="87">
        <v>1</v>
      </c>
      <c r="H75" s="14"/>
      <c r="I75" s="75"/>
      <c r="J75" s="75">
        <v>1</v>
      </c>
      <c r="K75" s="75" t="s">
        <v>162</v>
      </c>
      <c r="L75" s="75" t="s">
        <v>509</v>
      </c>
      <c r="M75" s="75" t="s">
        <v>535</v>
      </c>
      <c r="N75" s="75" t="s">
        <v>509</v>
      </c>
      <c r="O75" s="75" t="s">
        <v>535</v>
      </c>
      <c r="P75" s="75" t="s">
        <v>538</v>
      </c>
    </row>
    <row r="76" spans="1:16">
      <c r="A76" s="63" t="s">
        <v>4282</v>
      </c>
      <c r="B76" s="14" t="str">
        <f>VLOOKUP(P76,'护理记录单文书字典(数据)'!B$4:C$99,2,0)</f>
        <v>9ED0AC340CFAB21103BD9E7A16119653</v>
      </c>
      <c r="C76" s="87" t="s">
        <v>4400</v>
      </c>
      <c r="D76" s="14" t="s">
        <v>4401</v>
      </c>
      <c r="E76" s="87" t="s">
        <v>2048</v>
      </c>
      <c r="F76" s="87">
        <v>1</v>
      </c>
      <c r="G76" s="87">
        <v>1</v>
      </c>
      <c r="H76" s="14"/>
      <c r="I76" s="75"/>
      <c r="J76" s="75">
        <v>1</v>
      </c>
      <c r="K76" s="75" t="s">
        <v>162</v>
      </c>
      <c r="L76" s="75" t="s">
        <v>509</v>
      </c>
      <c r="M76" s="75" t="s">
        <v>535</v>
      </c>
      <c r="N76" s="75" t="s">
        <v>509</v>
      </c>
      <c r="O76" s="75" t="s">
        <v>535</v>
      </c>
      <c r="P76" s="75" t="s">
        <v>538</v>
      </c>
    </row>
    <row r="77" spans="1:16">
      <c r="A77" s="63" t="s">
        <v>4282</v>
      </c>
      <c r="B77" s="14" t="str">
        <f>VLOOKUP(P77,'护理记录单文书字典(数据)'!B$4:C$99,2,0)</f>
        <v>9ED0AC340CFAB21103BD9E7A16119653</v>
      </c>
      <c r="C77" s="87" t="s">
        <v>4402</v>
      </c>
      <c r="D77" s="14" t="s">
        <v>4403</v>
      </c>
      <c r="E77" s="87" t="s">
        <v>2048</v>
      </c>
      <c r="F77" s="87">
        <v>1</v>
      </c>
      <c r="G77" s="87">
        <v>1</v>
      </c>
      <c r="H77" s="14"/>
      <c r="I77" s="75"/>
      <c r="J77" s="75">
        <v>1</v>
      </c>
      <c r="K77" s="75" t="s">
        <v>162</v>
      </c>
      <c r="L77" s="75" t="s">
        <v>509</v>
      </c>
      <c r="M77" s="75" t="s">
        <v>535</v>
      </c>
      <c r="N77" s="75" t="s">
        <v>509</v>
      </c>
      <c r="O77" s="75" t="s">
        <v>535</v>
      </c>
      <c r="P77" s="75" t="s">
        <v>538</v>
      </c>
    </row>
    <row r="78" spans="1:16">
      <c r="A78" s="63" t="s">
        <v>4282</v>
      </c>
      <c r="B78" s="14" t="str">
        <f>VLOOKUP(P78,'护理记录单文书字典(数据)'!B$4:C$99,2,0)</f>
        <v>9ED0AC340CFAB21103BD9E7A16119653</v>
      </c>
      <c r="C78" s="87" t="s">
        <v>4404</v>
      </c>
      <c r="D78" s="14" t="s">
        <v>4405</v>
      </c>
      <c r="E78" s="87" t="s">
        <v>2048</v>
      </c>
      <c r="F78" s="87">
        <v>1</v>
      </c>
      <c r="G78" s="87">
        <v>1</v>
      </c>
      <c r="H78" s="14"/>
      <c r="I78" s="75"/>
      <c r="J78" s="75">
        <v>1</v>
      </c>
      <c r="K78" s="75" t="s">
        <v>162</v>
      </c>
      <c r="L78" s="75" t="s">
        <v>509</v>
      </c>
      <c r="M78" s="75" t="s">
        <v>535</v>
      </c>
      <c r="N78" s="75" t="s">
        <v>509</v>
      </c>
      <c r="O78" s="75" t="s">
        <v>535</v>
      </c>
      <c r="P78" s="75" t="s">
        <v>538</v>
      </c>
    </row>
    <row r="79" spans="1:16">
      <c r="A79" s="63" t="s">
        <v>4282</v>
      </c>
      <c r="B79" s="14" t="str">
        <f>VLOOKUP(P79,'护理记录单文书字典(数据)'!B$4:C$99,2,0)</f>
        <v>9ED0AC340CFAB21103BD9E7A16119653</v>
      </c>
      <c r="C79" s="87" t="s">
        <v>4406</v>
      </c>
      <c r="D79" s="14" t="s">
        <v>4407</v>
      </c>
      <c r="E79" s="87" t="s">
        <v>2048</v>
      </c>
      <c r="F79" s="87">
        <v>1</v>
      </c>
      <c r="G79" s="87">
        <v>1</v>
      </c>
      <c r="H79" s="14"/>
      <c r="I79" s="75"/>
      <c r="J79" s="75">
        <v>1</v>
      </c>
      <c r="K79" s="75" t="s">
        <v>162</v>
      </c>
      <c r="L79" s="75" t="s">
        <v>509</v>
      </c>
      <c r="M79" s="75" t="s">
        <v>535</v>
      </c>
      <c r="N79" s="75" t="s">
        <v>509</v>
      </c>
      <c r="O79" s="75" t="s">
        <v>535</v>
      </c>
      <c r="P79" s="75" t="s">
        <v>538</v>
      </c>
    </row>
    <row r="80" spans="1:16">
      <c r="A80" s="63" t="s">
        <v>4282</v>
      </c>
      <c r="B80" s="14" t="str">
        <f>VLOOKUP(P80,'护理记录单文书字典(数据)'!B$4:C$99,2,0)</f>
        <v>9ED0AC340CFAB21103BD9E7A16119653</v>
      </c>
      <c r="C80" s="87" t="s">
        <v>4408</v>
      </c>
      <c r="D80" s="14" t="s">
        <v>4409</v>
      </c>
      <c r="E80" s="87" t="s">
        <v>2048</v>
      </c>
      <c r="F80" s="87">
        <v>1</v>
      </c>
      <c r="G80" s="87">
        <v>1</v>
      </c>
      <c r="H80" s="14"/>
      <c r="I80" s="75"/>
      <c r="J80" s="75">
        <v>1</v>
      </c>
      <c r="K80" s="75" t="s">
        <v>162</v>
      </c>
      <c r="L80" s="75" t="s">
        <v>509</v>
      </c>
      <c r="M80" s="75" t="s">
        <v>535</v>
      </c>
      <c r="N80" s="75" t="s">
        <v>509</v>
      </c>
      <c r="O80" s="75" t="s">
        <v>535</v>
      </c>
      <c r="P80" s="75" t="s">
        <v>538</v>
      </c>
    </row>
    <row r="81" spans="1:16">
      <c r="A81" s="63" t="s">
        <v>4282</v>
      </c>
      <c r="B81" s="14" t="str">
        <f>VLOOKUP(P81,'护理记录单文书字典(数据)'!B$4:C$99,2,0)</f>
        <v>9ED0AC340CFAB21103BD9E7A16119653</v>
      </c>
      <c r="C81" s="87" t="s">
        <v>4410</v>
      </c>
      <c r="D81" s="14" t="s">
        <v>4411</v>
      </c>
      <c r="E81" s="87" t="s">
        <v>2048</v>
      </c>
      <c r="F81" s="87">
        <v>1</v>
      </c>
      <c r="G81" s="87">
        <v>1</v>
      </c>
      <c r="H81" s="14"/>
      <c r="I81" s="75"/>
      <c r="J81" s="75">
        <v>1</v>
      </c>
      <c r="K81" s="75" t="s">
        <v>162</v>
      </c>
      <c r="L81" s="75" t="s">
        <v>509</v>
      </c>
      <c r="M81" s="75" t="s">
        <v>535</v>
      </c>
      <c r="N81" s="75" t="s">
        <v>509</v>
      </c>
      <c r="O81" s="75" t="s">
        <v>535</v>
      </c>
      <c r="P81" s="75" t="s">
        <v>538</v>
      </c>
    </row>
    <row r="82" spans="1:16">
      <c r="A82" s="63" t="s">
        <v>4282</v>
      </c>
      <c r="B82" s="14" t="str">
        <f>VLOOKUP(P82,'护理记录单文书字典(数据)'!B$4:C$99,2,0)</f>
        <v>9ED0AC340CFAB21103BD9E7A16119653</v>
      </c>
      <c r="C82" s="87" t="s">
        <v>4412</v>
      </c>
      <c r="D82" s="14" t="s">
        <v>4413</v>
      </c>
      <c r="E82" s="87" t="s">
        <v>2048</v>
      </c>
      <c r="F82" s="87">
        <v>1</v>
      </c>
      <c r="G82" s="87">
        <v>1</v>
      </c>
      <c r="H82" s="14"/>
      <c r="I82" s="75"/>
      <c r="J82" s="75">
        <v>1</v>
      </c>
      <c r="K82" s="75" t="s">
        <v>162</v>
      </c>
      <c r="L82" s="75" t="s">
        <v>509</v>
      </c>
      <c r="M82" s="75" t="s">
        <v>535</v>
      </c>
      <c r="N82" s="75" t="s">
        <v>509</v>
      </c>
      <c r="O82" s="75" t="s">
        <v>535</v>
      </c>
      <c r="P82" s="75" t="s">
        <v>538</v>
      </c>
    </row>
    <row r="83" spans="1:16">
      <c r="A83" s="63" t="s">
        <v>4282</v>
      </c>
      <c r="B83" s="14" t="str">
        <f>VLOOKUP(P83,'护理记录单文书字典(数据)'!B$4:C$99,2,0)</f>
        <v>9ED0AC340CFAB21103BD9E7A16119653</v>
      </c>
      <c r="C83" s="87" t="s">
        <v>4414</v>
      </c>
      <c r="D83" s="14" t="s">
        <v>4415</v>
      </c>
      <c r="E83" s="87" t="s">
        <v>2048</v>
      </c>
      <c r="F83" s="87">
        <v>1</v>
      </c>
      <c r="G83" s="87">
        <v>1</v>
      </c>
      <c r="H83" s="14"/>
      <c r="I83" s="75"/>
      <c r="J83" s="75">
        <v>1</v>
      </c>
      <c r="K83" s="75" t="s">
        <v>162</v>
      </c>
      <c r="L83" s="75" t="s">
        <v>509</v>
      </c>
      <c r="M83" s="75" t="s">
        <v>535</v>
      </c>
      <c r="N83" s="75" t="s">
        <v>509</v>
      </c>
      <c r="O83" s="75" t="s">
        <v>535</v>
      </c>
      <c r="P83" s="75" t="s">
        <v>538</v>
      </c>
    </row>
    <row r="84" spans="1:16">
      <c r="A84" s="63" t="s">
        <v>4282</v>
      </c>
      <c r="B84" s="14" t="str">
        <f>VLOOKUP(P84,'护理记录单文书字典(数据)'!B$4:C$99,2,0)</f>
        <v>9ED0AC340CFAB21103BD9E7A16119653</v>
      </c>
      <c r="C84" s="87" t="s">
        <v>4416</v>
      </c>
      <c r="D84" s="14" t="s">
        <v>4417</v>
      </c>
      <c r="E84" s="87" t="s">
        <v>2048</v>
      </c>
      <c r="F84" s="87">
        <v>1</v>
      </c>
      <c r="G84" s="87">
        <v>1</v>
      </c>
      <c r="H84" s="14"/>
      <c r="I84" s="75"/>
      <c r="J84" s="75">
        <v>1</v>
      </c>
      <c r="K84" s="75" t="s">
        <v>162</v>
      </c>
      <c r="L84" s="75" t="s">
        <v>509</v>
      </c>
      <c r="M84" s="75" t="s">
        <v>535</v>
      </c>
      <c r="N84" s="75" t="s">
        <v>509</v>
      </c>
      <c r="O84" s="75" t="s">
        <v>535</v>
      </c>
      <c r="P84" s="75" t="s">
        <v>538</v>
      </c>
    </row>
    <row r="85" spans="1:16">
      <c r="A85" s="63" t="s">
        <v>4282</v>
      </c>
      <c r="B85" s="14" t="str">
        <f>VLOOKUP(P85,'护理记录单文书字典(数据)'!B$4:C$99,2,0)</f>
        <v>9ED0AC340CFAB21103BD9E7A16119653</v>
      </c>
      <c r="C85" s="87" t="s">
        <v>4418</v>
      </c>
      <c r="D85" s="14" t="s">
        <v>4419</v>
      </c>
      <c r="E85" s="87" t="s">
        <v>2048</v>
      </c>
      <c r="F85" s="87">
        <v>1</v>
      </c>
      <c r="G85" s="87">
        <v>1</v>
      </c>
      <c r="H85" s="14"/>
      <c r="I85" s="75"/>
      <c r="J85" s="75">
        <v>1</v>
      </c>
      <c r="K85" s="75" t="s">
        <v>162</v>
      </c>
      <c r="L85" s="75" t="s">
        <v>509</v>
      </c>
      <c r="M85" s="75" t="s">
        <v>535</v>
      </c>
      <c r="N85" s="75" t="s">
        <v>509</v>
      </c>
      <c r="O85" s="75" t="s">
        <v>535</v>
      </c>
      <c r="P85" s="75" t="s">
        <v>538</v>
      </c>
    </row>
    <row r="86" spans="1:16">
      <c r="A86" s="63" t="s">
        <v>4282</v>
      </c>
      <c r="B86" s="14" t="str">
        <f>VLOOKUP(P86,'护理记录单文书字典(数据)'!B$4:C$99,2,0)</f>
        <v>9ED0AC340CFAB21103BD9E7A16119653</v>
      </c>
      <c r="C86" s="87" t="s">
        <v>4420</v>
      </c>
      <c r="D86" s="14" t="s">
        <v>4421</v>
      </c>
      <c r="E86" s="87" t="s">
        <v>2048</v>
      </c>
      <c r="F86" s="87">
        <v>1</v>
      </c>
      <c r="G86" s="87">
        <v>1</v>
      </c>
      <c r="H86" s="14"/>
      <c r="I86" s="75"/>
      <c r="J86" s="75">
        <v>1</v>
      </c>
      <c r="K86" s="75" t="s">
        <v>162</v>
      </c>
      <c r="L86" s="75" t="s">
        <v>509</v>
      </c>
      <c r="M86" s="75" t="s">
        <v>535</v>
      </c>
      <c r="N86" s="75" t="s">
        <v>509</v>
      </c>
      <c r="O86" s="75" t="s">
        <v>535</v>
      </c>
      <c r="P86" s="75" t="s">
        <v>538</v>
      </c>
    </row>
    <row r="87" spans="1:16">
      <c r="A87" s="63" t="s">
        <v>4282</v>
      </c>
      <c r="B87" s="14" t="str">
        <f>VLOOKUP(P87,'护理记录单文书字典(数据)'!B$4:C$99,2,0)</f>
        <v>9ED0AC340CFAB21103BD9E7A16119653</v>
      </c>
      <c r="C87" s="87" t="s">
        <v>4422</v>
      </c>
      <c r="D87" s="14" t="s">
        <v>4423</v>
      </c>
      <c r="E87" s="87" t="s">
        <v>2048</v>
      </c>
      <c r="F87" s="87">
        <v>1</v>
      </c>
      <c r="G87" s="87">
        <v>1</v>
      </c>
      <c r="H87" s="14"/>
      <c r="I87" s="75"/>
      <c r="J87" s="75">
        <v>1</v>
      </c>
      <c r="K87" s="75" t="s">
        <v>162</v>
      </c>
      <c r="L87" s="75" t="s">
        <v>509</v>
      </c>
      <c r="M87" s="75" t="s">
        <v>535</v>
      </c>
      <c r="N87" s="75" t="s">
        <v>509</v>
      </c>
      <c r="O87" s="75" t="s">
        <v>535</v>
      </c>
      <c r="P87" s="75" t="s">
        <v>538</v>
      </c>
    </row>
    <row r="88" spans="1:16">
      <c r="A88" s="63" t="s">
        <v>4282</v>
      </c>
      <c r="B88" s="14" t="str">
        <f>VLOOKUP(P88,'护理记录单文书字典(数据)'!B$4:C$99,2,0)</f>
        <v>9ED0AC340CFAB21103BD9E7A16119653</v>
      </c>
      <c r="C88" s="87" t="s">
        <v>4424</v>
      </c>
      <c r="D88" s="14" t="s">
        <v>4425</v>
      </c>
      <c r="E88" s="87" t="s">
        <v>2048</v>
      </c>
      <c r="F88" s="87">
        <v>1</v>
      </c>
      <c r="G88" s="87">
        <v>1</v>
      </c>
      <c r="H88" s="14"/>
      <c r="I88" s="75"/>
      <c r="J88" s="75">
        <v>1</v>
      </c>
      <c r="K88" s="75" t="s">
        <v>162</v>
      </c>
      <c r="L88" s="75" t="s">
        <v>509</v>
      </c>
      <c r="M88" s="75" t="s">
        <v>535</v>
      </c>
      <c r="N88" s="75" t="s">
        <v>509</v>
      </c>
      <c r="O88" s="75" t="s">
        <v>535</v>
      </c>
      <c r="P88" s="75" t="s">
        <v>538</v>
      </c>
    </row>
    <row r="89" spans="1:16">
      <c r="A89" s="63" t="s">
        <v>4282</v>
      </c>
      <c r="B89" s="14" t="str">
        <f>VLOOKUP(P89,'护理记录单文书字典(数据)'!B$4:C$99,2,0)</f>
        <v>9ED0AC340CFAB21103BD9E7A16119653</v>
      </c>
      <c r="C89" s="87" t="s">
        <v>4426</v>
      </c>
      <c r="D89" s="14" t="s">
        <v>4427</v>
      </c>
      <c r="E89" s="87" t="s">
        <v>2048</v>
      </c>
      <c r="F89" s="87">
        <v>1</v>
      </c>
      <c r="G89" s="87">
        <v>1</v>
      </c>
      <c r="H89" s="14"/>
      <c r="I89" s="75"/>
      <c r="J89" s="75">
        <v>1</v>
      </c>
      <c r="K89" s="75" t="s">
        <v>162</v>
      </c>
      <c r="L89" s="75" t="s">
        <v>509</v>
      </c>
      <c r="M89" s="75" t="s">
        <v>535</v>
      </c>
      <c r="N89" s="75" t="s">
        <v>509</v>
      </c>
      <c r="O89" s="75" t="s">
        <v>535</v>
      </c>
      <c r="P89" s="75" t="s">
        <v>538</v>
      </c>
    </row>
    <row r="90" spans="1:16">
      <c r="A90" s="63" t="s">
        <v>4282</v>
      </c>
      <c r="B90" s="14" t="str">
        <f>VLOOKUP(P90,'护理记录单文书字典(数据)'!B$4:C$99,2,0)</f>
        <v>9ED0AC340CFAB21103BD9E7A16119653</v>
      </c>
      <c r="C90" s="87" t="s">
        <v>4428</v>
      </c>
      <c r="D90" s="14" t="s">
        <v>4429</v>
      </c>
      <c r="E90" s="87" t="s">
        <v>2048</v>
      </c>
      <c r="F90" s="87">
        <v>1</v>
      </c>
      <c r="G90" s="87">
        <v>1</v>
      </c>
      <c r="H90" s="14"/>
      <c r="I90" s="75"/>
      <c r="J90" s="75">
        <v>1</v>
      </c>
      <c r="K90" s="75" t="s">
        <v>162</v>
      </c>
      <c r="L90" s="75" t="s">
        <v>509</v>
      </c>
      <c r="M90" s="75" t="s">
        <v>535</v>
      </c>
      <c r="N90" s="75" t="s">
        <v>509</v>
      </c>
      <c r="O90" s="75" t="s">
        <v>535</v>
      </c>
      <c r="P90" s="75" t="s">
        <v>538</v>
      </c>
    </row>
    <row r="91" spans="1:16">
      <c r="A91" s="63" t="s">
        <v>4282</v>
      </c>
      <c r="B91" s="14" t="str">
        <f>VLOOKUP(P91,'护理记录单文书字典(数据)'!B$4:C$99,2,0)</f>
        <v>9ED0AC340CFAB21103BD9E7A16119653</v>
      </c>
      <c r="C91" s="87" t="s">
        <v>4430</v>
      </c>
      <c r="D91" s="14" t="s">
        <v>4431</v>
      </c>
      <c r="E91" s="87" t="s">
        <v>2048</v>
      </c>
      <c r="F91" s="87">
        <v>1</v>
      </c>
      <c r="G91" s="87">
        <v>1</v>
      </c>
      <c r="H91" s="14"/>
      <c r="I91" s="75"/>
      <c r="J91" s="75">
        <v>1</v>
      </c>
      <c r="K91" s="75" t="s">
        <v>162</v>
      </c>
      <c r="L91" s="75" t="s">
        <v>509</v>
      </c>
      <c r="M91" s="75" t="s">
        <v>535</v>
      </c>
      <c r="N91" s="75" t="s">
        <v>509</v>
      </c>
      <c r="O91" s="75" t="s">
        <v>535</v>
      </c>
      <c r="P91" s="75" t="s">
        <v>538</v>
      </c>
    </row>
    <row r="92" spans="1:16">
      <c r="A92" s="63" t="s">
        <v>4282</v>
      </c>
      <c r="B92" s="14" t="str">
        <f>VLOOKUP(P92,'护理记录单文书字典(数据)'!B$4:C$99,2,0)</f>
        <v>9ED0AC340CFAB21103BD9E7A16119653</v>
      </c>
      <c r="C92" s="87" t="s">
        <v>4432</v>
      </c>
      <c r="D92" s="14" t="s">
        <v>4433</v>
      </c>
      <c r="E92" s="87" t="s">
        <v>2048</v>
      </c>
      <c r="F92" s="87">
        <v>1</v>
      </c>
      <c r="G92" s="87">
        <v>1</v>
      </c>
      <c r="H92" s="14"/>
      <c r="I92" s="75"/>
      <c r="J92" s="75">
        <v>1</v>
      </c>
      <c r="K92" s="75" t="s">
        <v>162</v>
      </c>
      <c r="L92" s="75" t="s">
        <v>509</v>
      </c>
      <c r="M92" s="75" t="s">
        <v>535</v>
      </c>
      <c r="N92" s="75" t="s">
        <v>509</v>
      </c>
      <c r="O92" s="75" t="s">
        <v>535</v>
      </c>
      <c r="P92" s="75" t="s">
        <v>538</v>
      </c>
    </row>
    <row r="93" spans="1:16">
      <c r="A93" s="63" t="s">
        <v>4282</v>
      </c>
      <c r="B93" s="14" t="str">
        <f>VLOOKUP(P93,'护理记录单文书字典(数据)'!B$4:C$99,2,0)</f>
        <v>9ED0AC340CFAB21103BD9E7A16119653</v>
      </c>
      <c r="C93" s="87" t="s">
        <v>4434</v>
      </c>
      <c r="D93" s="14" t="s">
        <v>4435</v>
      </c>
      <c r="E93" s="87" t="s">
        <v>2048</v>
      </c>
      <c r="F93" s="87">
        <v>1</v>
      </c>
      <c r="G93" s="87">
        <v>1</v>
      </c>
      <c r="H93" s="14"/>
      <c r="I93" s="75"/>
      <c r="J93" s="75">
        <v>1</v>
      </c>
      <c r="K93" s="75" t="s">
        <v>162</v>
      </c>
      <c r="L93" s="75" t="s">
        <v>509</v>
      </c>
      <c r="M93" s="75" t="s">
        <v>535</v>
      </c>
      <c r="N93" s="75" t="s">
        <v>509</v>
      </c>
      <c r="O93" s="75" t="s">
        <v>535</v>
      </c>
      <c r="P93" s="75" t="s">
        <v>538</v>
      </c>
    </row>
    <row r="94" spans="1:16">
      <c r="A94" s="63" t="s">
        <v>4282</v>
      </c>
      <c r="B94" s="14" t="str">
        <f>VLOOKUP(P94,'护理记录单文书字典(数据)'!B$4:C$99,2,0)</f>
        <v>9ED0AC340CFAB21103BD9E7A16119653</v>
      </c>
      <c r="C94" s="87" t="s">
        <v>4436</v>
      </c>
      <c r="D94" s="14" t="s">
        <v>4437</v>
      </c>
      <c r="E94" s="87" t="s">
        <v>2048</v>
      </c>
      <c r="F94" s="87">
        <v>1</v>
      </c>
      <c r="G94" s="87">
        <v>1</v>
      </c>
      <c r="H94" s="14"/>
      <c r="I94" s="75"/>
      <c r="J94" s="75">
        <v>1</v>
      </c>
      <c r="K94" s="75" t="s">
        <v>162</v>
      </c>
      <c r="L94" s="75" t="s">
        <v>509</v>
      </c>
      <c r="M94" s="75" t="s">
        <v>535</v>
      </c>
      <c r="N94" s="75" t="s">
        <v>509</v>
      </c>
      <c r="O94" s="75" t="s">
        <v>535</v>
      </c>
      <c r="P94" s="75" t="s">
        <v>538</v>
      </c>
    </row>
    <row r="95" spans="1:16">
      <c r="A95" s="63" t="s">
        <v>4282</v>
      </c>
      <c r="B95" s="14" t="str">
        <f>VLOOKUP(P95,'护理记录单文书字典(数据)'!B$4:C$99,2,0)</f>
        <v>9ED0AC340CFAB21103BD9E7A16119653</v>
      </c>
      <c r="C95" s="87" t="s">
        <v>2102</v>
      </c>
      <c r="D95" s="14" t="s">
        <v>2101</v>
      </c>
      <c r="E95" s="87" t="s">
        <v>2048</v>
      </c>
      <c r="F95" s="87">
        <v>1</v>
      </c>
      <c r="G95" s="87">
        <v>1</v>
      </c>
      <c r="H95" s="14"/>
      <c r="I95" s="75"/>
      <c r="J95" s="75">
        <v>1</v>
      </c>
      <c r="K95" s="75" t="s">
        <v>162</v>
      </c>
      <c r="L95" s="75" t="s">
        <v>509</v>
      </c>
      <c r="M95" s="75" t="s">
        <v>535</v>
      </c>
      <c r="N95" s="75" t="s">
        <v>509</v>
      </c>
      <c r="O95" s="75" t="s">
        <v>535</v>
      </c>
      <c r="P95" s="75" t="s">
        <v>538</v>
      </c>
    </row>
    <row r="96" spans="1:16">
      <c r="A96" s="63" t="s">
        <v>4282</v>
      </c>
      <c r="B96" s="14" t="str">
        <f>VLOOKUP(P96,'护理记录单文书字典(数据)'!B$4:C$99,2,0)</f>
        <v>9ED0AC340CFAB21103BD9E7A16119653</v>
      </c>
      <c r="C96" s="87" t="s">
        <v>4438</v>
      </c>
      <c r="D96" s="14" t="s">
        <v>4439</v>
      </c>
      <c r="E96" s="87" t="s">
        <v>2048</v>
      </c>
      <c r="F96" s="87">
        <v>1</v>
      </c>
      <c r="G96" s="87">
        <v>1</v>
      </c>
      <c r="H96" s="14"/>
      <c r="I96" s="75"/>
      <c r="J96" s="75">
        <v>1</v>
      </c>
      <c r="K96" s="75" t="s">
        <v>162</v>
      </c>
      <c r="L96" s="75" t="s">
        <v>509</v>
      </c>
      <c r="M96" s="75" t="s">
        <v>535</v>
      </c>
      <c r="N96" s="75" t="s">
        <v>509</v>
      </c>
      <c r="O96" s="75" t="s">
        <v>535</v>
      </c>
      <c r="P96" s="75" t="s">
        <v>538</v>
      </c>
    </row>
    <row r="97" spans="1:16">
      <c r="A97" s="63" t="s">
        <v>4282</v>
      </c>
      <c r="B97" s="14" t="str">
        <f>VLOOKUP(P97,'护理记录单文书字典(数据)'!B$4:C$99,2,0)</f>
        <v>9ED0AC340CFAB21103BD9E7A16119653</v>
      </c>
      <c r="C97" s="87" t="s">
        <v>4440</v>
      </c>
      <c r="D97" s="14" t="s">
        <v>4441</v>
      </c>
      <c r="E97" s="87" t="s">
        <v>2048</v>
      </c>
      <c r="F97" s="87">
        <v>1</v>
      </c>
      <c r="G97" s="87">
        <v>1</v>
      </c>
      <c r="H97" s="14"/>
      <c r="I97" s="75"/>
      <c r="J97" s="75">
        <v>1</v>
      </c>
      <c r="K97" s="75" t="s">
        <v>162</v>
      </c>
      <c r="L97" s="75" t="s">
        <v>509</v>
      </c>
      <c r="M97" s="75" t="s">
        <v>535</v>
      </c>
      <c r="N97" s="75" t="s">
        <v>509</v>
      </c>
      <c r="O97" s="75" t="s">
        <v>535</v>
      </c>
      <c r="P97" s="75" t="s">
        <v>538</v>
      </c>
    </row>
    <row r="98" spans="1:16">
      <c r="A98" s="63" t="s">
        <v>4282</v>
      </c>
      <c r="B98" s="14" t="str">
        <f>VLOOKUP(P98,'护理记录单文书字典(数据)'!B$4:C$99,2,0)</f>
        <v>9ED0AC340CFAB21103BD9E7A16119653</v>
      </c>
      <c r="C98" s="87" t="s">
        <v>4442</v>
      </c>
      <c r="D98" s="14" t="s">
        <v>4443</v>
      </c>
      <c r="E98" s="87" t="s">
        <v>2048</v>
      </c>
      <c r="F98" s="87">
        <v>1</v>
      </c>
      <c r="G98" s="87">
        <v>1</v>
      </c>
      <c r="H98" s="14"/>
      <c r="I98" s="75"/>
      <c r="J98" s="75">
        <v>1</v>
      </c>
      <c r="K98" s="75" t="s">
        <v>162</v>
      </c>
      <c r="L98" s="75" t="s">
        <v>509</v>
      </c>
      <c r="M98" s="75" t="s">
        <v>535</v>
      </c>
      <c r="N98" s="75" t="s">
        <v>509</v>
      </c>
      <c r="O98" s="75" t="s">
        <v>535</v>
      </c>
      <c r="P98" s="75" t="s">
        <v>538</v>
      </c>
    </row>
    <row r="99" spans="1:16">
      <c r="A99" s="63" t="s">
        <v>4282</v>
      </c>
      <c r="B99" s="14" t="str">
        <f>VLOOKUP(P99,'护理记录单文书字典(数据)'!B$4:C$99,2,0)</f>
        <v>9ED0AC340CFAB21103BD9E7A16119653</v>
      </c>
      <c r="C99" s="87" t="s">
        <v>4444</v>
      </c>
      <c r="D99" s="14" t="s">
        <v>4445</v>
      </c>
      <c r="E99" s="87" t="s">
        <v>2048</v>
      </c>
      <c r="F99" s="87">
        <v>1</v>
      </c>
      <c r="G99" s="87">
        <v>1</v>
      </c>
      <c r="H99" s="14"/>
      <c r="I99" s="75"/>
      <c r="J99" s="75">
        <v>1</v>
      </c>
      <c r="K99" s="75" t="s">
        <v>162</v>
      </c>
      <c r="L99" s="75" t="s">
        <v>509</v>
      </c>
      <c r="M99" s="75" t="s">
        <v>535</v>
      </c>
      <c r="N99" s="75" t="s">
        <v>509</v>
      </c>
      <c r="O99" s="75" t="s">
        <v>535</v>
      </c>
      <c r="P99" s="75" t="s">
        <v>538</v>
      </c>
    </row>
    <row r="100" spans="1:16">
      <c r="A100" s="63" t="s">
        <v>4282</v>
      </c>
      <c r="B100" s="14" t="str">
        <f>VLOOKUP(P100,'护理记录单文书字典(数据)'!B$4:C$99,2,0)</f>
        <v>9ED0AC340CFAB21103BD9E7A16119653</v>
      </c>
      <c r="C100" s="87" t="s">
        <v>4446</v>
      </c>
      <c r="D100" s="14" t="s">
        <v>4447</v>
      </c>
      <c r="E100" s="87" t="s">
        <v>2048</v>
      </c>
      <c r="F100" s="87">
        <v>1</v>
      </c>
      <c r="G100" s="87">
        <v>1</v>
      </c>
      <c r="H100" s="14"/>
      <c r="I100" s="75"/>
      <c r="J100" s="75">
        <v>1</v>
      </c>
      <c r="K100" s="75" t="s">
        <v>162</v>
      </c>
      <c r="L100" s="75" t="s">
        <v>509</v>
      </c>
      <c r="M100" s="75" t="s">
        <v>535</v>
      </c>
      <c r="N100" s="75" t="s">
        <v>509</v>
      </c>
      <c r="O100" s="75" t="s">
        <v>535</v>
      </c>
      <c r="P100" s="75" t="s">
        <v>538</v>
      </c>
    </row>
    <row r="101" spans="1:16">
      <c r="A101" s="63" t="s">
        <v>4282</v>
      </c>
      <c r="B101" s="14" t="str">
        <f>VLOOKUP(P101,'护理记录单文书字典(数据)'!B$4:C$99,2,0)</f>
        <v>9ED0AC340CFAB21103BD9E7A16119653</v>
      </c>
      <c r="C101" s="87" t="s">
        <v>4448</v>
      </c>
      <c r="D101" s="14" t="s">
        <v>4449</v>
      </c>
      <c r="E101" s="87" t="s">
        <v>2048</v>
      </c>
      <c r="F101" s="87">
        <v>1</v>
      </c>
      <c r="G101" s="87">
        <v>1</v>
      </c>
      <c r="H101" s="14"/>
      <c r="I101" s="75"/>
      <c r="J101" s="75">
        <v>1</v>
      </c>
      <c r="K101" s="75" t="s">
        <v>162</v>
      </c>
      <c r="L101" s="75" t="s">
        <v>509</v>
      </c>
      <c r="M101" s="75" t="s">
        <v>535</v>
      </c>
      <c r="N101" s="75" t="s">
        <v>509</v>
      </c>
      <c r="O101" s="75" t="s">
        <v>535</v>
      </c>
      <c r="P101" s="75" t="s">
        <v>538</v>
      </c>
    </row>
    <row r="102" spans="1:16">
      <c r="A102" s="63" t="s">
        <v>4282</v>
      </c>
      <c r="B102" s="14" t="str">
        <f>VLOOKUP(P102,'护理记录单文书字典(数据)'!B$4:C$99,2,0)</f>
        <v>9ED0AC340CFAB21103BD9E7A16119653</v>
      </c>
      <c r="C102" s="87" t="s">
        <v>4450</v>
      </c>
      <c r="D102" s="14" t="s">
        <v>4451</v>
      </c>
      <c r="E102" s="87" t="s">
        <v>2048</v>
      </c>
      <c r="F102" s="87">
        <v>1</v>
      </c>
      <c r="G102" s="87">
        <v>1</v>
      </c>
      <c r="H102" s="14"/>
      <c r="I102" s="75"/>
      <c r="J102" s="75">
        <v>1</v>
      </c>
      <c r="K102" s="75" t="s">
        <v>162</v>
      </c>
      <c r="L102" s="75" t="s">
        <v>509</v>
      </c>
      <c r="M102" s="75" t="s">
        <v>535</v>
      </c>
      <c r="N102" s="75" t="s">
        <v>509</v>
      </c>
      <c r="O102" s="75" t="s">
        <v>535</v>
      </c>
      <c r="P102" s="75" t="s">
        <v>538</v>
      </c>
    </row>
    <row r="103" spans="1:16">
      <c r="A103" s="63" t="s">
        <v>4282</v>
      </c>
      <c r="B103" s="14" t="str">
        <f>VLOOKUP(P103,'护理记录单文书字典(数据)'!B$4:C$99,2,0)</f>
        <v>9ED0AC340CFAB21103BD9E7A16119653</v>
      </c>
      <c r="C103" s="87" t="s">
        <v>4452</v>
      </c>
      <c r="D103" s="14" t="s">
        <v>4453</v>
      </c>
      <c r="E103" s="87" t="s">
        <v>2048</v>
      </c>
      <c r="F103" s="87">
        <v>1</v>
      </c>
      <c r="G103" s="87">
        <v>1</v>
      </c>
      <c r="H103" s="14"/>
      <c r="I103" s="75"/>
      <c r="J103" s="75">
        <v>1</v>
      </c>
      <c r="K103" s="75" t="s">
        <v>162</v>
      </c>
      <c r="L103" s="75" t="s">
        <v>509</v>
      </c>
      <c r="M103" s="75" t="s">
        <v>535</v>
      </c>
      <c r="N103" s="75" t="s">
        <v>509</v>
      </c>
      <c r="O103" s="75" t="s">
        <v>535</v>
      </c>
      <c r="P103" s="75" t="s">
        <v>538</v>
      </c>
    </row>
    <row r="104" spans="1:16">
      <c r="A104" s="63" t="s">
        <v>4282</v>
      </c>
      <c r="B104" s="14" t="str">
        <f>VLOOKUP(P104,'护理记录单文书字典(数据)'!B$4:C$99,2,0)</f>
        <v>9ED0AC340CFAB21103BD9E7A16119653</v>
      </c>
      <c r="C104" s="87" t="s">
        <v>4454</v>
      </c>
      <c r="D104" s="14" t="s">
        <v>4455</v>
      </c>
      <c r="E104" s="87" t="s">
        <v>2048</v>
      </c>
      <c r="F104" s="87">
        <v>1</v>
      </c>
      <c r="G104" s="87">
        <v>1</v>
      </c>
      <c r="H104" s="14"/>
      <c r="I104" s="75"/>
      <c r="J104" s="75">
        <v>1</v>
      </c>
      <c r="K104" s="75" t="s">
        <v>162</v>
      </c>
      <c r="L104" s="75" t="s">
        <v>509</v>
      </c>
      <c r="M104" s="75" t="s">
        <v>535</v>
      </c>
      <c r="N104" s="75" t="s">
        <v>509</v>
      </c>
      <c r="O104" s="75" t="s">
        <v>535</v>
      </c>
      <c r="P104" s="75" t="s">
        <v>538</v>
      </c>
    </row>
    <row r="105" spans="1:16">
      <c r="A105" s="63" t="s">
        <v>4282</v>
      </c>
      <c r="B105" s="14" t="str">
        <f>VLOOKUP(P105,'护理记录单文书字典(数据)'!B$4:C$99,2,0)</f>
        <v>9ED0AC340CFAB21103BD9E7A16119653</v>
      </c>
      <c r="C105" s="87" t="s">
        <v>4456</v>
      </c>
      <c r="D105" s="14" t="s">
        <v>4457</v>
      </c>
      <c r="E105" s="87" t="s">
        <v>2048</v>
      </c>
      <c r="F105" s="87">
        <v>1</v>
      </c>
      <c r="G105" s="87">
        <v>1</v>
      </c>
      <c r="H105" s="14"/>
      <c r="I105" s="75"/>
      <c r="J105" s="75">
        <v>1</v>
      </c>
      <c r="K105" s="75" t="s">
        <v>162</v>
      </c>
      <c r="L105" s="75" t="s">
        <v>509</v>
      </c>
      <c r="M105" s="75" t="s">
        <v>535</v>
      </c>
      <c r="N105" s="75" t="s">
        <v>509</v>
      </c>
      <c r="O105" s="75" t="s">
        <v>535</v>
      </c>
      <c r="P105" s="75" t="s">
        <v>538</v>
      </c>
    </row>
    <row r="106" spans="1:16">
      <c r="A106" s="63" t="s">
        <v>4282</v>
      </c>
      <c r="B106" s="14" t="str">
        <f>VLOOKUP(P106,'护理记录单文书字典(数据)'!B$4:C$99,2,0)</f>
        <v>9ED0AC340CFAB21103BD9E7A16119653</v>
      </c>
      <c r="C106" s="87" t="s">
        <v>4458</v>
      </c>
      <c r="D106" s="14" t="s">
        <v>4459</v>
      </c>
      <c r="E106" s="87" t="s">
        <v>2048</v>
      </c>
      <c r="F106" s="87">
        <v>1</v>
      </c>
      <c r="G106" s="87">
        <v>1</v>
      </c>
      <c r="H106" s="14"/>
      <c r="I106" s="75"/>
      <c r="J106" s="75">
        <v>1</v>
      </c>
      <c r="K106" s="75" t="s">
        <v>162</v>
      </c>
      <c r="L106" s="75" t="s">
        <v>509</v>
      </c>
      <c r="M106" s="75" t="s">
        <v>535</v>
      </c>
      <c r="N106" s="75" t="s">
        <v>509</v>
      </c>
      <c r="O106" s="75" t="s">
        <v>535</v>
      </c>
      <c r="P106" s="75" t="s">
        <v>538</v>
      </c>
    </row>
    <row r="107" spans="1:16">
      <c r="A107" s="63" t="s">
        <v>4282</v>
      </c>
      <c r="B107" s="14" t="str">
        <f>VLOOKUP(P107,'护理记录单文书字典(数据)'!B$4:C$99,2,0)</f>
        <v>9ED0AC340CFAB21103BD9E7A16119653</v>
      </c>
      <c r="C107" s="87" t="s">
        <v>4460</v>
      </c>
      <c r="D107" s="14" t="s">
        <v>4461</v>
      </c>
      <c r="E107" s="87" t="s">
        <v>2048</v>
      </c>
      <c r="F107" s="87">
        <v>1</v>
      </c>
      <c r="G107" s="87">
        <v>1</v>
      </c>
      <c r="H107" s="14"/>
      <c r="I107" s="75"/>
      <c r="J107" s="75">
        <v>1</v>
      </c>
      <c r="K107" s="75" t="s">
        <v>162</v>
      </c>
      <c r="L107" s="75" t="s">
        <v>509</v>
      </c>
      <c r="M107" s="75" t="s">
        <v>535</v>
      </c>
      <c r="N107" s="75" t="s">
        <v>509</v>
      </c>
      <c r="O107" s="75" t="s">
        <v>535</v>
      </c>
      <c r="P107" s="75" t="s">
        <v>538</v>
      </c>
    </row>
    <row r="108" spans="1:16">
      <c r="A108" s="63" t="s">
        <v>4282</v>
      </c>
      <c r="B108" s="14" t="str">
        <f>VLOOKUP(P108,'护理记录单文书字典(数据)'!B$4:C$99,2,0)</f>
        <v>9ED0AC340CFAB21103BD9E7A16119653</v>
      </c>
      <c r="C108" s="87" t="s">
        <v>4462</v>
      </c>
      <c r="D108" s="14" t="s">
        <v>4461</v>
      </c>
      <c r="E108" s="87" t="s">
        <v>2048</v>
      </c>
      <c r="F108" s="87">
        <v>1</v>
      </c>
      <c r="G108" s="87">
        <v>1</v>
      </c>
      <c r="H108" s="14"/>
      <c r="I108" s="75"/>
      <c r="J108" s="75">
        <v>1</v>
      </c>
      <c r="K108" s="75" t="s">
        <v>162</v>
      </c>
      <c r="L108" s="75" t="s">
        <v>509</v>
      </c>
      <c r="M108" s="75" t="s">
        <v>535</v>
      </c>
      <c r="N108" s="75" t="s">
        <v>509</v>
      </c>
      <c r="O108" s="75" t="s">
        <v>535</v>
      </c>
      <c r="P108" s="75" t="s">
        <v>538</v>
      </c>
    </row>
    <row r="109" spans="1:16">
      <c r="A109" s="63" t="s">
        <v>4282</v>
      </c>
      <c r="B109" s="14" t="str">
        <f>VLOOKUP(P109,'护理记录单文书字典(数据)'!B$4:C$99,2,0)</f>
        <v>9ED0AC340CFAB21103BD9E7A16119653</v>
      </c>
      <c r="C109" s="87" t="s">
        <v>2122</v>
      </c>
      <c r="D109" s="14" t="s">
        <v>1093</v>
      </c>
      <c r="E109" s="87" t="s">
        <v>2048</v>
      </c>
      <c r="F109" s="87">
        <v>1</v>
      </c>
      <c r="G109" s="87">
        <v>1</v>
      </c>
      <c r="H109" s="14"/>
      <c r="I109" s="75"/>
      <c r="J109" s="75">
        <v>1</v>
      </c>
      <c r="K109" s="75" t="s">
        <v>162</v>
      </c>
      <c r="L109" s="75" t="s">
        <v>509</v>
      </c>
      <c r="M109" s="75" t="s">
        <v>535</v>
      </c>
      <c r="N109" s="75" t="s">
        <v>509</v>
      </c>
      <c r="O109" s="75" t="s">
        <v>535</v>
      </c>
      <c r="P109" s="75" t="s">
        <v>538</v>
      </c>
    </row>
    <row r="110" spans="1:16">
      <c r="A110" s="63" t="s">
        <v>4282</v>
      </c>
      <c r="B110" s="14" t="str">
        <f>VLOOKUP(P110,'护理记录单文书字典(数据)'!B$4:C$99,2,0)</f>
        <v>9ED0AC340CFAB21103BD9E7A16119653</v>
      </c>
      <c r="C110" s="87" t="s">
        <v>4463</v>
      </c>
      <c r="D110" s="14" t="s">
        <v>4464</v>
      </c>
      <c r="E110" s="87" t="s">
        <v>2048</v>
      </c>
      <c r="F110" s="87">
        <v>1</v>
      </c>
      <c r="G110" s="87">
        <v>1</v>
      </c>
      <c r="H110" s="14"/>
      <c r="I110" s="75"/>
      <c r="J110" s="75">
        <v>1</v>
      </c>
      <c r="K110" s="75" t="s">
        <v>162</v>
      </c>
      <c r="L110" s="75" t="s">
        <v>509</v>
      </c>
      <c r="M110" s="75" t="s">
        <v>535</v>
      </c>
      <c r="N110" s="75" t="s">
        <v>509</v>
      </c>
      <c r="O110" s="75" t="s">
        <v>535</v>
      </c>
      <c r="P110" s="75" t="s">
        <v>538</v>
      </c>
    </row>
    <row r="111" spans="1:16">
      <c r="A111" s="63" t="s">
        <v>4282</v>
      </c>
      <c r="B111" s="14" t="str">
        <f>VLOOKUP(P111,'护理记录单文书字典(数据)'!B$4:C$99,2,0)</f>
        <v>9ED0AC340CFAB21103BD9E7A16119653</v>
      </c>
      <c r="C111" s="87" t="s">
        <v>2105</v>
      </c>
      <c r="D111" s="14" t="s">
        <v>2103</v>
      </c>
      <c r="E111" s="87" t="s">
        <v>2104</v>
      </c>
      <c r="F111" s="87">
        <v>1</v>
      </c>
      <c r="G111" s="87">
        <v>1</v>
      </c>
      <c r="H111" s="14"/>
      <c r="I111" s="75"/>
      <c r="J111" s="75">
        <v>1</v>
      </c>
      <c r="K111" s="75" t="s">
        <v>162</v>
      </c>
      <c r="L111" s="75" t="s">
        <v>509</v>
      </c>
      <c r="M111" s="75" t="s">
        <v>535</v>
      </c>
      <c r="N111" s="75" t="s">
        <v>509</v>
      </c>
      <c r="O111" s="75" t="s">
        <v>535</v>
      </c>
      <c r="P111" s="75" t="s">
        <v>538</v>
      </c>
    </row>
    <row r="112" spans="1:16">
      <c r="A112" s="63" t="s">
        <v>4282</v>
      </c>
      <c r="B112" s="14" t="str">
        <f>VLOOKUP(P112,'护理记录单文书字典(数据)'!B$4:C$99,2,0)</f>
        <v>7874B2340CFAB21153BBE70252E9371F</v>
      </c>
      <c r="C112" s="87" t="s">
        <v>4465</v>
      </c>
      <c r="D112" s="14" t="s">
        <v>4466</v>
      </c>
      <c r="E112" s="87" t="s">
        <v>2048</v>
      </c>
      <c r="F112" s="87">
        <v>1</v>
      </c>
      <c r="G112" s="87">
        <v>1</v>
      </c>
      <c r="H112" s="14"/>
      <c r="I112" s="75"/>
      <c r="J112" s="75">
        <v>1</v>
      </c>
      <c r="K112" s="75" t="s">
        <v>162</v>
      </c>
      <c r="L112" s="75" t="s">
        <v>509</v>
      </c>
      <c r="M112" s="75" t="s">
        <v>535</v>
      </c>
      <c r="N112" s="75" t="s">
        <v>509</v>
      </c>
      <c r="O112" s="75" t="s">
        <v>535</v>
      </c>
      <c r="P112" s="159" t="s">
        <v>850</v>
      </c>
    </row>
    <row r="113" spans="1:16">
      <c r="A113" s="63" t="s">
        <v>4282</v>
      </c>
      <c r="B113" s="14" t="str">
        <f>VLOOKUP(P113,'护理记录单文书字典(数据)'!B$4:C$99,2,0)</f>
        <v>7874B2340CFAB21153BBE70252E9371F</v>
      </c>
      <c r="C113" s="87" t="s">
        <v>4467</v>
      </c>
      <c r="D113" s="14" t="s">
        <v>964</v>
      </c>
      <c r="E113" s="87" t="s">
        <v>2052</v>
      </c>
      <c r="F113" s="87">
        <v>1</v>
      </c>
      <c r="G113" s="87">
        <v>1</v>
      </c>
      <c r="H113" s="14" t="s">
        <v>963</v>
      </c>
      <c r="I113" s="75"/>
      <c r="J113" s="75">
        <v>1</v>
      </c>
      <c r="K113" s="75" t="s">
        <v>162</v>
      </c>
      <c r="L113" s="75" t="s">
        <v>509</v>
      </c>
      <c r="M113" s="75" t="s">
        <v>535</v>
      </c>
      <c r="N113" s="75" t="s">
        <v>509</v>
      </c>
      <c r="O113" s="75" t="s">
        <v>535</v>
      </c>
      <c r="P113" s="159" t="s">
        <v>850</v>
      </c>
    </row>
    <row r="114" spans="1:16">
      <c r="A114" s="63" t="s">
        <v>4282</v>
      </c>
      <c r="B114" s="14" t="str">
        <f>VLOOKUP(P114,'护理记录单文书字典(数据)'!B$4:C$99,2,0)</f>
        <v>7874B2340CFAB21153BBE70252E9371F</v>
      </c>
      <c r="C114" s="87" t="s">
        <v>4468</v>
      </c>
      <c r="D114" s="14" t="s">
        <v>969</v>
      </c>
      <c r="E114" s="87" t="s">
        <v>2052</v>
      </c>
      <c r="F114" s="87">
        <v>1</v>
      </c>
      <c r="G114" s="87">
        <v>1</v>
      </c>
      <c r="H114" s="14" t="s">
        <v>968</v>
      </c>
      <c r="I114" s="75"/>
      <c r="J114" s="75">
        <v>1</v>
      </c>
      <c r="K114" s="75" t="s">
        <v>162</v>
      </c>
      <c r="L114" s="75" t="s">
        <v>509</v>
      </c>
      <c r="M114" s="75" t="s">
        <v>535</v>
      </c>
      <c r="N114" s="75" t="s">
        <v>509</v>
      </c>
      <c r="O114" s="75" t="s">
        <v>535</v>
      </c>
      <c r="P114" s="159" t="s">
        <v>850</v>
      </c>
    </row>
    <row r="115" spans="1:16">
      <c r="A115" s="63" t="s">
        <v>4282</v>
      </c>
      <c r="B115" s="14" t="str">
        <f>VLOOKUP(P115,'护理记录单文书字典(数据)'!B$4:C$99,2,0)</f>
        <v>7874B2340CFAB21153BBE70252E9371F</v>
      </c>
      <c r="C115" s="87" t="s">
        <v>4373</v>
      </c>
      <c r="D115" s="14" t="s">
        <v>4374</v>
      </c>
      <c r="E115" s="87" t="s">
        <v>2048</v>
      </c>
      <c r="F115" s="87">
        <v>1</v>
      </c>
      <c r="G115" s="87">
        <v>1</v>
      </c>
      <c r="H115" s="14"/>
      <c r="I115" s="75"/>
      <c r="J115" s="75">
        <v>1</v>
      </c>
      <c r="K115" s="75" t="s">
        <v>162</v>
      </c>
      <c r="L115" s="75" t="s">
        <v>509</v>
      </c>
      <c r="M115" s="75" t="s">
        <v>535</v>
      </c>
      <c r="N115" s="75" t="s">
        <v>509</v>
      </c>
      <c r="O115" s="75" t="s">
        <v>535</v>
      </c>
      <c r="P115" s="159" t="s">
        <v>850</v>
      </c>
    </row>
    <row r="116" spans="1:16">
      <c r="A116" s="63" t="s">
        <v>4282</v>
      </c>
      <c r="B116" s="14" t="str">
        <f>VLOOKUP(P116,'护理记录单文书字典(数据)'!B$4:C$99,2,0)</f>
        <v>7874B2340CFAB21153BBE70252E9371F</v>
      </c>
      <c r="C116" s="87" t="s">
        <v>2111</v>
      </c>
      <c r="D116" s="14" t="s">
        <v>4469</v>
      </c>
      <c r="E116" s="87" t="s">
        <v>2048</v>
      </c>
      <c r="F116" s="87">
        <v>1</v>
      </c>
      <c r="G116" s="87">
        <v>1</v>
      </c>
      <c r="H116" s="14"/>
      <c r="I116" s="75"/>
      <c r="J116" s="75">
        <v>1</v>
      </c>
      <c r="K116" s="75" t="s">
        <v>162</v>
      </c>
      <c r="L116" s="75" t="s">
        <v>509</v>
      </c>
      <c r="M116" s="75" t="s">
        <v>535</v>
      </c>
      <c r="N116" s="75" t="s">
        <v>509</v>
      </c>
      <c r="O116" s="75" t="s">
        <v>535</v>
      </c>
      <c r="P116" s="159" t="s">
        <v>850</v>
      </c>
    </row>
    <row r="117" spans="1:16">
      <c r="A117" s="63" t="s">
        <v>4282</v>
      </c>
      <c r="B117" s="14" t="str">
        <f>VLOOKUP(P117,'护理记录单文书字典(数据)'!B$4:C$99,2,0)</f>
        <v>7874B2340CFAB21153BBE70252E9371F</v>
      </c>
      <c r="C117" s="87" t="s">
        <v>4470</v>
      </c>
      <c r="D117" s="14" t="s">
        <v>4471</v>
      </c>
      <c r="E117" s="87" t="s">
        <v>2048</v>
      </c>
      <c r="F117" s="87">
        <v>1</v>
      </c>
      <c r="G117" s="87">
        <v>1</v>
      </c>
      <c r="H117" s="14"/>
      <c r="I117" s="75"/>
      <c r="J117" s="75">
        <v>1</v>
      </c>
      <c r="K117" s="75" t="s">
        <v>162</v>
      </c>
      <c r="L117" s="75" t="s">
        <v>509</v>
      </c>
      <c r="M117" s="75" t="s">
        <v>535</v>
      </c>
      <c r="N117" s="75" t="s">
        <v>509</v>
      </c>
      <c r="O117" s="75" t="s">
        <v>535</v>
      </c>
      <c r="P117" s="159" t="s">
        <v>850</v>
      </c>
    </row>
    <row r="118" spans="1:16">
      <c r="A118" s="63" t="s">
        <v>4282</v>
      </c>
      <c r="B118" s="14" t="str">
        <f>VLOOKUP(P118,'护理记录单文书字典(数据)'!B$4:C$99,2,0)</f>
        <v>7874B2340CFAB21153BBE70252E9371F</v>
      </c>
      <c r="C118" s="87" t="s">
        <v>2112</v>
      </c>
      <c r="D118" s="14" t="s">
        <v>4472</v>
      </c>
      <c r="E118" s="87" t="s">
        <v>2048</v>
      </c>
      <c r="F118" s="87">
        <v>1</v>
      </c>
      <c r="G118" s="87">
        <v>1</v>
      </c>
      <c r="H118" s="14"/>
      <c r="I118" s="75"/>
      <c r="J118" s="75">
        <v>1</v>
      </c>
      <c r="K118" s="75" t="s">
        <v>162</v>
      </c>
      <c r="L118" s="75" t="s">
        <v>509</v>
      </c>
      <c r="M118" s="75" t="s">
        <v>535</v>
      </c>
      <c r="N118" s="75" t="s">
        <v>509</v>
      </c>
      <c r="O118" s="75" t="s">
        <v>535</v>
      </c>
      <c r="P118" s="159" t="s">
        <v>850</v>
      </c>
    </row>
    <row r="119" spans="1:16">
      <c r="A119" s="63" t="s">
        <v>4282</v>
      </c>
      <c r="B119" s="14" t="str">
        <f>VLOOKUP(P119,'护理记录单文书字典(数据)'!B$4:C$99,2,0)</f>
        <v>7874B2340CFAB21153BBE70252E9371F</v>
      </c>
      <c r="C119" s="87" t="s">
        <v>4380</v>
      </c>
      <c r="D119" s="14" t="s">
        <v>4473</v>
      </c>
      <c r="E119" s="87" t="s">
        <v>2048</v>
      </c>
      <c r="F119" s="87">
        <v>1</v>
      </c>
      <c r="G119" s="87">
        <v>1</v>
      </c>
      <c r="H119" s="14"/>
      <c r="I119" s="75"/>
      <c r="J119" s="75">
        <v>1</v>
      </c>
      <c r="K119" s="75" t="s">
        <v>162</v>
      </c>
      <c r="L119" s="75" t="s">
        <v>509</v>
      </c>
      <c r="M119" s="75" t="s">
        <v>535</v>
      </c>
      <c r="N119" s="75" t="s">
        <v>509</v>
      </c>
      <c r="O119" s="75" t="s">
        <v>535</v>
      </c>
      <c r="P119" s="159" t="s">
        <v>850</v>
      </c>
    </row>
    <row r="120" spans="1:16">
      <c r="A120" s="63" t="s">
        <v>4282</v>
      </c>
      <c r="B120" s="14" t="str">
        <f>VLOOKUP(P120,'护理记录单文书字典(数据)'!B$4:C$99,2,0)</f>
        <v>7874B2340CFAB21153BBE70252E9371F</v>
      </c>
      <c r="C120" s="87" t="s">
        <v>4297</v>
      </c>
      <c r="D120" s="14" t="s">
        <v>4474</v>
      </c>
      <c r="E120" s="87" t="s">
        <v>2048</v>
      </c>
      <c r="F120" s="87">
        <v>1</v>
      </c>
      <c r="G120" s="87">
        <v>1</v>
      </c>
      <c r="H120" s="14"/>
      <c r="I120" s="75"/>
      <c r="J120" s="75">
        <v>1</v>
      </c>
      <c r="K120" s="75" t="s">
        <v>162</v>
      </c>
      <c r="L120" s="75" t="s">
        <v>509</v>
      </c>
      <c r="M120" s="75" t="s">
        <v>535</v>
      </c>
      <c r="N120" s="75" t="s">
        <v>509</v>
      </c>
      <c r="O120" s="75" t="s">
        <v>535</v>
      </c>
      <c r="P120" s="159" t="s">
        <v>850</v>
      </c>
    </row>
    <row r="121" spans="1:16">
      <c r="A121" s="63" t="s">
        <v>4282</v>
      </c>
      <c r="B121" s="14" t="str">
        <f>VLOOKUP(P121,'护理记录单文书字典(数据)'!B$4:C$99,2,0)</f>
        <v>7874B2340CFAB21153BBE70252E9371F</v>
      </c>
      <c r="C121" s="87" t="s">
        <v>4301</v>
      </c>
      <c r="D121" s="14" t="s">
        <v>4475</v>
      </c>
      <c r="E121" s="87" t="s">
        <v>2048</v>
      </c>
      <c r="F121" s="87">
        <v>1</v>
      </c>
      <c r="G121" s="87">
        <v>1</v>
      </c>
      <c r="H121" s="14"/>
      <c r="I121" s="75"/>
      <c r="J121" s="75">
        <v>1</v>
      </c>
      <c r="K121" s="75" t="s">
        <v>162</v>
      </c>
      <c r="L121" s="75" t="s">
        <v>509</v>
      </c>
      <c r="M121" s="75" t="s">
        <v>535</v>
      </c>
      <c r="N121" s="75" t="s">
        <v>509</v>
      </c>
      <c r="O121" s="75" t="s">
        <v>535</v>
      </c>
      <c r="P121" s="159" t="s">
        <v>850</v>
      </c>
    </row>
    <row r="122" spans="1:16">
      <c r="A122" s="63" t="s">
        <v>4282</v>
      </c>
      <c r="B122" s="14" t="str">
        <f>VLOOKUP(P122,'护理记录单文书字典(数据)'!B$4:C$99,2,0)</f>
        <v>7874B2340CFAB21153BBE70252E9371F</v>
      </c>
      <c r="C122" s="87" t="s">
        <v>4303</v>
      </c>
      <c r="D122" s="14" t="s">
        <v>2072</v>
      </c>
      <c r="E122" s="87" t="s">
        <v>2048</v>
      </c>
      <c r="F122" s="87">
        <v>1</v>
      </c>
      <c r="G122" s="87">
        <v>1</v>
      </c>
      <c r="H122" s="14"/>
      <c r="I122" s="75"/>
      <c r="J122" s="75">
        <v>1</v>
      </c>
      <c r="K122" s="75" t="s">
        <v>162</v>
      </c>
      <c r="L122" s="75" t="s">
        <v>509</v>
      </c>
      <c r="M122" s="75" t="s">
        <v>535</v>
      </c>
      <c r="N122" s="75" t="s">
        <v>509</v>
      </c>
      <c r="O122" s="75" t="s">
        <v>535</v>
      </c>
      <c r="P122" s="159" t="s">
        <v>850</v>
      </c>
    </row>
    <row r="123" spans="1:16">
      <c r="A123" s="63" t="s">
        <v>4282</v>
      </c>
      <c r="B123" s="14" t="str">
        <f>VLOOKUP(P123,'护理记录单文书字典(数据)'!B$4:C$99,2,0)</f>
        <v>7874B2340CFAB21153BBE70252E9371F</v>
      </c>
      <c r="C123" s="87" t="s">
        <v>4476</v>
      </c>
      <c r="D123" s="14" t="s">
        <v>4477</v>
      </c>
      <c r="E123" s="87" t="s">
        <v>2048</v>
      </c>
      <c r="F123" s="87">
        <v>1</v>
      </c>
      <c r="G123" s="87">
        <v>1</v>
      </c>
      <c r="H123" s="14"/>
      <c r="I123" s="75"/>
      <c r="J123" s="75">
        <v>1</v>
      </c>
      <c r="K123" s="75" t="s">
        <v>162</v>
      </c>
      <c r="L123" s="75" t="s">
        <v>509</v>
      </c>
      <c r="M123" s="75" t="s">
        <v>535</v>
      </c>
      <c r="N123" s="75" t="s">
        <v>509</v>
      </c>
      <c r="O123" s="75" t="s">
        <v>535</v>
      </c>
      <c r="P123" s="159" t="s">
        <v>850</v>
      </c>
    </row>
    <row r="124" spans="1:16">
      <c r="A124" s="63" t="s">
        <v>4282</v>
      </c>
      <c r="B124" s="14" t="str">
        <f>VLOOKUP(P124,'护理记录单文书字典(数据)'!B$4:C$99,2,0)</f>
        <v>7874B2340CFAB21153BBE70252E9371F</v>
      </c>
      <c r="C124" s="87" t="s">
        <v>4478</v>
      </c>
      <c r="D124" s="14" t="s">
        <v>4479</v>
      </c>
      <c r="E124" s="87" t="s">
        <v>2048</v>
      </c>
      <c r="F124" s="87">
        <v>1</v>
      </c>
      <c r="G124" s="87">
        <v>1</v>
      </c>
      <c r="H124" s="14"/>
      <c r="I124" s="75"/>
      <c r="J124" s="75">
        <v>1</v>
      </c>
      <c r="K124" s="75" t="s">
        <v>162</v>
      </c>
      <c r="L124" s="75" t="s">
        <v>509</v>
      </c>
      <c r="M124" s="75" t="s">
        <v>535</v>
      </c>
      <c r="N124" s="75" t="s">
        <v>509</v>
      </c>
      <c r="O124" s="75" t="s">
        <v>535</v>
      </c>
      <c r="P124" s="159" t="s">
        <v>850</v>
      </c>
    </row>
    <row r="125" spans="1:16">
      <c r="A125" s="63" t="s">
        <v>4282</v>
      </c>
      <c r="B125" s="14" t="str">
        <f>VLOOKUP(P125,'护理记录单文书字典(数据)'!B$4:C$99,2,0)</f>
        <v>7874B2340CFAB21153BBE70252E9371F</v>
      </c>
      <c r="C125" s="87" t="s">
        <v>4480</v>
      </c>
      <c r="D125" s="14" t="s">
        <v>4481</v>
      </c>
      <c r="E125" s="87" t="s">
        <v>2048</v>
      </c>
      <c r="F125" s="87">
        <v>1</v>
      </c>
      <c r="G125" s="87">
        <v>1</v>
      </c>
      <c r="H125" s="14"/>
      <c r="I125" s="75"/>
      <c r="J125" s="75">
        <v>1</v>
      </c>
      <c r="K125" s="75" t="s">
        <v>162</v>
      </c>
      <c r="L125" s="75" t="s">
        <v>509</v>
      </c>
      <c r="M125" s="75" t="s">
        <v>535</v>
      </c>
      <c r="N125" s="75" t="s">
        <v>509</v>
      </c>
      <c r="O125" s="75" t="s">
        <v>535</v>
      </c>
      <c r="P125" s="159" t="s">
        <v>850</v>
      </c>
    </row>
    <row r="126" spans="1:16">
      <c r="A126" s="63" t="s">
        <v>4282</v>
      </c>
      <c r="B126" s="14" t="str">
        <f>VLOOKUP(P126,'护理记录单文书字典(数据)'!B$4:C$99,2,0)</f>
        <v>7874B2340CFAB21153BBE70252E9371F</v>
      </c>
      <c r="C126" s="87" t="s">
        <v>4482</v>
      </c>
      <c r="D126" s="14" t="s">
        <v>980</v>
      </c>
      <c r="E126" s="87" t="s">
        <v>2052</v>
      </c>
      <c r="F126" s="87">
        <v>1</v>
      </c>
      <c r="G126" s="87">
        <v>1</v>
      </c>
      <c r="H126" s="14" t="s">
        <v>979</v>
      </c>
      <c r="I126" s="75"/>
      <c r="J126" s="75">
        <v>1</v>
      </c>
      <c r="K126" s="75" t="s">
        <v>162</v>
      </c>
      <c r="L126" s="75" t="s">
        <v>509</v>
      </c>
      <c r="M126" s="75" t="s">
        <v>535</v>
      </c>
      <c r="N126" s="75" t="s">
        <v>509</v>
      </c>
      <c r="O126" s="75" t="s">
        <v>535</v>
      </c>
      <c r="P126" s="159" t="s">
        <v>850</v>
      </c>
    </row>
    <row r="127" spans="1:16">
      <c r="A127" s="63" t="s">
        <v>4282</v>
      </c>
      <c r="B127" s="14" t="str">
        <f>VLOOKUP(P127,'护理记录单文书字典(数据)'!B$4:C$99,2,0)</f>
        <v>7874B2340CFAB21153BBE70252E9371F</v>
      </c>
      <c r="C127" s="87" t="s">
        <v>4483</v>
      </c>
      <c r="D127" s="14" t="s">
        <v>985</v>
      </c>
      <c r="E127" s="87" t="s">
        <v>2052</v>
      </c>
      <c r="F127" s="87">
        <v>1</v>
      </c>
      <c r="G127" s="87">
        <v>1</v>
      </c>
      <c r="H127" s="14" t="s">
        <v>984</v>
      </c>
      <c r="I127" s="75"/>
      <c r="J127" s="75">
        <v>1</v>
      </c>
      <c r="K127" s="75" t="s">
        <v>162</v>
      </c>
      <c r="L127" s="75" t="s">
        <v>509</v>
      </c>
      <c r="M127" s="75" t="s">
        <v>535</v>
      </c>
      <c r="N127" s="75" t="s">
        <v>509</v>
      </c>
      <c r="O127" s="75" t="s">
        <v>535</v>
      </c>
      <c r="P127" s="159" t="s">
        <v>850</v>
      </c>
    </row>
    <row r="128" spans="1:16">
      <c r="A128" s="63" t="s">
        <v>4282</v>
      </c>
      <c r="B128" s="14" t="str">
        <f>VLOOKUP(P128,'护理记录单文书字典(数据)'!B$4:C$99,2,0)</f>
        <v>7874B2340CFAB21153BBE70252E9371F</v>
      </c>
      <c r="C128" s="87" t="s">
        <v>2102</v>
      </c>
      <c r="D128" s="14" t="s">
        <v>2101</v>
      </c>
      <c r="E128" s="87" t="s">
        <v>2048</v>
      </c>
      <c r="F128" s="87">
        <v>1</v>
      </c>
      <c r="G128" s="87">
        <v>1</v>
      </c>
      <c r="H128" s="14"/>
      <c r="I128" s="75"/>
      <c r="J128" s="75">
        <v>1</v>
      </c>
      <c r="K128" s="75" t="s">
        <v>162</v>
      </c>
      <c r="L128" s="75" t="s">
        <v>509</v>
      </c>
      <c r="M128" s="75" t="s">
        <v>535</v>
      </c>
      <c r="N128" s="75" t="s">
        <v>509</v>
      </c>
      <c r="O128" s="75" t="s">
        <v>535</v>
      </c>
      <c r="P128" s="159" t="s">
        <v>850</v>
      </c>
    </row>
    <row r="129" spans="1:16">
      <c r="A129" s="63" t="s">
        <v>4282</v>
      </c>
      <c r="B129" s="14" t="str">
        <f>VLOOKUP(P129,'护理记录单文书字典(数据)'!B$4:C$99,2,0)</f>
        <v>7874B2340CFAB21153BBE70252E9371F</v>
      </c>
      <c r="C129" s="87" t="s">
        <v>4440</v>
      </c>
      <c r="D129" s="14" t="s">
        <v>4484</v>
      </c>
      <c r="E129" s="87" t="s">
        <v>2048</v>
      </c>
      <c r="F129" s="87">
        <v>1</v>
      </c>
      <c r="G129" s="87">
        <v>1</v>
      </c>
      <c r="H129" s="14"/>
      <c r="I129" s="75"/>
      <c r="J129" s="75">
        <v>1</v>
      </c>
      <c r="K129" s="75" t="s">
        <v>162</v>
      </c>
      <c r="L129" s="75" t="s">
        <v>509</v>
      </c>
      <c r="M129" s="75" t="s">
        <v>535</v>
      </c>
      <c r="N129" s="75" t="s">
        <v>509</v>
      </c>
      <c r="O129" s="75" t="s">
        <v>535</v>
      </c>
      <c r="P129" s="159" t="s">
        <v>850</v>
      </c>
    </row>
    <row r="130" spans="1:16">
      <c r="A130" s="63" t="s">
        <v>4282</v>
      </c>
      <c r="B130" s="14" t="str">
        <f>VLOOKUP(P130,'护理记录单文书字典(数据)'!B$4:C$99,2,0)</f>
        <v>7874B2340CFAB21153BBE70252E9371F</v>
      </c>
      <c r="C130" s="87" t="s">
        <v>4438</v>
      </c>
      <c r="D130" s="14" t="s">
        <v>4439</v>
      </c>
      <c r="E130" s="87" t="s">
        <v>2048</v>
      </c>
      <c r="F130" s="87">
        <v>1</v>
      </c>
      <c r="G130" s="87">
        <v>1</v>
      </c>
      <c r="H130" s="14"/>
      <c r="I130" s="75"/>
      <c r="J130" s="75">
        <v>1</v>
      </c>
      <c r="K130" s="75" t="s">
        <v>162</v>
      </c>
      <c r="L130" s="75" t="s">
        <v>509</v>
      </c>
      <c r="M130" s="75" t="s">
        <v>535</v>
      </c>
      <c r="N130" s="75" t="s">
        <v>509</v>
      </c>
      <c r="O130" s="75" t="s">
        <v>535</v>
      </c>
      <c r="P130" s="159" t="s">
        <v>850</v>
      </c>
    </row>
    <row r="131" spans="1:16">
      <c r="A131" s="63" t="s">
        <v>4282</v>
      </c>
      <c r="B131" s="14" t="str">
        <f>VLOOKUP(P131,'护理记录单文书字典(数据)'!B$4:C$99,2,0)</f>
        <v>7874B2340CFAB21153BBE70252E9371F</v>
      </c>
      <c r="C131" s="87" t="s">
        <v>4485</v>
      </c>
      <c r="D131" s="14" t="s">
        <v>4486</v>
      </c>
      <c r="E131" s="87" t="s">
        <v>2048</v>
      </c>
      <c r="F131" s="87">
        <v>1</v>
      </c>
      <c r="G131" s="87">
        <v>1</v>
      </c>
      <c r="H131" s="14"/>
      <c r="I131" s="75"/>
      <c r="J131" s="75">
        <v>1</v>
      </c>
      <c r="K131" s="75" t="s">
        <v>162</v>
      </c>
      <c r="L131" s="75" t="s">
        <v>509</v>
      </c>
      <c r="M131" s="75" t="s">
        <v>535</v>
      </c>
      <c r="N131" s="75" t="s">
        <v>509</v>
      </c>
      <c r="O131" s="75" t="s">
        <v>535</v>
      </c>
      <c r="P131" s="159" t="s">
        <v>850</v>
      </c>
    </row>
    <row r="132" spans="1:16">
      <c r="A132" s="63" t="s">
        <v>4282</v>
      </c>
      <c r="B132" s="14" t="str">
        <f>VLOOKUP(P132,'护理记录单文书字典(数据)'!B$4:C$99,2,0)</f>
        <v>7874B2340CFAB21153BBE70252E9371F</v>
      </c>
      <c r="C132" s="87" t="s">
        <v>4487</v>
      </c>
      <c r="D132" s="14" t="s">
        <v>987</v>
      </c>
      <c r="E132" s="87" t="s">
        <v>2052</v>
      </c>
      <c r="F132" s="87">
        <v>1</v>
      </c>
      <c r="G132" s="87">
        <v>1</v>
      </c>
      <c r="H132" s="14" t="s">
        <v>986</v>
      </c>
      <c r="I132" s="75"/>
      <c r="J132" s="75">
        <v>1</v>
      </c>
      <c r="K132" s="75" t="s">
        <v>162</v>
      </c>
      <c r="L132" s="75" t="s">
        <v>509</v>
      </c>
      <c r="M132" s="75" t="s">
        <v>535</v>
      </c>
      <c r="N132" s="75" t="s">
        <v>509</v>
      </c>
      <c r="O132" s="75" t="s">
        <v>535</v>
      </c>
      <c r="P132" s="159" t="s">
        <v>850</v>
      </c>
    </row>
    <row r="133" spans="1:16">
      <c r="A133" s="63" t="s">
        <v>4282</v>
      </c>
      <c r="B133" s="14" t="str">
        <f>VLOOKUP(P133,'护理记录单文书字典(数据)'!B$4:C$99,2,0)</f>
        <v>7874B2340CFAB21153BBE70252E9371F</v>
      </c>
      <c r="C133" s="87" t="s">
        <v>4488</v>
      </c>
      <c r="D133" s="14" t="s">
        <v>992</v>
      </c>
      <c r="E133" s="87" t="s">
        <v>2052</v>
      </c>
      <c r="F133" s="87">
        <v>1</v>
      </c>
      <c r="G133" s="87">
        <v>1</v>
      </c>
      <c r="H133" s="14" t="s">
        <v>991</v>
      </c>
      <c r="I133" s="75"/>
      <c r="J133" s="75">
        <v>1</v>
      </c>
      <c r="K133" s="75" t="s">
        <v>162</v>
      </c>
      <c r="L133" s="75" t="s">
        <v>509</v>
      </c>
      <c r="M133" s="75" t="s">
        <v>535</v>
      </c>
      <c r="N133" s="75" t="s">
        <v>509</v>
      </c>
      <c r="O133" s="75" t="s">
        <v>535</v>
      </c>
      <c r="P133" s="159" t="s">
        <v>850</v>
      </c>
    </row>
    <row r="134" spans="1:16">
      <c r="A134" s="63" t="s">
        <v>4282</v>
      </c>
      <c r="B134" s="14" t="str">
        <f>VLOOKUP(P134,'护理记录单文书字典(数据)'!B$4:C$99,2,0)</f>
        <v>7874B2340CFAB21153BBE70252E9371F</v>
      </c>
      <c r="C134" s="87" t="s">
        <v>4489</v>
      </c>
      <c r="D134" s="14" t="s">
        <v>4490</v>
      </c>
      <c r="E134" s="87" t="s">
        <v>2048</v>
      </c>
      <c r="F134" s="87">
        <v>1</v>
      </c>
      <c r="G134" s="87">
        <v>1</v>
      </c>
      <c r="H134" s="14"/>
      <c r="I134" s="75"/>
      <c r="J134" s="75">
        <v>1</v>
      </c>
      <c r="K134" s="75" t="s">
        <v>162</v>
      </c>
      <c r="L134" s="75" t="s">
        <v>509</v>
      </c>
      <c r="M134" s="75" t="s">
        <v>535</v>
      </c>
      <c r="N134" s="75" t="s">
        <v>509</v>
      </c>
      <c r="O134" s="75" t="s">
        <v>535</v>
      </c>
      <c r="P134" s="159" t="s">
        <v>850</v>
      </c>
    </row>
    <row r="135" spans="1:16">
      <c r="A135" s="63" t="s">
        <v>4282</v>
      </c>
      <c r="B135" s="14" t="str">
        <f>VLOOKUP(P135,'护理记录单文书字典(数据)'!B$4:C$99,2,0)</f>
        <v>7874B2340CFAB21153BBE70252E9371F</v>
      </c>
      <c r="C135" s="87" t="s">
        <v>4491</v>
      </c>
      <c r="D135" s="14" t="s">
        <v>994</v>
      </c>
      <c r="E135" s="87" t="s">
        <v>2052</v>
      </c>
      <c r="F135" s="87">
        <v>1</v>
      </c>
      <c r="G135" s="87">
        <v>1</v>
      </c>
      <c r="H135" s="14" t="s">
        <v>993</v>
      </c>
      <c r="I135" s="75"/>
      <c r="J135" s="75">
        <v>1</v>
      </c>
      <c r="K135" s="75" t="s">
        <v>162</v>
      </c>
      <c r="L135" s="75" t="s">
        <v>509</v>
      </c>
      <c r="M135" s="75" t="s">
        <v>535</v>
      </c>
      <c r="N135" s="75" t="s">
        <v>509</v>
      </c>
      <c r="O135" s="75" t="s">
        <v>535</v>
      </c>
      <c r="P135" s="159" t="s">
        <v>850</v>
      </c>
    </row>
    <row r="136" spans="1:16">
      <c r="A136" s="63" t="s">
        <v>4282</v>
      </c>
      <c r="B136" s="14" t="str">
        <f>VLOOKUP(P136,'护理记录单文书字典(数据)'!B$4:C$99,2,0)</f>
        <v>7874B2340CFAB21153BBE70252E9371F</v>
      </c>
      <c r="C136" s="87" t="s">
        <v>4492</v>
      </c>
      <c r="D136" s="14" t="s">
        <v>4493</v>
      </c>
      <c r="E136" s="87" t="s">
        <v>2052</v>
      </c>
      <c r="F136" s="87">
        <v>1</v>
      </c>
      <c r="G136" s="87">
        <v>1</v>
      </c>
      <c r="H136" s="14" t="s">
        <v>997</v>
      </c>
      <c r="I136" s="75"/>
      <c r="J136" s="75">
        <v>1</v>
      </c>
      <c r="K136" s="75" t="s">
        <v>162</v>
      </c>
      <c r="L136" s="75" t="s">
        <v>509</v>
      </c>
      <c r="M136" s="75" t="s">
        <v>535</v>
      </c>
      <c r="N136" s="75" t="s">
        <v>509</v>
      </c>
      <c r="O136" s="75" t="s">
        <v>535</v>
      </c>
      <c r="P136" s="159" t="s">
        <v>850</v>
      </c>
    </row>
    <row r="137" spans="1:16">
      <c r="A137" s="63" t="s">
        <v>4282</v>
      </c>
      <c r="B137" s="14" t="str">
        <f>VLOOKUP(P137,'护理记录单文书字典(数据)'!B$4:C$99,2,0)</f>
        <v>7874B2340CFAB21153BBE70252E9371F</v>
      </c>
      <c r="C137" s="87" t="s">
        <v>2121</v>
      </c>
      <c r="D137" s="14" t="s">
        <v>4494</v>
      </c>
      <c r="E137" s="87" t="s">
        <v>2119</v>
      </c>
      <c r="F137" s="87">
        <v>1</v>
      </c>
      <c r="G137" s="87">
        <v>1</v>
      </c>
      <c r="H137" s="14" t="s">
        <v>627</v>
      </c>
      <c r="I137" s="75"/>
      <c r="J137" s="75">
        <v>1</v>
      </c>
      <c r="K137" s="75" t="s">
        <v>162</v>
      </c>
      <c r="L137" s="75" t="s">
        <v>509</v>
      </c>
      <c r="M137" s="75" t="s">
        <v>535</v>
      </c>
      <c r="N137" s="75" t="s">
        <v>509</v>
      </c>
      <c r="O137" s="75" t="s">
        <v>535</v>
      </c>
      <c r="P137" s="159" t="s">
        <v>850</v>
      </c>
    </row>
    <row r="138" spans="1:16">
      <c r="A138" s="63" t="s">
        <v>4282</v>
      </c>
      <c r="B138" s="14" t="str">
        <f>VLOOKUP(P138,'护理记录单文书字典(数据)'!B$4:C$99,2,0)</f>
        <v>7874B2340CFAB21153BBE70252E9371F</v>
      </c>
      <c r="C138" s="87" t="s">
        <v>4495</v>
      </c>
      <c r="D138" s="14" t="s">
        <v>94</v>
      </c>
      <c r="E138" s="87" t="s">
        <v>2048</v>
      </c>
      <c r="F138" s="87">
        <v>1</v>
      </c>
      <c r="G138" s="87">
        <v>1</v>
      </c>
      <c r="H138" s="14"/>
      <c r="I138" s="75"/>
      <c r="J138" s="75">
        <v>1</v>
      </c>
      <c r="K138" s="75" t="s">
        <v>162</v>
      </c>
      <c r="L138" s="75" t="s">
        <v>509</v>
      </c>
      <c r="M138" s="75" t="s">
        <v>535</v>
      </c>
      <c r="N138" s="75" t="s">
        <v>509</v>
      </c>
      <c r="O138" s="75" t="s">
        <v>535</v>
      </c>
      <c r="P138" s="159" t="s">
        <v>850</v>
      </c>
    </row>
    <row r="139" spans="1:16">
      <c r="A139" s="63" t="s">
        <v>4282</v>
      </c>
      <c r="B139" s="14" t="str">
        <f>VLOOKUP(P139,'护理记录单文书字典(数据)'!B$4:C$99,2,0)</f>
        <v>7874B2340CFAB21153BBE70252E9371F</v>
      </c>
      <c r="C139" s="87" t="s">
        <v>4463</v>
      </c>
      <c r="D139" s="14" t="s">
        <v>4464</v>
      </c>
      <c r="E139" s="87" t="s">
        <v>2048</v>
      </c>
      <c r="F139" s="87">
        <v>1</v>
      </c>
      <c r="G139" s="87">
        <v>1</v>
      </c>
      <c r="H139" s="14"/>
      <c r="I139" s="75"/>
      <c r="J139" s="75">
        <v>1</v>
      </c>
      <c r="K139" s="75" t="s">
        <v>162</v>
      </c>
      <c r="L139" s="75" t="s">
        <v>509</v>
      </c>
      <c r="M139" s="75" t="s">
        <v>535</v>
      </c>
      <c r="N139" s="75" t="s">
        <v>509</v>
      </c>
      <c r="O139" s="75" t="s">
        <v>535</v>
      </c>
      <c r="P139" s="159" t="s">
        <v>850</v>
      </c>
    </row>
    <row r="140" spans="1:16">
      <c r="A140" s="63" t="s">
        <v>4282</v>
      </c>
      <c r="B140" s="14" t="str">
        <f>VLOOKUP(P140,'护理记录单文书字典(数据)'!B$4:C$99,2,0)</f>
        <v>7874B2340CFAB21153BBE70252E9371F</v>
      </c>
      <c r="C140" s="87" t="s">
        <v>4496</v>
      </c>
      <c r="D140" s="14" t="s">
        <v>4497</v>
      </c>
      <c r="E140" s="87" t="s">
        <v>2048</v>
      </c>
      <c r="F140" s="87">
        <v>1</v>
      </c>
      <c r="G140" s="87">
        <v>1</v>
      </c>
      <c r="H140" s="14"/>
      <c r="I140" s="75"/>
      <c r="J140" s="75">
        <v>1</v>
      </c>
      <c r="K140" s="75" t="s">
        <v>162</v>
      </c>
      <c r="L140" s="75" t="s">
        <v>509</v>
      </c>
      <c r="M140" s="75" t="s">
        <v>535</v>
      </c>
      <c r="N140" s="75" t="s">
        <v>509</v>
      </c>
      <c r="O140" s="75" t="s">
        <v>535</v>
      </c>
      <c r="P140" s="159" t="s">
        <v>850</v>
      </c>
    </row>
    <row r="141" spans="1:16">
      <c r="A141" s="63" t="s">
        <v>4282</v>
      </c>
      <c r="B141" s="14" t="str">
        <f>VLOOKUP(P141,'护理记录单文书字典(数据)'!B$4:C$99,2,0)</f>
        <v>7874B2340CFAB21153BBE70252E9371F</v>
      </c>
      <c r="C141" s="87" t="s">
        <v>2105</v>
      </c>
      <c r="D141" s="14" t="s">
        <v>2103</v>
      </c>
      <c r="E141" s="87" t="s">
        <v>2104</v>
      </c>
      <c r="F141" s="87">
        <v>1</v>
      </c>
      <c r="G141" s="87">
        <v>1</v>
      </c>
      <c r="H141" s="14"/>
      <c r="I141" s="75"/>
      <c r="J141" s="75">
        <v>1</v>
      </c>
      <c r="K141" s="75" t="s">
        <v>162</v>
      </c>
      <c r="L141" s="75" t="s">
        <v>509</v>
      </c>
      <c r="M141" s="75" t="s">
        <v>535</v>
      </c>
      <c r="N141" s="75" t="s">
        <v>509</v>
      </c>
      <c r="O141" s="75" t="s">
        <v>535</v>
      </c>
      <c r="P141" s="159" t="s">
        <v>850</v>
      </c>
    </row>
    <row r="142" spans="1:16" s="164" customFormat="1">
      <c r="A142" s="176"/>
      <c r="B142" s="14" t="str">
        <f>VLOOKUP(P142,'护理记录单文书字典(数据)'!B$4:C$99,2,0)</f>
        <v>B750B8340CFAB2112E84DCC7EA528475</v>
      </c>
      <c r="C142" s="163" t="s">
        <v>4498</v>
      </c>
      <c r="D142" s="162" t="s">
        <v>4499</v>
      </c>
      <c r="E142" s="163" t="s">
        <v>2048</v>
      </c>
      <c r="F142" s="163">
        <v>1</v>
      </c>
      <c r="G142" s="163">
        <v>1</v>
      </c>
      <c r="H142" s="162"/>
      <c r="I142" s="162"/>
      <c r="J142" s="162">
        <v>1</v>
      </c>
      <c r="K142" s="162" t="s">
        <v>162</v>
      </c>
      <c r="L142" s="162" t="s">
        <v>509</v>
      </c>
      <c r="M142" s="162" t="s">
        <v>535</v>
      </c>
      <c r="N142" s="162" t="s">
        <v>509</v>
      </c>
      <c r="O142" s="162" t="s">
        <v>535</v>
      </c>
      <c r="P142" s="162" t="s">
        <v>1005</v>
      </c>
    </row>
    <row r="143" spans="1:16" s="164" customFormat="1">
      <c r="A143" s="176"/>
      <c r="B143" s="14" t="str">
        <f>VLOOKUP(P143,'护理记录单文书字典(数据)'!B$4:C$99,2,0)</f>
        <v>B750B8340CFAB2112E84DCC7EA528475</v>
      </c>
      <c r="C143" s="163" t="s">
        <v>4500</v>
      </c>
      <c r="D143" s="162" t="s">
        <v>4501</v>
      </c>
      <c r="E143" s="163" t="s">
        <v>2052</v>
      </c>
      <c r="F143" s="163">
        <v>1</v>
      </c>
      <c r="G143" s="163">
        <v>1</v>
      </c>
      <c r="H143" s="162" t="s">
        <v>2094</v>
      </c>
      <c r="I143" s="162"/>
      <c r="J143" s="162">
        <v>1</v>
      </c>
      <c r="K143" s="162" t="s">
        <v>162</v>
      </c>
      <c r="L143" s="162" t="s">
        <v>509</v>
      </c>
      <c r="M143" s="162" t="s">
        <v>535</v>
      </c>
      <c r="N143" s="162" t="s">
        <v>509</v>
      </c>
      <c r="O143" s="162" t="s">
        <v>535</v>
      </c>
      <c r="P143" s="162" t="s">
        <v>1005</v>
      </c>
    </row>
    <row r="144" spans="1:16" s="164" customFormat="1">
      <c r="A144" s="176"/>
      <c r="B144" s="14" t="str">
        <f>VLOOKUP(P144,'护理记录单文书字典(数据)'!B$4:C$99,2,0)</f>
        <v>B750B8340CFAB2112E84DCC7EA528475</v>
      </c>
      <c r="C144" s="163" t="s">
        <v>4502</v>
      </c>
      <c r="D144" s="162" t="s">
        <v>4503</v>
      </c>
      <c r="E144" s="163" t="s">
        <v>2052</v>
      </c>
      <c r="F144" s="163">
        <v>1</v>
      </c>
      <c r="G144" s="163">
        <v>1</v>
      </c>
      <c r="H144" s="162" t="s">
        <v>2094</v>
      </c>
      <c r="I144" s="162"/>
      <c r="J144" s="162">
        <v>1</v>
      </c>
      <c r="K144" s="162" t="s">
        <v>162</v>
      </c>
      <c r="L144" s="162" t="s">
        <v>509</v>
      </c>
      <c r="M144" s="162" t="s">
        <v>535</v>
      </c>
      <c r="N144" s="162" t="s">
        <v>509</v>
      </c>
      <c r="O144" s="162" t="s">
        <v>535</v>
      </c>
      <c r="P144" s="162" t="s">
        <v>1005</v>
      </c>
    </row>
    <row r="145" spans="1:16" s="164" customFormat="1">
      <c r="A145" s="176"/>
      <c r="B145" s="14" t="str">
        <f>VLOOKUP(P145,'护理记录单文书字典(数据)'!B$4:C$99,2,0)</f>
        <v>B750B8340CFAB2112E84DCC7EA528475</v>
      </c>
      <c r="C145" s="163" t="s">
        <v>4504</v>
      </c>
      <c r="D145" s="162" t="s">
        <v>4505</v>
      </c>
      <c r="E145" s="163" t="s">
        <v>2052</v>
      </c>
      <c r="F145" s="163">
        <v>1</v>
      </c>
      <c r="G145" s="163">
        <v>1</v>
      </c>
      <c r="H145" s="162" t="s">
        <v>2094</v>
      </c>
      <c r="I145" s="162"/>
      <c r="J145" s="162">
        <v>1</v>
      </c>
      <c r="K145" s="162" t="s">
        <v>162</v>
      </c>
      <c r="L145" s="162" t="s">
        <v>509</v>
      </c>
      <c r="M145" s="162" t="s">
        <v>535</v>
      </c>
      <c r="N145" s="162" t="s">
        <v>509</v>
      </c>
      <c r="O145" s="162" t="s">
        <v>535</v>
      </c>
      <c r="P145" s="162" t="s">
        <v>1005</v>
      </c>
    </row>
    <row r="146" spans="1:16" s="164" customFormat="1">
      <c r="A146" s="176"/>
      <c r="B146" s="14" t="str">
        <f>VLOOKUP(P146,'护理记录单文书字典(数据)'!B$4:C$99,2,0)</f>
        <v>B750B8340CFAB2112E84DCC7EA528475</v>
      </c>
      <c r="C146" s="163" t="s">
        <v>4506</v>
      </c>
      <c r="D146" s="162" t="s">
        <v>4507</v>
      </c>
      <c r="E146" s="163" t="s">
        <v>2052</v>
      </c>
      <c r="F146" s="163">
        <v>1</v>
      </c>
      <c r="G146" s="163">
        <v>1</v>
      </c>
      <c r="H146" s="162" t="s">
        <v>2094</v>
      </c>
      <c r="I146" s="162"/>
      <c r="J146" s="162">
        <v>1</v>
      </c>
      <c r="K146" s="162" t="s">
        <v>162</v>
      </c>
      <c r="L146" s="162" t="s">
        <v>509</v>
      </c>
      <c r="M146" s="162" t="s">
        <v>535</v>
      </c>
      <c r="N146" s="162" t="s">
        <v>509</v>
      </c>
      <c r="O146" s="162" t="s">
        <v>535</v>
      </c>
      <c r="P146" s="162" t="s">
        <v>1005</v>
      </c>
    </row>
    <row r="147" spans="1:16" s="164" customFormat="1">
      <c r="A147" s="176"/>
      <c r="B147" s="14" t="str">
        <f>VLOOKUP(P147,'护理记录单文书字典(数据)'!B$4:C$99,2,0)</f>
        <v>B750B8340CFAB2112E84DCC7EA528475</v>
      </c>
      <c r="C147" s="163" t="s">
        <v>4508</v>
      </c>
      <c r="D147" s="162" t="s">
        <v>4509</v>
      </c>
      <c r="E147" s="163" t="s">
        <v>2052</v>
      </c>
      <c r="F147" s="163">
        <v>1</v>
      </c>
      <c r="G147" s="163">
        <v>1</v>
      </c>
      <c r="H147" s="162" t="s">
        <v>2094</v>
      </c>
      <c r="I147" s="162"/>
      <c r="J147" s="162">
        <v>1</v>
      </c>
      <c r="K147" s="162" t="s">
        <v>162</v>
      </c>
      <c r="L147" s="162" t="s">
        <v>509</v>
      </c>
      <c r="M147" s="162" t="s">
        <v>535</v>
      </c>
      <c r="N147" s="162" t="s">
        <v>509</v>
      </c>
      <c r="O147" s="162" t="s">
        <v>535</v>
      </c>
      <c r="P147" s="162" t="s">
        <v>1005</v>
      </c>
    </row>
    <row r="148" spans="1:16" s="164" customFormat="1">
      <c r="A148" s="176"/>
      <c r="B148" s="14" t="str">
        <f>VLOOKUP(P148,'护理记录单文书字典(数据)'!B$4:C$99,2,0)</f>
        <v>B750B8340CFAB2112E84DCC7EA528475</v>
      </c>
      <c r="C148" s="163" t="s">
        <v>4510</v>
      </c>
      <c r="D148" s="162" t="s">
        <v>4511</v>
      </c>
      <c r="E148" s="163" t="s">
        <v>2052</v>
      </c>
      <c r="F148" s="163">
        <v>1</v>
      </c>
      <c r="G148" s="163">
        <v>1</v>
      </c>
      <c r="H148" s="162" t="s">
        <v>2094</v>
      </c>
      <c r="I148" s="162"/>
      <c r="J148" s="162">
        <v>1</v>
      </c>
      <c r="K148" s="162" t="s">
        <v>162</v>
      </c>
      <c r="L148" s="162" t="s">
        <v>509</v>
      </c>
      <c r="M148" s="162" t="s">
        <v>535</v>
      </c>
      <c r="N148" s="162" t="s">
        <v>509</v>
      </c>
      <c r="O148" s="162" t="s">
        <v>535</v>
      </c>
      <c r="P148" s="162" t="s">
        <v>1005</v>
      </c>
    </row>
    <row r="149" spans="1:16" s="164" customFormat="1">
      <c r="A149" s="176"/>
      <c r="B149" s="14" t="str">
        <f>VLOOKUP(P149,'护理记录单文书字典(数据)'!B$4:C$99,2,0)</f>
        <v>B750B8340CFAB2112E84DCC7EA528475</v>
      </c>
      <c r="C149" s="163" t="s">
        <v>4512</v>
      </c>
      <c r="D149" s="162" t="s">
        <v>4513</v>
      </c>
      <c r="E149" s="163" t="s">
        <v>2052</v>
      </c>
      <c r="F149" s="163">
        <v>1</v>
      </c>
      <c r="G149" s="163">
        <v>1</v>
      </c>
      <c r="H149" s="162" t="s">
        <v>2094</v>
      </c>
      <c r="I149" s="162"/>
      <c r="J149" s="162">
        <v>1</v>
      </c>
      <c r="K149" s="162" t="s">
        <v>162</v>
      </c>
      <c r="L149" s="162" t="s">
        <v>509</v>
      </c>
      <c r="M149" s="162" t="s">
        <v>535</v>
      </c>
      <c r="N149" s="162" t="s">
        <v>509</v>
      </c>
      <c r="O149" s="162" t="s">
        <v>535</v>
      </c>
      <c r="P149" s="162" t="s">
        <v>1005</v>
      </c>
    </row>
    <row r="150" spans="1:16" s="164" customFormat="1">
      <c r="A150" s="176"/>
      <c r="B150" s="14" t="str">
        <f>VLOOKUP(P150,'护理记录单文书字典(数据)'!B$4:C$99,2,0)</f>
        <v>B750B8340CFAB2112E84DCC7EA528475</v>
      </c>
      <c r="C150" s="163" t="s">
        <v>4514</v>
      </c>
      <c r="D150" s="162" t="s">
        <v>4515</v>
      </c>
      <c r="E150" s="163" t="s">
        <v>2052</v>
      </c>
      <c r="F150" s="163">
        <v>1</v>
      </c>
      <c r="G150" s="163">
        <v>1</v>
      </c>
      <c r="H150" s="162" t="s">
        <v>2094</v>
      </c>
      <c r="I150" s="162"/>
      <c r="J150" s="162">
        <v>1</v>
      </c>
      <c r="K150" s="162" t="s">
        <v>162</v>
      </c>
      <c r="L150" s="162" t="s">
        <v>509</v>
      </c>
      <c r="M150" s="162" t="s">
        <v>535</v>
      </c>
      <c r="N150" s="162" t="s">
        <v>509</v>
      </c>
      <c r="O150" s="162" t="s">
        <v>535</v>
      </c>
      <c r="P150" s="162" t="s">
        <v>1005</v>
      </c>
    </row>
    <row r="151" spans="1:16" s="164" customFormat="1">
      <c r="A151" s="176"/>
      <c r="B151" s="14" t="str">
        <f>VLOOKUP(P151,'护理记录单文书字典(数据)'!B$4:C$99,2,0)</f>
        <v>B750B8340CFAB2112E84DCC7EA528475</v>
      </c>
      <c r="C151" s="163" t="s">
        <v>4516</v>
      </c>
      <c r="D151" s="162" t="s">
        <v>4517</v>
      </c>
      <c r="E151" s="163" t="s">
        <v>2052</v>
      </c>
      <c r="F151" s="163">
        <v>1</v>
      </c>
      <c r="G151" s="163">
        <v>1</v>
      </c>
      <c r="H151" s="162" t="s">
        <v>2094</v>
      </c>
      <c r="I151" s="162"/>
      <c r="J151" s="162">
        <v>1</v>
      </c>
      <c r="K151" s="162" t="s">
        <v>162</v>
      </c>
      <c r="L151" s="162" t="s">
        <v>509</v>
      </c>
      <c r="M151" s="162" t="s">
        <v>535</v>
      </c>
      <c r="N151" s="162" t="s">
        <v>509</v>
      </c>
      <c r="O151" s="162" t="s">
        <v>535</v>
      </c>
      <c r="P151" s="162" t="s">
        <v>1005</v>
      </c>
    </row>
    <row r="152" spans="1:16" s="164" customFormat="1">
      <c r="A152" s="176"/>
      <c r="B152" s="14" t="str">
        <f>VLOOKUP(P152,'护理记录单文书字典(数据)'!B$4:C$99,2,0)</f>
        <v>B750B8340CFAB2112E84DCC7EA528475</v>
      </c>
      <c r="C152" s="163" t="s">
        <v>4518</v>
      </c>
      <c r="D152" s="162" t="s">
        <v>4519</v>
      </c>
      <c r="E152" s="163" t="s">
        <v>2052</v>
      </c>
      <c r="F152" s="163">
        <v>1</v>
      </c>
      <c r="G152" s="163">
        <v>1</v>
      </c>
      <c r="H152" s="162" t="s">
        <v>2094</v>
      </c>
      <c r="I152" s="162"/>
      <c r="J152" s="162">
        <v>1</v>
      </c>
      <c r="K152" s="162" t="s">
        <v>162</v>
      </c>
      <c r="L152" s="162" t="s">
        <v>509</v>
      </c>
      <c r="M152" s="162" t="s">
        <v>535</v>
      </c>
      <c r="N152" s="162" t="s">
        <v>509</v>
      </c>
      <c r="O152" s="162" t="s">
        <v>535</v>
      </c>
      <c r="P152" s="162" t="s">
        <v>1005</v>
      </c>
    </row>
    <row r="153" spans="1:16" s="164" customFormat="1">
      <c r="A153" s="176"/>
      <c r="B153" s="14" t="str">
        <f>VLOOKUP(P153,'护理记录单文书字典(数据)'!B$4:C$99,2,0)</f>
        <v>B750B8340CFAB2112E84DCC7EA528475</v>
      </c>
      <c r="C153" s="163" t="s">
        <v>4520</v>
      </c>
      <c r="D153" s="162" t="s">
        <v>4521</v>
      </c>
      <c r="E153" s="163" t="s">
        <v>2052</v>
      </c>
      <c r="F153" s="163">
        <v>1</v>
      </c>
      <c r="G153" s="163">
        <v>1</v>
      </c>
      <c r="H153" s="162" t="s">
        <v>2094</v>
      </c>
      <c r="I153" s="162"/>
      <c r="J153" s="162">
        <v>1</v>
      </c>
      <c r="K153" s="162" t="s">
        <v>162</v>
      </c>
      <c r="L153" s="162" t="s">
        <v>509</v>
      </c>
      <c r="M153" s="162" t="s">
        <v>535</v>
      </c>
      <c r="N153" s="162" t="s">
        <v>509</v>
      </c>
      <c r="O153" s="162" t="s">
        <v>535</v>
      </c>
      <c r="P153" s="162" t="s">
        <v>1005</v>
      </c>
    </row>
    <row r="154" spans="1:16" s="164" customFormat="1">
      <c r="A154" s="176"/>
      <c r="B154" s="14" t="str">
        <f>VLOOKUP(P154,'护理记录单文书字典(数据)'!B$4:C$99,2,0)</f>
        <v>B750B8340CFAB2112E84DCC7EA528475</v>
      </c>
      <c r="C154" s="163" t="s">
        <v>4522</v>
      </c>
      <c r="D154" s="162" t="s">
        <v>4523</v>
      </c>
      <c r="E154" s="163" t="s">
        <v>2048</v>
      </c>
      <c r="F154" s="163">
        <v>1</v>
      </c>
      <c r="G154" s="163">
        <v>1</v>
      </c>
      <c r="H154" s="162"/>
      <c r="I154" s="162"/>
      <c r="J154" s="162">
        <v>1</v>
      </c>
      <c r="K154" s="162" t="s">
        <v>162</v>
      </c>
      <c r="L154" s="162" t="s">
        <v>509</v>
      </c>
      <c r="M154" s="162" t="s">
        <v>535</v>
      </c>
      <c r="N154" s="162" t="s">
        <v>509</v>
      </c>
      <c r="O154" s="162" t="s">
        <v>535</v>
      </c>
      <c r="P154" s="162" t="s">
        <v>1005</v>
      </c>
    </row>
    <row r="155" spans="1:16" s="164" customFormat="1">
      <c r="A155" s="176"/>
      <c r="B155" s="14" t="str">
        <f>VLOOKUP(P155,'护理记录单文书字典(数据)'!B$4:C$99,2,0)</f>
        <v>B750B8340CFAB2112E84DCC7EA528475</v>
      </c>
      <c r="C155" s="163" t="s">
        <v>4524</v>
      </c>
      <c r="D155" s="162" t="s">
        <v>4525</v>
      </c>
      <c r="E155" s="163" t="s">
        <v>2048</v>
      </c>
      <c r="F155" s="163">
        <v>1</v>
      </c>
      <c r="G155" s="163">
        <v>1</v>
      </c>
      <c r="H155" s="162"/>
      <c r="I155" s="162"/>
      <c r="J155" s="162">
        <v>1</v>
      </c>
      <c r="K155" s="162" t="s">
        <v>162</v>
      </c>
      <c r="L155" s="162" t="s">
        <v>509</v>
      </c>
      <c r="M155" s="162" t="s">
        <v>535</v>
      </c>
      <c r="N155" s="162" t="s">
        <v>509</v>
      </c>
      <c r="O155" s="162" t="s">
        <v>535</v>
      </c>
      <c r="P155" s="162" t="s">
        <v>1005</v>
      </c>
    </row>
    <row r="156" spans="1:16" s="164" customFormat="1">
      <c r="A156" s="176"/>
      <c r="B156" s="14" t="str">
        <f>VLOOKUP(P156,'护理记录单文书字典(数据)'!B$4:C$99,2,0)</f>
        <v>B750B8340CFAB2112E84DCC7EA528475</v>
      </c>
      <c r="C156" s="163" t="s">
        <v>4526</v>
      </c>
      <c r="D156" s="162" t="s">
        <v>4527</v>
      </c>
      <c r="E156" s="163" t="s">
        <v>2104</v>
      </c>
      <c r="F156" s="163">
        <v>1</v>
      </c>
      <c r="G156" s="163">
        <v>1</v>
      </c>
      <c r="H156" s="162"/>
      <c r="I156" s="162"/>
      <c r="J156" s="162">
        <v>1</v>
      </c>
      <c r="K156" s="162" t="s">
        <v>162</v>
      </c>
      <c r="L156" s="162" t="s">
        <v>509</v>
      </c>
      <c r="M156" s="162" t="s">
        <v>535</v>
      </c>
      <c r="N156" s="162" t="s">
        <v>509</v>
      </c>
      <c r="O156" s="162" t="s">
        <v>535</v>
      </c>
      <c r="P156" s="162" t="s">
        <v>1005</v>
      </c>
    </row>
    <row r="157" spans="1:16" s="164" customFormat="1">
      <c r="A157" s="176"/>
      <c r="B157" s="14" t="str">
        <f>VLOOKUP(P157,'护理记录单文书字典(数据)'!B$4:C$99,2,0)</f>
        <v>B750B8340CFAB2112E84DCC7EA528475</v>
      </c>
      <c r="C157" s="163" t="s">
        <v>4528</v>
      </c>
      <c r="D157" s="162" t="s">
        <v>4529</v>
      </c>
      <c r="E157" s="163" t="s">
        <v>2104</v>
      </c>
      <c r="F157" s="163">
        <v>1</v>
      </c>
      <c r="G157" s="163">
        <v>1</v>
      </c>
      <c r="H157" s="162"/>
      <c r="I157" s="162"/>
      <c r="J157" s="162">
        <v>1</v>
      </c>
      <c r="K157" s="162" t="s">
        <v>162</v>
      </c>
      <c r="L157" s="162" t="s">
        <v>509</v>
      </c>
      <c r="M157" s="162" t="s">
        <v>535</v>
      </c>
      <c r="N157" s="162" t="s">
        <v>509</v>
      </c>
      <c r="O157" s="162" t="s">
        <v>535</v>
      </c>
      <c r="P157" s="162" t="s">
        <v>1005</v>
      </c>
    </row>
    <row r="158" spans="1:16" s="164" customFormat="1">
      <c r="A158" s="176"/>
      <c r="B158" s="14" t="str">
        <f>VLOOKUP(P158,'护理记录单文书字典(数据)'!B$4:C$99,2,0)</f>
        <v>B750B8340CFAB2112E84DCC7EA528475</v>
      </c>
      <c r="C158" s="163" t="s">
        <v>4530</v>
      </c>
      <c r="D158" s="162" t="s">
        <v>2131</v>
      </c>
      <c r="E158" s="163" t="s">
        <v>2048</v>
      </c>
      <c r="F158" s="163">
        <v>1</v>
      </c>
      <c r="G158" s="163">
        <v>1</v>
      </c>
      <c r="H158" s="162"/>
      <c r="I158" s="162"/>
      <c r="J158" s="162">
        <v>1</v>
      </c>
      <c r="K158" s="162" t="s">
        <v>162</v>
      </c>
      <c r="L158" s="162" t="s">
        <v>509</v>
      </c>
      <c r="M158" s="162" t="s">
        <v>535</v>
      </c>
      <c r="N158" s="162" t="s">
        <v>509</v>
      </c>
      <c r="O158" s="162" t="s">
        <v>535</v>
      </c>
      <c r="P158" s="162" t="s">
        <v>1005</v>
      </c>
    </row>
    <row r="159" spans="1:16" s="164" customFormat="1">
      <c r="A159" s="176"/>
      <c r="B159" s="14" t="str">
        <f>VLOOKUP(P159,'护理记录单文书字典(数据)'!B$4:C$99,2,0)</f>
        <v>B750B8340CFAB2112E84DCC7EA528475</v>
      </c>
      <c r="C159" s="163" t="s">
        <v>2132</v>
      </c>
      <c r="D159" s="162" t="s">
        <v>2133</v>
      </c>
      <c r="E159" s="163" t="s">
        <v>2052</v>
      </c>
      <c r="F159" s="163">
        <v>1</v>
      </c>
      <c r="G159" s="163">
        <v>1</v>
      </c>
      <c r="H159" s="162" t="s">
        <v>2094</v>
      </c>
      <c r="I159" s="162"/>
      <c r="J159" s="162">
        <v>1</v>
      </c>
      <c r="K159" s="162" t="s">
        <v>162</v>
      </c>
      <c r="L159" s="162" t="s">
        <v>509</v>
      </c>
      <c r="M159" s="162" t="s">
        <v>535</v>
      </c>
      <c r="N159" s="162" t="s">
        <v>509</v>
      </c>
      <c r="O159" s="162" t="s">
        <v>535</v>
      </c>
      <c r="P159" s="162" t="s">
        <v>1005</v>
      </c>
    </row>
    <row r="160" spans="1:16" s="164" customFormat="1">
      <c r="A160" s="176"/>
      <c r="B160" s="14" t="str">
        <f>VLOOKUP(P160,'护理记录单文书字典(数据)'!B$4:C$99,2,0)</f>
        <v>B750B8340CFAB2112E84DCC7EA528475</v>
      </c>
      <c r="C160" s="163" t="s">
        <v>2134</v>
      </c>
      <c r="D160" s="162" t="s">
        <v>2135</v>
      </c>
      <c r="E160" s="163" t="s">
        <v>2052</v>
      </c>
      <c r="F160" s="163">
        <v>1</v>
      </c>
      <c r="G160" s="163">
        <v>1</v>
      </c>
      <c r="H160" s="162" t="s">
        <v>2094</v>
      </c>
      <c r="I160" s="162"/>
      <c r="J160" s="162">
        <v>1</v>
      </c>
      <c r="K160" s="162" t="s">
        <v>162</v>
      </c>
      <c r="L160" s="162" t="s">
        <v>509</v>
      </c>
      <c r="M160" s="162" t="s">
        <v>535</v>
      </c>
      <c r="N160" s="162" t="s">
        <v>509</v>
      </c>
      <c r="O160" s="162" t="s">
        <v>535</v>
      </c>
      <c r="P160" s="162" t="s">
        <v>1005</v>
      </c>
    </row>
    <row r="161" spans="1:16" s="164" customFormat="1">
      <c r="A161" s="176"/>
      <c r="B161" s="14" t="str">
        <f>VLOOKUP(P161,'护理记录单文书字典(数据)'!B$4:C$99,2,0)</f>
        <v>B750B8340CFAB2112E84DCC7EA528475</v>
      </c>
      <c r="C161" s="163" t="s">
        <v>2136</v>
      </c>
      <c r="D161" s="162" t="s">
        <v>2137</v>
      </c>
      <c r="E161" s="163" t="s">
        <v>2052</v>
      </c>
      <c r="F161" s="163">
        <v>1</v>
      </c>
      <c r="G161" s="163">
        <v>1</v>
      </c>
      <c r="H161" s="162" t="s">
        <v>2094</v>
      </c>
      <c r="I161" s="162"/>
      <c r="J161" s="162">
        <v>1</v>
      </c>
      <c r="K161" s="162" t="s">
        <v>162</v>
      </c>
      <c r="L161" s="162" t="s">
        <v>509</v>
      </c>
      <c r="M161" s="162" t="s">
        <v>535</v>
      </c>
      <c r="N161" s="162" t="s">
        <v>509</v>
      </c>
      <c r="O161" s="162" t="s">
        <v>535</v>
      </c>
      <c r="P161" s="162" t="s">
        <v>1005</v>
      </c>
    </row>
    <row r="162" spans="1:16" s="164" customFormat="1">
      <c r="A162" s="176"/>
      <c r="B162" s="14" t="str">
        <f>VLOOKUP(P162,'护理记录单文书字典(数据)'!B$4:C$99,2,0)</f>
        <v>B750B8340CFAB2112E84DCC7EA528475</v>
      </c>
      <c r="C162" s="163" t="s">
        <v>2138</v>
      </c>
      <c r="D162" s="162" t="s">
        <v>2139</v>
      </c>
      <c r="E162" s="163" t="s">
        <v>2052</v>
      </c>
      <c r="F162" s="163">
        <v>1</v>
      </c>
      <c r="G162" s="163">
        <v>1</v>
      </c>
      <c r="H162" s="162" t="s">
        <v>2094</v>
      </c>
      <c r="I162" s="162"/>
      <c r="J162" s="162">
        <v>1</v>
      </c>
      <c r="K162" s="162" t="s">
        <v>162</v>
      </c>
      <c r="L162" s="162" t="s">
        <v>509</v>
      </c>
      <c r="M162" s="162" t="s">
        <v>535</v>
      </c>
      <c r="N162" s="162" t="s">
        <v>509</v>
      </c>
      <c r="O162" s="162" t="s">
        <v>535</v>
      </c>
      <c r="P162" s="162" t="s">
        <v>1005</v>
      </c>
    </row>
    <row r="163" spans="1:16" s="164" customFormat="1">
      <c r="A163" s="176"/>
      <c r="B163" s="14" t="str">
        <f>VLOOKUP(P163,'护理记录单文书字典(数据)'!B$4:C$99,2,0)</f>
        <v>B750B8340CFAB2112E84DCC7EA528475</v>
      </c>
      <c r="C163" s="163" t="s">
        <v>2140</v>
      </c>
      <c r="D163" s="162" t="s">
        <v>2141</v>
      </c>
      <c r="E163" s="163" t="s">
        <v>2052</v>
      </c>
      <c r="F163" s="163">
        <v>1</v>
      </c>
      <c r="G163" s="163">
        <v>1</v>
      </c>
      <c r="H163" s="162" t="s">
        <v>2094</v>
      </c>
      <c r="I163" s="162"/>
      <c r="J163" s="162">
        <v>1</v>
      </c>
      <c r="K163" s="162" t="s">
        <v>162</v>
      </c>
      <c r="L163" s="162" t="s">
        <v>509</v>
      </c>
      <c r="M163" s="162" t="s">
        <v>535</v>
      </c>
      <c r="N163" s="162" t="s">
        <v>509</v>
      </c>
      <c r="O163" s="162" t="s">
        <v>535</v>
      </c>
      <c r="P163" s="162" t="s">
        <v>1005</v>
      </c>
    </row>
    <row r="164" spans="1:16" s="164" customFormat="1">
      <c r="A164" s="176"/>
      <c r="B164" s="14" t="str">
        <f>VLOOKUP(P164,'护理记录单文书字典(数据)'!B$4:C$99,2,0)</f>
        <v>B750B8340CFAB2112E84DCC7EA528475</v>
      </c>
      <c r="C164" s="163" t="s">
        <v>2142</v>
      </c>
      <c r="D164" s="162" t="s">
        <v>2143</v>
      </c>
      <c r="E164" s="163" t="s">
        <v>2052</v>
      </c>
      <c r="F164" s="163">
        <v>1</v>
      </c>
      <c r="G164" s="163">
        <v>1</v>
      </c>
      <c r="H164" s="162" t="s">
        <v>2094</v>
      </c>
      <c r="I164" s="162"/>
      <c r="J164" s="162">
        <v>1</v>
      </c>
      <c r="K164" s="162" t="s">
        <v>162</v>
      </c>
      <c r="L164" s="162" t="s">
        <v>509</v>
      </c>
      <c r="M164" s="162" t="s">
        <v>535</v>
      </c>
      <c r="N164" s="162" t="s">
        <v>509</v>
      </c>
      <c r="O164" s="162" t="s">
        <v>535</v>
      </c>
      <c r="P164" s="162" t="s">
        <v>1005</v>
      </c>
    </row>
    <row r="165" spans="1:16" s="164" customFormat="1">
      <c r="A165" s="176"/>
      <c r="B165" s="14" t="str">
        <f>VLOOKUP(P165,'护理记录单文书字典(数据)'!B$4:C$99,2,0)</f>
        <v>B750B8340CFAB2112E84DCC7EA528475</v>
      </c>
      <c r="C165" s="163" t="s">
        <v>2144</v>
      </c>
      <c r="D165" s="162" t="s">
        <v>2145</v>
      </c>
      <c r="E165" s="163" t="s">
        <v>2052</v>
      </c>
      <c r="F165" s="163">
        <v>1</v>
      </c>
      <c r="G165" s="163">
        <v>1</v>
      </c>
      <c r="H165" s="162" t="s">
        <v>2094</v>
      </c>
      <c r="I165" s="162"/>
      <c r="J165" s="162">
        <v>1</v>
      </c>
      <c r="K165" s="162" t="s">
        <v>162</v>
      </c>
      <c r="L165" s="162" t="s">
        <v>509</v>
      </c>
      <c r="M165" s="162" t="s">
        <v>535</v>
      </c>
      <c r="N165" s="162" t="s">
        <v>509</v>
      </c>
      <c r="O165" s="162" t="s">
        <v>535</v>
      </c>
      <c r="P165" s="162" t="s">
        <v>1005</v>
      </c>
    </row>
    <row r="166" spans="1:16" s="164" customFormat="1">
      <c r="A166" s="176"/>
      <c r="B166" s="14" t="str">
        <f>VLOOKUP(P166,'护理记录单文书字典(数据)'!B$4:C$99,2,0)</f>
        <v>B750B8340CFAB2112E84DCC7EA528475</v>
      </c>
      <c r="C166" s="163" t="s">
        <v>2146</v>
      </c>
      <c r="D166" s="162" t="s">
        <v>2147</v>
      </c>
      <c r="E166" s="163" t="s">
        <v>2052</v>
      </c>
      <c r="F166" s="163">
        <v>1</v>
      </c>
      <c r="G166" s="163">
        <v>1</v>
      </c>
      <c r="H166" s="162" t="s">
        <v>2094</v>
      </c>
      <c r="I166" s="162"/>
      <c r="J166" s="162">
        <v>1</v>
      </c>
      <c r="K166" s="162" t="s">
        <v>162</v>
      </c>
      <c r="L166" s="162" t="s">
        <v>509</v>
      </c>
      <c r="M166" s="162" t="s">
        <v>535</v>
      </c>
      <c r="N166" s="162" t="s">
        <v>509</v>
      </c>
      <c r="O166" s="162" t="s">
        <v>535</v>
      </c>
      <c r="P166" s="162" t="s">
        <v>1005</v>
      </c>
    </row>
    <row r="167" spans="1:16" s="164" customFormat="1">
      <c r="A167" s="176"/>
      <c r="B167" s="14" t="str">
        <f>VLOOKUP(P167,'护理记录单文书字典(数据)'!B$4:C$99,2,0)</f>
        <v>B750B8340CFAB2112E84DCC7EA528475</v>
      </c>
      <c r="C167" s="163" t="s">
        <v>2148</v>
      </c>
      <c r="D167" s="162" t="s">
        <v>2149</v>
      </c>
      <c r="E167" s="163" t="s">
        <v>2052</v>
      </c>
      <c r="F167" s="163">
        <v>1</v>
      </c>
      <c r="G167" s="163">
        <v>1</v>
      </c>
      <c r="H167" s="162" t="s">
        <v>2094</v>
      </c>
      <c r="I167" s="162"/>
      <c r="J167" s="162">
        <v>1</v>
      </c>
      <c r="K167" s="162" t="s">
        <v>162</v>
      </c>
      <c r="L167" s="162" t="s">
        <v>509</v>
      </c>
      <c r="M167" s="162" t="s">
        <v>535</v>
      </c>
      <c r="N167" s="162" t="s">
        <v>509</v>
      </c>
      <c r="O167" s="162" t="s">
        <v>535</v>
      </c>
      <c r="P167" s="162" t="s">
        <v>1005</v>
      </c>
    </row>
    <row r="168" spans="1:16" s="164" customFormat="1">
      <c r="A168" s="176"/>
      <c r="B168" s="14" t="str">
        <f>VLOOKUP(P168,'护理记录单文书字典(数据)'!B$4:C$99,2,0)</f>
        <v>B750B8340CFAB2112E84DCC7EA528475</v>
      </c>
      <c r="C168" s="163" t="s">
        <v>2150</v>
      </c>
      <c r="D168" s="162" t="s">
        <v>2151</v>
      </c>
      <c r="E168" s="163" t="s">
        <v>2052</v>
      </c>
      <c r="F168" s="163">
        <v>1</v>
      </c>
      <c r="G168" s="163">
        <v>1</v>
      </c>
      <c r="H168" s="162" t="s">
        <v>2094</v>
      </c>
      <c r="I168" s="162"/>
      <c r="J168" s="162">
        <v>1</v>
      </c>
      <c r="K168" s="162" t="s">
        <v>162</v>
      </c>
      <c r="L168" s="162" t="s">
        <v>509</v>
      </c>
      <c r="M168" s="162" t="s">
        <v>535</v>
      </c>
      <c r="N168" s="162" t="s">
        <v>509</v>
      </c>
      <c r="O168" s="162" t="s">
        <v>535</v>
      </c>
      <c r="P168" s="162" t="s">
        <v>1005</v>
      </c>
    </row>
    <row r="169" spans="1:16" s="164" customFormat="1">
      <c r="A169" s="176"/>
      <c r="B169" s="14" t="str">
        <f>VLOOKUP(P169,'护理记录单文书字典(数据)'!B$4:C$99,2,0)</f>
        <v>B750B8340CFAB2112E84DCC7EA528475</v>
      </c>
      <c r="C169" s="163" t="s">
        <v>2152</v>
      </c>
      <c r="D169" s="162" t="s">
        <v>2153</v>
      </c>
      <c r="E169" s="163" t="s">
        <v>2052</v>
      </c>
      <c r="F169" s="163">
        <v>1</v>
      </c>
      <c r="G169" s="163">
        <v>1</v>
      </c>
      <c r="H169" s="162" t="s">
        <v>2094</v>
      </c>
      <c r="I169" s="162"/>
      <c r="J169" s="162">
        <v>1</v>
      </c>
      <c r="K169" s="162" t="s">
        <v>162</v>
      </c>
      <c r="L169" s="162" t="s">
        <v>509</v>
      </c>
      <c r="M169" s="162" t="s">
        <v>535</v>
      </c>
      <c r="N169" s="162" t="s">
        <v>509</v>
      </c>
      <c r="O169" s="162" t="s">
        <v>535</v>
      </c>
      <c r="P169" s="162" t="s">
        <v>1005</v>
      </c>
    </row>
    <row r="170" spans="1:16" s="164" customFormat="1">
      <c r="A170" s="176"/>
      <c r="B170" s="14" t="str">
        <f>VLOOKUP(P170,'护理记录单文书字典(数据)'!B$4:C$99,2,0)</f>
        <v>B750B8340CFAB2112E84DCC7EA528475</v>
      </c>
      <c r="C170" s="163" t="s">
        <v>2154</v>
      </c>
      <c r="D170" s="162" t="s">
        <v>2155</v>
      </c>
      <c r="E170" s="163" t="s">
        <v>2048</v>
      </c>
      <c r="F170" s="163">
        <v>1</v>
      </c>
      <c r="G170" s="163">
        <v>1</v>
      </c>
      <c r="H170" s="162"/>
      <c r="I170" s="162"/>
      <c r="J170" s="162">
        <v>1</v>
      </c>
      <c r="K170" s="162" t="s">
        <v>162</v>
      </c>
      <c r="L170" s="162" t="s">
        <v>509</v>
      </c>
      <c r="M170" s="162" t="s">
        <v>535</v>
      </c>
      <c r="N170" s="162" t="s">
        <v>509</v>
      </c>
      <c r="O170" s="162" t="s">
        <v>535</v>
      </c>
      <c r="P170" s="162" t="s">
        <v>1005</v>
      </c>
    </row>
    <row r="171" spans="1:16" s="164" customFormat="1">
      <c r="A171" s="176"/>
      <c r="B171" s="14" t="str">
        <f>VLOOKUP(P171,'护理记录单文书字典(数据)'!B$4:C$99,2,0)</f>
        <v>B750B8340CFAB2112E84DCC7EA528475</v>
      </c>
      <c r="C171" s="163" t="s">
        <v>2156</v>
      </c>
      <c r="D171" s="162" t="s">
        <v>2157</v>
      </c>
      <c r="E171" s="163" t="s">
        <v>2048</v>
      </c>
      <c r="F171" s="163">
        <v>1</v>
      </c>
      <c r="G171" s="163">
        <v>1</v>
      </c>
      <c r="H171" s="162"/>
      <c r="I171" s="162"/>
      <c r="J171" s="162">
        <v>1</v>
      </c>
      <c r="K171" s="162" t="s">
        <v>162</v>
      </c>
      <c r="L171" s="162" t="s">
        <v>509</v>
      </c>
      <c r="M171" s="162" t="s">
        <v>535</v>
      </c>
      <c r="N171" s="162" t="s">
        <v>509</v>
      </c>
      <c r="O171" s="162" t="s">
        <v>535</v>
      </c>
      <c r="P171" s="162" t="s">
        <v>1005</v>
      </c>
    </row>
    <row r="172" spans="1:16" s="164" customFormat="1">
      <c r="A172" s="176"/>
      <c r="B172" s="14" t="str">
        <f>VLOOKUP(P172,'护理记录单文书字典(数据)'!B$4:C$99,2,0)</f>
        <v>B750B8340CFAB2112E84DCC7EA528475</v>
      </c>
      <c r="C172" s="163" t="s">
        <v>2158</v>
      </c>
      <c r="D172" s="162" t="s">
        <v>4230</v>
      </c>
      <c r="E172" s="163" t="s">
        <v>2104</v>
      </c>
      <c r="F172" s="163">
        <v>1</v>
      </c>
      <c r="G172" s="163">
        <v>1</v>
      </c>
      <c r="H172" s="162"/>
      <c r="I172" s="162"/>
      <c r="J172" s="162">
        <v>1</v>
      </c>
      <c r="K172" s="162" t="s">
        <v>162</v>
      </c>
      <c r="L172" s="162" t="s">
        <v>509</v>
      </c>
      <c r="M172" s="162" t="s">
        <v>535</v>
      </c>
      <c r="N172" s="162" t="s">
        <v>509</v>
      </c>
      <c r="O172" s="162" t="s">
        <v>535</v>
      </c>
      <c r="P172" s="162" t="s">
        <v>1005</v>
      </c>
    </row>
    <row r="173" spans="1:16" s="164" customFormat="1">
      <c r="A173" s="176"/>
      <c r="B173" s="14" t="str">
        <f>VLOOKUP(P173,'护理记录单文书字典(数据)'!B$4:C$99,2,0)</f>
        <v>B750B8340CFAB2112E84DCC7EA528475</v>
      </c>
      <c r="C173" s="163" t="s">
        <v>2159</v>
      </c>
      <c r="D173" s="162" t="s">
        <v>4531</v>
      </c>
      <c r="E173" s="163" t="s">
        <v>2104</v>
      </c>
      <c r="F173" s="163">
        <v>1</v>
      </c>
      <c r="G173" s="163">
        <v>1</v>
      </c>
      <c r="H173" s="162"/>
      <c r="I173" s="162"/>
      <c r="J173" s="162">
        <v>1</v>
      </c>
      <c r="K173" s="162" t="s">
        <v>162</v>
      </c>
      <c r="L173" s="162" t="s">
        <v>509</v>
      </c>
      <c r="M173" s="162" t="s">
        <v>535</v>
      </c>
      <c r="N173" s="162" t="s">
        <v>509</v>
      </c>
      <c r="O173" s="162" t="s">
        <v>535</v>
      </c>
      <c r="P173" s="162" t="s">
        <v>1005</v>
      </c>
    </row>
    <row r="174" spans="1:16" s="164" customFormat="1">
      <c r="A174" s="176"/>
      <c r="B174" s="14" t="str">
        <f>VLOOKUP(P174,'护理记录单文书字典(数据)'!B$4:C$99,2,0)</f>
        <v>B750B8340CFAB2112E84DCC7EA528475</v>
      </c>
      <c r="C174" s="163" t="s">
        <v>2160</v>
      </c>
      <c r="D174" s="162" t="s">
        <v>2161</v>
      </c>
      <c r="E174" s="163" t="s">
        <v>2048</v>
      </c>
      <c r="F174" s="163">
        <v>1</v>
      </c>
      <c r="G174" s="163">
        <v>1</v>
      </c>
      <c r="H174" s="162"/>
      <c r="I174" s="162"/>
      <c r="J174" s="162">
        <v>1</v>
      </c>
      <c r="K174" s="162" t="s">
        <v>162</v>
      </c>
      <c r="L174" s="162" t="s">
        <v>509</v>
      </c>
      <c r="M174" s="162" t="s">
        <v>535</v>
      </c>
      <c r="N174" s="162" t="s">
        <v>509</v>
      </c>
      <c r="O174" s="162" t="s">
        <v>535</v>
      </c>
      <c r="P174" s="162" t="s">
        <v>1005</v>
      </c>
    </row>
    <row r="175" spans="1:16" s="164" customFormat="1">
      <c r="A175" s="176"/>
      <c r="B175" s="14" t="str">
        <f>VLOOKUP(P175,'护理记录单文书字典(数据)'!B$4:C$99,2,0)</f>
        <v>B750B8340CFAB2112E84DCC7EA528475</v>
      </c>
      <c r="C175" s="163" t="s">
        <v>2162</v>
      </c>
      <c r="D175" s="162" t="s">
        <v>2163</v>
      </c>
      <c r="E175" s="163" t="s">
        <v>2052</v>
      </c>
      <c r="F175" s="163">
        <v>1</v>
      </c>
      <c r="G175" s="163">
        <v>1</v>
      </c>
      <c r="H175" s="162" t="s">
        <v>2094</v>
      </c>
      <c r="I175" s="162"/>
      <c r="J175" s="162">
        <v>1</v>
      </c>
      <c r="K175" s="162" t="s">
        <v>162</v>
      </c>
      <c r="L175" s="162" t="s">
        <v>509</v>
      </c>
      <c r="M175" s="162" t="s">
        <v>535</v>
      </c>
      <c r="N175" s="162" t="s">
        <v>509</v>
      </c>
      <c r="O175" s="162" t="s">
        <v>535</v>
      </c>
      <c r="P175" s="162" t="s">
        <v>1005</v>
      </c>
    </row>
    <row r="176" spans="1:16" s="164" customFormat="1">
      <c r="A176" s="176"/>
      <c r="B176" s="14" t="str">
        <f>VLOOKUP(P176,'护理记录单文书字典(数据)'!B$4:C$99,2,0)</f>
        <v>B750B8340CFAB2112E84DCC7EA528475</v>
      </c>
      <c r="C176" s="163" t="s">
        <v>2164</v>
      </c>
      <c r="D176" s="162" t="s">
        <v>2165</v>
      </c>
      <c r="E176" s="163" t="s">
        <v>2052</v>
      </c>
      <c r="F176" s="163">
        <v>1</v>
      </c>
      <c r="G176" s="163">
        <v>1</v>
      </c>
      <c r="H176" s="162" t="s">
        <v>2094</v>
      </c>
      <c r="I176" s="162"/>
      <c r="J176" s="162">
        <v>1</v>
      </c>
      <c r="K176" s="162" t="s">
        <v>162</v>
      </c>
      <c r="L176" s="162" t="s">
        <v>509</v>
      </c>
      <c r="M176" s="162" t="s">
        <v>535</v>
      </c>
      <c r="N176" s="162" t="s">
        <v>509</v>
      </c>
      <c r="O176" s="162" t="s">
        <v>535</v>
      </c>
      <c r="P176" s="162" t="s">
        <v>1005</v>
      </c>
    </row>
    <row r="177" spans="1:16" s="164" customFormat="1">
      <c r="A177" s="176"/>
      <c r="B177" s="14" t="str">
        <f>VLOOKUP(P177,'护理记录单文书字典(数据)'!B$4:C$99,2,0)</f>
        <v>B750B8340CFAB2112E84DCC7EA528475</v>
      </c>
      <c r="C177" s="163" t="s">
        <v>2166</v>
      </c>
      <c r="D177" s="162" t="s">
        <v>2167</v>
      </c>
      <c r="E177" s="163" t="s">
        <v>2052</v>
      </c>
      <c r="F177" s="163">
        <v>1</v>
      </c>
      <c r="G177" s="163">
        <v>1</v>
      </c>
      <c r="H177" s="162" t="s">
        <v>2094</v>
      </c>
      <c r="I177" s="162"/>
      <c r="J177" s="162">
        <v>1</v>
      </c>
      <c r="K177" s="162" t="s">
        <v>162</v>
      </c>
      <c r="L177" s="162" t="s">
        <v>509</v>
      </c>
      <c r="M177" s="162" t="s">
        <v>535</v>
      </c>
      <c r="N177" s="162" t="s">
        <v>509</v>
      </c>
      <c r="O177" s="162" t="s">
        <v>535</v>
      </c>
      <c r="P177" s="162" t="s">
        <v>1005</v>
      </c>
    </row>
    <row r="178" spans="1:16" s="164" customFormat="1">
      <c r="A178" s="176"/>
      <c r="B178" s="14" t="str">
        <f>VLOOKUP(P178,'护理记录单文书字典(数据)'!B$4:C$99,2,0)</f>
        <v>B750B8340CFAB2112E84DCC7EA528475</v>
      </c>
      <c r="C178" s="163" t="s">
        <v>2168</v>
      </c>
      <c r="D178" s="162" t="s">
        <v>2169</v>
      </c>
      <c r="E178" s="163" t="s">
        <v>2052</v>
      </c>
      <c r="F178" s="163">
        <v>1</v>
      </c>
      <c r="G178" s="163">
        <v>1</v>
      </c>
      <c r="H178" s="162" t="s">
        <v>2094</v>
      </c>
      <c r="I178" s="162"/>
      <c r="J178" s="162">
        <v>1</v>
      </c>
      <c r="K178" s="162" t="s">
        <v>162</v>
      </c>
      <c r="L178" s="162" t="s">
        <v>509</v>
      </c>
      <c r="M178" s="162" t="s">
        <v>535</v>
      </c>
      <c r="N178" s="162" t="s">
        <v>509</v>
      </c>
      <c r="O178" s="162" t="s">
        <v>535</v>
      </c>
      <c r="P178" s="162" t="s">
        <v>1005</v>
      </c>
    </row>
    <row r="179" spans="1:16" s="164" customFormat="1">
      <c r="A179" s="176"/>
      <c r="B179" s="14" t="str">
        <f>VLOOKUP(P179,'护理记录单文书字典(数据)'!B$4:C$99,2,0)</f>
        <v>B750B8340CFAB2112E84DCC7EA528475</v>
      </c>
      <c r="C179" s="163" t="s">
        <v>2170</v>
      </c>
      <c r="D179" s="162" t="s">
        <v>2171</v>
      </c>
      <c r="E179" s="163" t="s">
        <v>2052</v>
      </c>
      <c r="F179" s="163">
        <v>1</v>
      </c>
      <c r="G179" s="163">
        <v>1</v>
      </c>
      <c r="H179" s="162" t="s">
        <v>2094</v>
      </c>
      <c r="I179" s="162"/>
      <c r="J179" s="162">
        <v>1</v>
      </c>
      <c r="K179" s="162" t="s">
        <v>162</v>
      </c>
      <c r="L179" s="162" t="s">
        <v>509</v>
      </c>
      <c r="M179" s="162" t="s">
        <v>535</v>
      </c>
      <c r="N179" s="162" t="s">
        <v>509</v>
      </c>
      <c r="O179" s="162" t="s">
        <v>535</v>
      </c>
      <c r="P179" s="162" t="s">
        <v>1005</v>
      </c>
    </row>
    <row r="180" spans="1:16" s="164" customFormat="1">
      <c r="A180" s="176"/>
      <c r="B180" s="14" t="str">
        <f>VLOOKUP(P180,'护理记录单文书字典(数据)'!B$4:C$99,2,0)</f>
        <v>B750B8340CFAB2112E84DCC7EA528475</v>
      </c>
      <c r="C180" s="163" t="s">
        <v>2172</v>
      </c>
      <c r="D180" s="162" t="s">
        <v>2173</v>
      </c>
      <c r="E180" s="163" t="s">
        <v>2052</v>
      </c>
      <c r="F180" s="163">
        <v>1</v>
      </c>
      <c r="G180" s="163">
        <v>1</v>
      </c>
      <c r="H180" s="162" t="s">
        <v>2094</v>
      </c>
      <c r="I180" s="162"/>
      <c r="J180" s="162">
        <v>1</v>
      </c>
      <c r="K180" s="162" t="s">
        <v>162</v>
      </c>
      <c r="L180" s="162" t="s">
        <v>509</v>
      </c>
      <c r="M180" s="162" t="s">
        <v>535</v>
      </c>
      <c r="N180" s="162" t="s">
        <v>509</v>
      </c>
      <c r="O180" s="162" t="s">
        <v>535</v>
      </c>
      <c r="P180" s="162" t="s">
        <v>1005</v>
      </c>
    </row>
    <row r="181" spans="1:16" s="164" customFormat="1">
      <c r="A181" s="176"/>
      <c r="B181" s="14" t="str">
        <f>VLOOKUP(P181,'护理记录单文书字典(数据)'!B$4:C$99,2,0)</f>
        <v>B750B8340CFAB2112E84DCC7EA528475</v>
      </c>
      <c r="C181" s="163" t="s">
        <v>2174</v>
      </c>
      <c r="D181" s="162" t="s">
        <v>2175</v>
      </c>
      <c r="E181" s="163" t="s">
        <v>2052</v>
      </c>
      <c r="F181" s="163">
        <v>1</v>
      </c>
      <c r="G181" s="163">
        <v>1</v>
      </c>
      <c r="H181" s="162" t="s">
        <v>2094</v>
      </c>
      <c r="I181" s="162"/>
      <c r="J181" s="162">
        <v>1</v>
      </c>
      <c r="K181" s="162" t="s">
        <v>162</v>
      </c>
      <c r="L181" s="162" t="s">
        <v>509</v>
      </c>
      <c r="M181" s="162" t="s">
        <v>535</v>
      </c>
      <c r="N181" s="162" t="s">
        <v>509</v>
      </c>
      <c r="O181" s="162" t="s">
        <v>535</v>
      </c>
      <c r="P181" s="162" t="s">
        <v>1005</v>
      </c>
    </row>
    <row r="182" spans="1:16" s="164" customFormat="1">
      <c r="A182" s="176"/>
      <c r="B182" s="14" t="str">
        <f>VLOOKUP(P182,'护理记录单文书字典(数据)'!B$4:C$99,2,0)</f>
        <v>B750B8340CFAB2112E84DCC7EA528475</v>
      </c>
      <c r="C182" s="163" t="s">
        <v>2176</v>
      </c>
      <c r="D182" s="162" t="s">
        <v>2177</v>
      </c>
      <c r="E182" s="163" t="s">
        <v>2052</v>
      </c>
      <c r="F182" s="163">
        <v>1</v>
      </c>
      <c r="G182" s="163">
        <v>1</v>
      </c>
      <c r="H182" s="162" t="s">
        <v>2094</v>
      </c>
      <c r="I182" s="162"/>
      <c r="J182" s="162">
        <v>1</v>
      </c>
      <c r="K182" s="162" t="s">
        <v>162</v>
      </c>
      <c r="L182" s="162" t="s">
        <v>509</v>
      </c>
      <c r="M182" s="162" t="s">
        <v>535</v>
      </c>
      <c r="N182" s="162" t="s">
        <v>509</v>
      </c>
      <c r="O182" s="162" t="s">
        <v>535</v>
      </c>
      <c r="P182" s="162" t="s">
        <v>1005</v>
      </c>
    </row>
    <row r="183" spans="1:16" s="164" customFormat="1">
      <c r="A183" s="176"/>
      <c r="B183" s="14" t="str">
        <f>VLOOKUP(P183,'护理记录单文书字典(数据)'!B$4:C$99,2,0)</f>
        <v>B750B8340CFAB2112E84DCC7EA528475</v>
      </c>
      <c r="C183" s="163" t="s">
        <v>2178</v>
      </c>
      <c r="D183" s="162" t="s">
        <v>2179</v>
      </c>
      <c r="E183" s="163" t="s">
        <v>2052</v>
      </c>
      <c r="F183" s="163">
        <v>1</v>
      </c>
      <c r="G183" s="163">
        <v>1</v>
      </c>
      <c r="H183" s="162" t="s">
        <v>2094</v>
      </c>
      <c r="I183" s="162"/>
      <c r="J183" s="162">
        <v>1</v>
      </c>
      <c r="K183" s="162" t="s">
        <v>162</v>
      </c>
      <c r="L183" s="162" t="s">
        <v>509</v>
      </c>
      <c r="M183" s="162" t="s">
        <v>535</v>
      </c>
      <c r="N183" s="162" t="s">
        <v>509</v>
      </c>
      <c r="O183" s="162" t="s">
        <v>535</v>
      </c>
      <c r="P183" s="162" t="s">
        <v>1005</v>
      </c>
    </row>
    <row r="184" spans="1:16" s="164" customFormat="1">
      <c r="A184" s="176"/>
      <c r="B184" s="14" t="str">
        <f>VLOOKUP(P184,'护理记录单文书字典(数据)'!B$4:C$99,2,0)</f>
        <v>B750B8340CFAB2112E84DCC7EA528475</v>
      </c>
      <c r="C184" s="163" t="s">
        <v>2180</v>
      </c>
      <c r="D184" s="162" t="s">
        <v>2181</v>
      </c>
      <c r="E184" s="163" t="s">
        <v>2052</v>
      </c>
      <c r="F184" s="163">
        <v>1</v>
      </c>
      <c r="G184" s="163">
        <v>1</v>
      </c>
      <c r="H184" s="162" t="s">
        <v>2094</v>
      </c>
      <c r="I184" s="162"/>
      <c r="J184" s="162">
        <v>1</v>
      </c>
      <c r="K184" s="162" t="s">
        <v>162</v>
      </c>
      <c r="L184" s="162" t="s">
        <v>509</v>
      </c>
      <c r="M184" s="162" t="s">
        <v>535</v>
      </c>
      <c r="N184" s="162" t="s">
        <v>509</v>
      </c>
      <c r="O184" s="162" t="s">
        <v>535</v>
      </c>
      <c r="P184" s="162" t="s">
        <v>1005</v>
      </c>
    </row>
    <row r="185" spans="1:16" s="164" customFormat="1">
      <c r="A185" s="176"/>
      <c r="B185" s="14" t="str">
        <f>VLOOKUP(P185,'护理记录单文书字典(数据)'!B$4:C$99,2,0)</f>
        <v>B750B8340CFAB2112E84DCC7EA528475</v>
      </c>
      <c r="C185" s="163" t="s">
        <v>2182</v>
      </c>
      <c r="D185" s="162" t="s">
        <v>2183</v>
      </c>
      <c r="E185" s="163" t="s">
        <v>2052</v>
      </c>
      <c r="F185" s="163">
        <v>1</v>
      </c>
      <c r="G185" s="163">
        <v>1</v>
      </c>
      <c r="H185" s="162" t="s">
        <v>2094</v>
      </c>
      <c r="I185" s="162"/>
      <c r="J185" s="162">
        <v>1</v>
      </c>
      <c r="K185" s="162" t="s">
        <v>162</v>
      </c>
      <c r="L185" s="162" t="s">
        <v>509</v>
      </c>
      <c r="M185" s="162" t="s">
        <v>535</v>
      </c>
      <c r="N185" s="162" t="s">
        <v>509</v>
      </c>
      <c r="O185" s="162" t="s">
        <v>535</v>
      </c>
      <c r="P185" s="162" t="s">
        <v>1005</v>
      </c>
    </row>
    <row r="186" spans="1:16" s="164" customFormat="1">
      <c r="A186" s="176"/>
      <c r="B186" s="14" t="str">
        <f>VLOOKUP(P186,'护理记录单文书字典(数据)'!B$4:C$99,2,0)</f>
        <v>B750B8340CFAB2112E84DCC7EA528475</v>
      </c>
      <c r="C186" s="163" t="s">
        <v>2184</v>
      </c>
      <c r="D186" s="162" t="s">
        <v>2185</v>
      </c>
      <c r="E186" s="163" t="s">
        <v>2048</v>
      </c>
      <c r="F186" s="163">
        <v>1</v>
      </c>
      <c r="G186" s="163">
        <v>1</v>
      </c>
      <c r="H186" s="162"/>
      <c r="I186" s="162"/>
      <c r="J186" s="162">
        <v>1</v>
      </c>
      <c r="K186" s="162" t="s">
        <v>162</v>
      </c>
      <c r="L186" s="162" t="s">
        <v>509</v>
      </c>
      <c r="M186" s="162" t="s">
        <v>535</v>
      </c>
      <c r="N186" s="162" t="s">
        <v>509</v>
      </c>
      <c r="O186" s="162" t="s">
        <v>535</v>
      </c>
      <c r="P186" s="162" t="s">
        <v>1005</v>
      </c>
    </row>
    <row r="187" spans="1:16" s="164" customFormat="1">
      <c r="A187" s="176"/>
      <c r="B187" s="14" t="str">
        <f>VLOOKUP(P187,'护理记录单文书字典(数据)'!B$4:C$99,2,0)</f>
        <v>B750B8340CFAB2112E84DCC7EA528475</v>
      </c>
      <c r="C187" s="163" t="s">
        <v>2186</v>
      </c>
      <c r="D187" s="162" t="s">
        <v>4235</v>
      </c>
      <c r="E187" s="163" t="s">
        <v>2048</v>
      </c>
      <c r="F187" s="163">
        <v>1</v>
      </c>
      <c r="G187" s="163">
        <v>1</v>
      </c>
      <c r="H187" s="162"/>
      <c r="I187" s="162"/>
      <c r="J187" s="162">
        <v>1</v>
      </c>
      <c r="K187" s="162" t="s">
        <v>162</v>
      </c>
      <c r="L187" s="162" t="s">
        <v>509</v>
      </c>
      <c r="M187" s="162" t="s">
        <v>535</v>
      </c>
      <c r="N187" s="162" t="s">
        <v>509</v>
      </c>
      <c r="O187" s="162" t="s">
        <v>535</v>
      </c>
      <c r="P187" s="162" t="s">
        <v>1005</v>
      </c>
    </row>
    <row r="188" spans="1:16" s="164" customFormat="1">
      <c r="A188" s="176"/>
      <c r="B188" s="14" t="str">
        <f>VLOOKUP(P188,'护理记录单文书字典(数据)'!B$4:C$99,2,0)</f>
        <v>B750B8340CFAB2112E84DCC7EA528475</v>
      </c>
      <c r="C188" s="163" t="s">
        <v>2187</v>
      </c>
      <c r="D188" s="162" t="s">
        <v>2188</v>
      </c>
      <c r="E188" s="163" t="s">
        <v>2104</v>
      </c>
      <c r="F188" s="163">
        <v>1</v>
      </c>
      <c r="G188" s="163">
        <v>1</v>
      </c>
      <c r="H188" s="162"/>
      <c r="I188" s="162"/>
      <c r="J188" s="162">
        <v>1</v>
      </c>
      <c r="K188" s="162" t="s">
        <v>162</v>
      </c>
      <c r="L188" s="162" t="s">
        <v>509</v>
      </c>
      <c r="M188" s="162" t="s">
        <v>535</v>
      </c>
      <c r="N188" s="162" t="s">
        <v>509</v>
      </c>
      <c r="O188" s="162" t="s">
        <v>535</v>
      </c>
      <c r="P188" s="162" t="s">
        <v>1005</v>
      </c>
    </row>
    <row r="189" spans="1:16" s="164" customFormat="1">
      <c r="A189" s="176"/>
      <c r="B189" s="14" t="str">
        <f>VLOOKUP(P189,'护理记录单文书字典(数据)'!B$4:C$99,2,0)</f>
        <v>B750B8340CFAB2112E84DCC7EA528475</v>
      </c>
      <c r="C189" s="163" t="s">
        <v>2189</v>
      </c>
      <c r="D189" s="162" t="s">
        <v>4236</v>
      </c>
      <c r="E189" s="163" t="s">
        <v>2104</v>
      </c>
      <c r="F189" s="163">
        <v>1</v>
      </c>
      <c r="G189" s="163">
        <v>1</v>
      </c>
      <c r="H189" s="162"/>
      <c r="I189" s="162"/>
      <c r="J189" s="162">
        <v>1</v>
      </c>
      <c r="K189" s="162" t="s">
        <v>162</v>
      </c>
      <c r="L189" s="162" t="s">
        <v>509</v>
      </c>
      <c r="M189" s="162" t="s">
        <v>535</v>
      </c>
      <c r="N189" s="162" t="s">
        <v>509</v>
      </c>
      <c r="O189" s="162" t="s">
        <v>535</v>
      </c>
      <c r="P189" s="162" t="s">
        <v>1005</v>
      </c>
    </row>
    <row r="190" spans="1:16" s="164" customFormat="1">
      <c r="A190" s="176"/>
      <c r="B190" s="14" t="str">
        <f>VLOOKUP(P190,'护理记录单文书字典(数据)'!B$4:C$99,2,0)</f>
        <v>B750B8340CFAB2112E84DCC7EA528475</v>
      </c>
      <c r="C190" s="163" t="s">
        <v>2190</v>
      </c>
      <c r="D190" s="162" t="s">
        <v>2191</v>
      </c>
      <c r="E190" s="163" t="s">
        <v>2048</v>
      </c>
      <c r="F190" s="163">
        <v>1</v>
      </c>
      <c r="G190" s="163">
        <v>1</v>
      </c>
      <c r="H190" s="162"/>
      <c r="I190" s="162"/>
      <c r="J190" s="162">
        <v>1</v>
      </c>
      <c r="K190" s="162" t="s">
        <v>162</v>
      </c>
      <c r="L190" s="162" t="s">
        <v>509</v>
      </c>
      <c r="M190" s="162" t="s">
        <v>535</v>
      </c>
      <c r="N190" s="162" t="s">
        <v>509</v>
      </c>
      <c r="O190" s="162" t="s">
        <v>535</v>
      </c>
      <c r="P190" s="162" t="s">
        <v>1005</v>
      </c>
    </row>
    <row r="191" spans="1:16" s="164" customFormat="1">
      <c r="A191" s="176"/>
      <c r="B191" s="14" t="str">
        <f>VLOOKUP(P191,'护理记录单文书字典(数据)'!B$4:C$99,2,0)</f>
        <v>B750B8340CFAB2112E84DCC7EA528475</v>
      </c>
      <c r="C191" s="163" t="s">
        <v>2192</v>
      </c>
      <c r="D191" s="162" t="s">
        <v>2193</v>
      </c>
      <c r="E191" s="163" t="s">
        <v>2052</v>
      </c>
      <c r="F191" s="163">
        <v>1</v>
      </c>
      <c r="G191" s="163">
        <v>1</v>
      </c>
      <c r="H191" s="162" t="s">
        <v>2094</v>
      </c>
      <c r="I191" s="162"/>
      <c r="J191" s="162">
        <v>1</v>
      </c>
      <c r="K191" s="162" t="s">
        <v>162</v>
      </c>
      <c r="L191" s="162" t="s">
        <v>509</v>
      </c>
      <c r="M191" s="162" t="s">
        <v>535</v>
      </c>
      <c r="N191" s="162" t="s">
        <v>509</v>
      </c>
      <c r="O191" s="162" t="s">
        <v>535</v>
      </c>
      <c r="P191" s="162" t="s">
        <v>1005</v>
      </c>
    </row>
    <row r="192" spans="1:16" s="164" customFormat="1">
      <c r="A192" s="176"/>
      <c r="B192" s="14" t="str">
        <f>VLOOKUP(P192,'护理记录单文书字典(数据)'!B$4:C$99,2,0)</f>
        <v>B750B8340CFAB2112E84DCC7EA528475</v>
      </c>
      <c r="C192" s="163" t="s">
        <v>2194</v>
      </c>
      <c r="D192" s="162" t="s">
        <v>2195</v>
      </c>
      <c r="E192" s="163" t="s">
        <v>2052</v>
      </c>
      <c r="F192" s="163">
        <v>1</v>
      </c>
      <c r="G192" s="163">
        <v>1</v>
      </c>
      <c r="H192" s="162" t="s">
        <v>2094</v>
      </c>
      <c r="I192" s="162"/>
      <c r="J192" s="162">
        <v>1</v>
      </c>
      <c r="K192" s="162" t="s">
        <v>162</v>
      </c>
      <c r="L192" s="162" t="s">
        <v>509</v>
      </c>
      <c r="M192" s="162" t="s">
        <v>535</v>
      </c>
      <c r="N192" s="162" t="s">
        <v>509</v>
      </c>
      <c r="O192" s="162" t="s">
        <v>535</v>
      </c>
      <c r="P192" s="162" t="s">
        <v>1005</v>
      </c>
    </row>
    <row r="193" spans="1:16" s="164" customFormat="1">
      <c r="A193" s="176"/>
      <c r="B193" s="14" t="str">
        <f>VLOOKUP(P193,'护理记录单文书字典(数据)'!B$4:C$99,2,0)</f>
        <v>B750B8340CFAB2112E84DCC7EA528475</v>
      </c>
      <c r="C193" s="163" t="s">
        <v>2196</v>
      </c>
      <c r="D193" s="162" t="s">
        <v>2197</v>
      </c>
      <c r="E193" s="163" t="s">
        <v>2052</v>
      </c>
      <c r="F193" s="163">
        <v>1</v>
      </c>
      <c r="G193" s="163">
        <v>1</v>
      </c>
      <c r="H193" s="162" t="s">
        <v>2094</v>
      </c>
      <c r="I193" s="162"/>
      <c r="J193" s="162">
        <v>1</v>
      </c>
      <c r="K193" s="162" t="s">
        <v>162</v>
      </c>
      <c r="L193" s="162" t="s">
        <v>509</v>
      </c>
      <c r="M193" s="162" t="s">
        <v>535</v>
      </c>
      <c r="N193" s="162" t="s">
        <v>509</v>
      </c>
      <c r="O193" s="162" t="s">
        <v>535</v>
      </c>
      <c r="P193" s="162" t="s">
        <v>1005</v>
      </c>
    </row>
    <row r="194" spans="1:16" s="164" customFormat="1">
      <c r="A194" s="176"/>
      <c r="B194" s="14" t="str">
        <f>VLOOKUP(P194,'护理记录单文书字典(数据)'!B$4:C$99,2,0)</f>
        <v>B750B8340CFAB2112E84DCC7EA528475</v>
      </c>
      <c r="C194" s="163" t="s">
        <v>2198</v>
      </c>
      <c r="D194" s="162" t="s">
        <v>2199</v>
      </c>
      <c r="E194" s="163" t="s">
        <v>2052</v>
      </c>
      <c r="F194" s="163">
        <v>1</v>
      </c>
      <c r="G194" s="163">
        <v>1</v>
      </c>
      <c r="H194" s="162" t="s">
        <v>2094</v>
      </c>
      <c r="I194" s="162"/>
      <c r="J194" s="162">
        <v>1</v>
      </c>
      <c r="K194" s="162" t="s">
        <v>162</v>
      </c>
      <c r="L194" s="162" t="s">
        <v>509</v>
      </c>
      <c r="M194" s="162" t="s">
        <v>535</v>
      </c>
      <c r="N194" s="162" t="s">
        <v>509</v>
      </c>
      <c r="O194" s="162" t="s">
        <v>535</v>
      </c>
      <c r="P194" s="162" t="s">
        <v>1005</v>
      </c>
    </row>
    <row r="195" spans="1:16" s="164" customFormat="1">
      <c r="A195" s="176"/>
      <c r="B195" s="14" t="str">
        <f>VLOOKUP(P195,'护理记录单文书字典(数据)'!B$4:C$99,2,0)</f>
        <v>B750B8340CFAB2112E84DCC7EA528475</v>
      </c>
      <c r="C195" s="163" t="s">
        <v>2200</v>
      </c>
      <c r="D195" s="162" t="s">
        <v>2201</v>
      </c>
      <c r="E195" s="163" t="s">
        <v>2052</v>
      </c>
      <c r="F195" s="163">
        <v>1</v>
      </c>
      <c r="G195" s="163">
        <v>1</v>
      </c>
      <c r="H195" s="162" t="s">
        <v>2094</v>
      </c>
      <c r="I195" s="162"/>
      <c r="J195" s="162">
        <v>1</v>
      </c>
      <c r="K195" s="162" t="s">
        <v>162</v>
      </c>
      <c r="L195" s="162" t="s">
        <v>509</v>
      </c>
      <c r="M195" s="162" t="s">
        <v>535</v>
      </c>
      <c r="N195" s="162" t="s">
        <v>509</v>
      </c>
      <c r="O195" s="162" t="s">
        <v>535</v>
      </c>
      <c r="P195" s="162" t="s">
        <v>1005</v>
      </c>
    </row>
    <row r="196" spans="1:16" s="164" customFormat="1">
      <c r="A196" s="176"/>
      <c r="B196" s="14" t="str">
        <f>VLOOKUP(P196,'护理记录单文书字典(数据)'!B$4:C$99,2,0)</f>
        <v>B750B8340CFAB2112E84DCC7EA528475</v>
      </c>
      <c r="C196" s="163" t="s">
        <v>2202</v>
      </c>
      <c r="D196" s="162" t="s">
        <v>2203</v>
      </c>
      <c r="E196" s="163" t="s">
        <v>2052</v>
      </c>
      <c r="F196" s="163">
        <v>1</v>
      </c>
      <c r="G196" s="163">
        <v>1</v>
      </c>
      <c r="H196" s="162" t="s">
        <v>2094</v>
      </c>
      <c r="I196" s="162"/>
      <c r="J196" s="162">
        <v>1</v>
      </c>
      <c r="K196" s="162" t="s">
        <v>162</v>
      </c>
      <c r="L196" s="162" t="s">
        <v>509</v>
      </c>
      <c r="M196" s="162" t="s">
        <v>535</v>
      </c>
      <c r="N196" s="162" t="s">
        <v>509</v>
      </c>
      <c r="O196" s="162" t="s">
        <v>535</v>
      </c>
      <c r="P196" s="162" t="s">
        <v>1005</v>
      </c>
    </row>
    <row r="197" spans="1:16" s="164" customFormat="1">
      <c r="A197" s="176"/>
      <c r="B197" s="14" t="str">
        <f>VLOOKUP(P197,'护理记录单文书字典(数据)'!B$4:C$99,2,0)</f>
        <v>B750B8340CFAB2112E84DCC7EA528475</v>
      </c>
      <c r="C197" s="163" t="s">
        <v>2204</v>
      </c>
      <c r="D197" s="162" t="s">
        <v>2205</v>
      </c>
      <c r="E197" s="163" t="s">
        <v>2052</v>
      </c>
      <c r="F197" s="163">
        <v>1</v>
      </c>
      <c r="G197" s="163">
        <v>1</v>
      </c>
      <c r="H197" s="162" t="s">
        <v>2094</v>
      </c>
      <c r="I197" s="162"/>
      <c r="J197" s="162">
        <v>1</v>
      </c>
      <c r="K197" s="162" t="s">
        <v>162</v>
      </c>
      <c r="L197" s="162" t="s">
        <v>509</v>
      </c>
      <c r="M197" s="162" t="s">
        <v>535</v>
      </c>
      <c r="N197" s="162" t="s">
        <v>509</v>
      </c>
      <c r="O197" s="162" t="s">
        <v>535</v>
      </c>
      <c r="P197" s="162" t="s">
        <v>1005</v>
      </c>
    </row>
    <row r="198" spans="1:16" s="164" customFormat="1">
      <c r="A198" s="176"/>
      <c r="B198" s="14" t="str">
        <f>VLOOKUP(P198,'护理记录单文书字典(数据)'!B$4:C$99,2,0)</f>
        <v>B750B8340CFAB2112E84DCC7EA528475</v>
      </c>
      <c r="C198" s="163" t="s">
        <v>2206</v>
      </c>
      <c r="D198" s="162" t="s">
        <v>2207</v>
      </c>
      <c r="E198" s="163" t="s">
        <v>2052</v>
      </c>
      <c r="F198" s="163">
        <v>1</v>
      </c>
      <c r="G198" s="163">
        <v>1</v>
      </c>
      <c r="H198" s="162" t="s">
        <v>2094</v>
      </c>
      <c r="I198" s="162"/>
      <c r="J198" s="162">
        <v>1</v>
      </c>
      <c r="K198" s="162" t="s">
        <v>162</v>
      </c>
      <c r="L198" s="162" t="s">
        <v>509</v>
      </c>
      <c r="M198" s="162" t="s">
        <v>535</v>
      </c>
      <c r="N198" s="162" t="s">
        <v>509</v>
      </c>
      <c r="O198" s="162" t="s">
        <v>535</v>
      </c>
      <c r="P198" s="162" t="s">
        <v>1005</v>
      </c>
    </row>
    <row r="199" spans="1:16" s="164" customFormat="1">
      <c r="A199" s="176"/>
      <c r="B199" s="14" t="str">
        <f>VLOOKUP(P199,'护理记录单文书字典(数据)'!B$4:C$99,2,0)</f>
        <v>B750B8340CFAB2112E84DCC7EA528475</v>
      </c>
      <c r="C199" s="163" t="s">
        <v>2208</v>
      </c>
      <c r="D199" s="162" t="s">
        <v>2209</v>
      </c>
      <c r="E199" s="163" t="s">
        <v>2052</v>
      </c>
      <c r="F199" s="163">
        <v>1</v>
      </c>
      <c r="G199" s="163">
        <v>1</v>
      </c>
      <c r="H199" s="162" t="s">
        <v>2094</v>
      </c>
      <c r="I199" s="162"/>
      <c r="J199" s="162">
        <v>1</v>
      </c>
      <c r="K199" s="162" t="s">
        <v>162</v>
      </c>
      <c r="L199" s="162" t="s">
        <v>509</v>
      </c>
      <c r="M199" s="162" t="s">
        <v>535</v>
      </c>
      <c r="N199" s="162" t="s">
        <v>509</v>
      </c>
      <c r="O199" s="162" t="s">
        <v>535</v>
      </c>
      <c r="P199" s="162" t="s">
        <v>1005</v>
      </c>
    </row>
    <row r="200" spans="1:16" s="164" customFormat="1">
      <c r="A200" s="176"/>
      <c r="B200" s="14" t="str">
        <f>VLOOKUP(P200,'护理记录单文书字典(数据)'!B$4:C$99,2,0)</f>
        <v>B750B8340CFAB2112E84DCC7EA528475</v>
      </c>
      <c r="C200" s="163" t="s">
        <v>2210</v>
      </c>
      <c r="D200" s="162" t="s">
        <v>2211</v>
      </c>
      <c r="E200" s="163" t="s">
        <v>2052</v>
      </c>
      <c r="F200" s="163">
        <v>1</v>
      </c>
      <c r="G200" s="163">
        <v>1</v>
      </c>
      <c r="H200" s="162" t="s">
        <v>2094</v>
      </c>
      <c r="I200" s="162"/>
      <c r="J200" s="162">
        <v>1</v>
      </c>
      <c r="K200" s="162" t="s">
        <v>162</v>
      </c>
      <c r="L200" s="162" t="s">
        <v>509</v>
      </c>
      <c r="M200" s="162" t="s">
        <v>535</v>
      </c>
      <c r="N200" s="162" t="s">
        <v>509</v>
      </c>
      <c r="O200" s="162" t="s">
        <v>535</v>
      </c>
      <c r="P200" s="162" t="s">
        <v>1005</v>
      </c>
    </row>
    <row r="201" spans="1:16" s="164" customFormat="1">
      <c r="A201" s="176"/>
      <c r="B201" s="14" t="str">
        <f>VLOOKUP(P201,'护理记录单文书字典(数据)'!B$4:C$99,2,0)</f>
        <v>B750B8340CFAB2112E84DCC7EA528475</v>
      </c>
      <c r="C201" s="163" t="s">
        <v>2212</v>
      </c>
      <c r="D201" s="162" t="s">
        <v>2213</v>
      </c>
      <c r="E201" s="163" t="s">
        <v>2052</v>
      </c>
      <c r="F201" s="163">
        <v>1</v>
      </c>
      <c r="G201" s="163">
        <v>1</v>
      </c>
      <c r="H201" s="162" t="s">
        <v>2094</v>
      </c>
      <c r="I201" s="162"/>
      <c r="J201" s="162">
        <v>1</v>
      </c>
      <c r="K201" s="162" t="s">
        <v>162</v>
      </c>
      <c r="L201" s="162" t="s">
        <v>509</v>
      </c>
      <c r="M201" s="162" t="s">
        <v>535</v>
      </c>
      <c r="N201" s="162" t="s">
        <v>509</v>
      </c>
      <c r="O201" s="162" t="s">
        <v>535</v>
      </c>
      <c r="P201" s="162" t="s">
        <v>1005</v>
      </c>
    </row>
    <row r="202" spans="1:16" s="164" customFormat="1">
      <c r="A202" s="176"/>
      <c r="B202" s="14" t="str">
        <f>VLOOKUP(P202,'护理记录单文书字典(数据)'!B$4:C$99,2,0)</f>
        <v>B750B8340CFAB2112E84DCC7EA528475</v>
      </c>
      <c r="C202" s="163" t="s">
        <v>2214</v>
      </c>
      <c r="D202" s="162" t="s">
        <v>2215</v>
      </c>
      <c r="E202" s="163" t="s">
        <v>2048</v>
      </c>
      <c r="F202" s="163">
        <v>1</v>
      </c>
      <c r="G202" s="163">
        <v>1</v>
      </c>
      <c r="H202" s="162"/>
      <c r="I202" s="162"/>
      <c r="J202" s="162">
        <v>1</v>
      </c>
      <c r="K202" s="162" t="s">
        <v>162</v>
      </c>
      <c r="L202" s="162" t="s">
        <v>509</v>
      </c>
      <c r="M202" s="162" t="s">
        <v>535</v>
      </c>
      <c r="N202" s="162" t="s">
        <v>509</v>
      </c>
      <c r="O202" s="162" t="s">
        <v>535</v>
      </c>
      <c r="P202" s="162" t="s">
        <v>1005</v>
      </c>
    </row>
    <row r="203" spans="1:16" s="164" customFormat="1">
      <c r="A203" s="176"/>
      <c r="B203" s="14" t="str">
        <f>VLOOKUP(P203,'护理记录单文书字典(数据)'!B$4:C$99,2,0)</f>
        <v>B750B8340CFAB2112E84DCC7EA528475</v>
      </c>
      <c r="C203" s="163" t="s">
        <v>2216</v>
      </c>
      <c r="D203" s="162" t="s">
        <v>2217</v>
      </c>
      <c r="E203" s="163" t="s">
        <v>2048</v>
      </c>
      <c r="F203" s="163">
        <v>1</v>
      </c>
      <c r="G203" s="163">
        <v>1</v>
      </c>
      <c r="H203" s="162"/>
      <c r="I203" s="162"/>
      <c r="J203" s="162">
        <v>1</v>
      </c>
      <c r="K203" s="162" t="s">
        <v>162</v>
      </c>
      <c r="L203" s="162" t="s">
        <v>509</v>
      </c>
      <c r="M203" s="162" t="s">
        <v>535</v>
      </c>
      <c r="N203" s="162" t="s">
        <v>509</v>
      </c>
      <c r="O203" s="162" t="s">
        <v>535</v>
      </c>
      <c r="P203" s="162" t="s">
        <v>1005</v>
      </c>
    </row>
    <row r="204" spans="1:16" s="164" customFormat="1">
      <c r="A204" s="176"/>
      <c r="B204" s="14" t="str">
        <f>VLOOKUP(P204,'护理记录单文书字典(数据)'!B$4:C$99,2,0)</f>
        <v>B750B8340CFAB2112E84DCC7EA528475</v>
      </c>
      <c r="C204" s="163" t="s">
        <v>2218</v>
      </c>
      <c r="D204" s="162" t="s">
        <v>2219</v>
      </c>
      <c r="E204" s="163" t="s">
        <v>2104</v>
      </c>
      <c r="F204" s="163">
        <v>1</v>
      </c>
      <c r="G204" s="163">
        <v>1</v>
      </c>
      <c r="H204" s="162"/>
      <c r="I204" s="162"/>
      <c r="J204" s="162">
        <v>1</v>
      </c>
      <c r="K204" s="162" t="s">
        <v>162</v>
      </c>
      <c r="L204" s="162" t="s">
        <v>509</v>
      </c>
      <c r="M204" s="162" t="s">
        <v>535</v>
      </c>
      <c r="N204" s="162" t="s">
        <v>509</v>
      </c>
      <c r="O204" s="162" t="s">
        <v>535</v>
      </c>
      <c r="P204" s="162" t="s">
        <v>1005</v>
      </c>
    </row>
    <row r="205" spans="1:16" s="164" customFormat="1">
      <c r="A205" s="176"/>
      <c r="B205" s="14" t="str">
        <f>VLOOKUP(P205,'护理记录单文书字典(数据)'!B$4:C$99,2,0)</f>
        <v>B750B8340CFAB2112E84DCC7EA528475</v>
      </c>
      <c r="C205" s="163" t="s">
        <v>2220</v>
      </c>
      <c r="D205" s="162" t="s">
        <v>2221</v>
      </c>
      <c r="E205" s="163" t="s">
        <v>2104</v>
      </c>
      <c r="F205" s="163">
        <v>1</v>
      </c>
      <c r="G205" s="163">
        <v>1</v>
      </c>
      <c r="H205" s="162"/>
      <c r="I205" s="162"/>
      <c r="J205" s="162">
        <v>1</v>
      </c>
      <c r="K205" s="162" t="s">
        <v>162</v>
      </c>
      <c r="L205" s="162" t="s">
        <v>509</v>
      </c>
      <c r="M205" s="162" t="s">
        <v>535</v>
      </c>
      <c r="N205" s="162" t="s">
        <v>509</v>
      </c>
      <c r="O205" s="162" t="s">
        <v>535</v>
      </c>
      <c r="P205" s="162" t="s">
        <v>1005</v>
      </c>
    </row>
    <row r="206" spans="1:16" s="164" customFormat="1">
      <c r="A206" s="176"/>
      <c r="B206" s="14" t="str">
        <f>VLOOKUP(P206,'护理记录单文书字典(数据)'!B$4:C$99,2,0)</f>
        <v>B750B8340CFAB2112E84DCC7EA528475</v>
      </c>
      <c r="C206" s="163" t="s">
        <v>2222</v>
      </c>
      <c r="D206" s="162" t="s">
        <v>2223</v>
      </c>
      <c r="E206" s="163" t="s">
        <v>2048</v>
      </c>
      <c r="F206" s="163">
        <v>1</v>
      </c>
      <c r="G206" s="163">
        <v>1</v>
      </c>
      <c r="H206" s="162"/>
      <c r="I206" s="162"/>
      <c r="J206" s="162">
        <v>1</v>
      </c>
      <c r="K206" s="162" t="s">
        <v>162</v>
      </c>
      <c r="L206" s="162" t="s">
        <v>509</v>
      </c>
      <c r="M206" s="162" t="s">
        <v>535</v>
      </c>
      <c r="N206" s="162" t="s">
        <v>509</v>
      </c>
      <c r="O206" s="162" t="s">
        <v>535</v>
      </c>
      <c r="P206" s="162" t="s">
        <v>1005</v>
      </c>
    </row>
    <row r="207" spans="1:16" s="164" customFormat="1">
      <c r="A207" s="176"/>
      <c r="B207" s="14" t="str">
        <f>VLOOKUP(P207,'护理记录单文书字典(数据)'!B$4:C$99,2,0)</f>
        <v>B750B8340CFAB2112E84DCC7EA528475</v>
      </c>
      <c r="C207" s="163" t="s">
        <v>2224</v>
      </c>
      <c r="D207" s="162" t="s">
        <v>2225</v>
      </c>
      <c r="E207" s="163" t="s">
        <v>2052</v>
      </c>
      <c r="F207" s="163">
        <v>1</v>
      </c>
      <c r="G207" s="163">
        <v>1</v>
      </c>
      <c r="H207" s="162" t="s">
        <v>2094</v>
      </c>
      <c r="I207" s="162"/>
      <c r="J207" s="162">
        <v>1</v>
      </c>
      <c r="K207" s="162" t="s">
        <v>162</v>
      </c>
      <c r="L207" s="162" t="s">
        <v>509</v>
      </c>
      <c r="M207" s="162" t="s">
        <v>535</v>
      </c>
      <c r="N207" s="162" t="s">
        <v>509</v>
      </c>
      <c r="O207" s="162" t="s">
        <v>535</v>
      </c>
      <c r="P207" s="162" t="s">
        <v>1005</v>
      </c>
    </row>
    <row r="208" spans="1:16" s="164" customFormat="1">
      <c r="A208" s="176"/>
      <c r="B208" s="14" t="str">
        <f>VLOOKUP(P208,'护理记录单文书字典(数据)'!B$4:C$99,2,0)</f>
        <v>B750B8340CFAB2112E84DCC7EA528475</v>
      </c>
      <c r="C208" s="163" t="s">
        <v>2226</v>
      </c>
      <c r="D208" s="162" t="s">
        <v>2227</v>
      </c>
      <c r="E208" s="163" t="s">
        <v>2052</v>
      </c>
      <c r="F208" s="163">
        <v>1</v>
      </c>
      <c r="G208" s="163">
        <v>1</v>
      </c>
      <c r="H208" s="162" t="s">
        <v>2094</v>
      </c>
      <c r="I208" s="162"/>
      <c r="J208" s="162">
        <v>1</v>
      </c>
      <c r="K208" s="162" t="s">
        <v>162</v>
      </c>
      <c r="L208" s="162" t="s">
        <v>509</v>
      </c>
      <c r="M208" s="162" t="s">
        <v>535</v>
      </c>
      <c r="N208" s="162" t="s">
        <v>509</v>
      </c>
      <c r="O208" s="162" t="s">
        <v>535</v>
      </c>
      <c r="P208" s="162" t="s">
        <v>1005</v>
      </c>
    </row>
    <row r="209" spans="1:16" s="164" customFormat="1">
      <c r="A209" s="176"/>
      <c r="B209" s="14" t="str">
        <f>VLOOKUP(P209,'护理记录单文书字典(数据)'!B$4:C$99,2,0)</f>
        <v>B750B8340CFAB2112E84DCC7EA528475</v>
      </c>
      <c r="C209" s="163" t="s">
        <v>2228</v>
      </c>
      <c r="D209" s="162" t="s">
        <v>2229</v>
      </c>
      <c r="E209" s="163" t="s">
        <v>2052</v>
      </c>
      <c r="F209" s="163">
        <v>1</v>
      </c>
      <c r="G209" s="163">
        <v>1</v>
      </c>
      <c r="H209" s="162" t="s">
        <v>2094</v>
      </c>
      <c r="I209" s="162"/>
      <c r="J209" s="162">
        <v>1</v>
      </c>
      <c r="K209" s="162" t="s">
        <v>162</v>
      </c>
      <c r="L209" s="162" t="s">
        <v>509</v>
      </c>
      <c r="M209" s="162" t="s">
        <v>535</v>
      </c>
      <c r="N209" s="162" t="s">
        <v>509</v>
      </c>
      <c r="O209" s="162" t="s">
        <v>535</v>
      </c>
      <c r="P209" s="162" t="s">
        <v>1005</v>
      </c>
    </row>
    <row r="210" spans="1:16" s="164" customFormat="1">
      <c r="A210" s="176"/>
      <c r="B210" s="14" t="str">
        <f>VLOOKUP(P210,'护理记录单文书字典(数据)'!B$4:C$99,2,0)</f>
        <v>B750B8340CFAB2112E84DCC7EA528475</v>
      </c>
      <c r="C210" s="163" t="s">
        <v>2230</v>
      </c>
      <c r="D210" s="162" t="s">
        <v>2231</v>
      </c>
      <c r="E210" s="163" t="s">
        <v>2052</v>
      </c>
      <c r="F210" s="163">
        <v>1</v>
      </c>
      <c r="G210" s="163">
        <v>1</v>
      </c>
      <c r="H210" s="162" t="s">
        <v>2094</v>
      </c>
      <c r="I210" s="162"/>
      <c r="J210" s="162">
        <v>1</v>
      </c>
      <c r="K210" s="162" t="s">
        <v>162</v>
      </c>
      <c r="L210" s="162" t="s">
        <v>509</v>
      </c>
      <c r="M210" s="162" t="s">
        <v>535</v>
      </c>
      <c r="N210" s="162" t="s">
        <v>509</v>
      </c>
      <c r="O210" s="162" t="s">
        <v>535</v>
      </c>
      <c r="P210" s="162" t="s">
        <v>1005</v>
      </c>
    </row>
    <row r="211" spans="1:16" s="164" customFormat="1">
      <c r="A211" s="176"/>
      <c r="B211" s="14" t="str">
        <f>VLOOKUP(P211,'护理记录单文书字典(数据)'!B$4:C$99,2,0)</f>
        <v>B750B8340CFAB2112E84DCC7EA528475</v>
      </c>
      <c r="C211" s="163" t="s">
        <v>2232</v>
      </c>
      <c r="D211" s="162" t="s">
        <v>2233</v>
      </c>
      <c r="E211" s="163" t="s">
        <v>2052</v>
      </c>
      <c r="F211" s="163">
        <v>1</v>
      </c>
      <c r="G211" s="163">
        <v>1</v>
      </c>
      <c r="H211" s="162" t="s">
        <v>2094</v>
      </c>
      <c r="I211" s="162"/>
      <c r="J211" s="162">
        <v>1</v>
      </c>
      <c r="K211" s="162" t="s">
        <v>162</v>
      </c>
      <c r="L211" s="162" t="s">
        <v>509</v>
      </c>
      <c r="M211" s="162" t="s">
        <v>535</v>
      </c>
      <c r="N211" s="162" t="s">
        <v>509</v>
      </c>
      <c r="O211" s="162" t="s">
        <v>535</v>
      </c>
      <c r="P211" s="162" t="s">
        <v>1005</v>
      </c>
    </row>
    <row r="212" spans="1:16" s="164" customFormat="1">
      <c r="A212" s="176"/>
      <c r="B212" s="14" t="str">
        <f>VLOOKUP(P212,'护理记录单文书字典(数据)'!B$4:C$99,2,0)</f>
        <v>B750B8340CFAB2112E84DCC7EA528475</v>
      </c>
      <c r="C212" s="163" t="s">
        <v>2234</v>
      </c>
      <c r="D212" s="162" t="s">
        <v>2235</v>
      </c>
      <c r="E212" s="163" t="s">
        <v>2052</v>
      </c>
      <c r="F212" s="163">
        <v>1</v>
      </c>
      <c r="G212" s="163">
        <v>1</v>
      </c>
      <c r="H212" s="162" t="s">
        <v>2094</v>
      </c>
      <c r="I212" s="162"/>
      <c r="J212" s="162">
        <v>1</v>
      </c>
      <c r="K212" s="162" t="s">
        <v>162</v>
      </c>
      <c r="L212" s="162" t="s">
        <v>509</v>
      </c>
      <c r="M212" s="162" t="s">
        <v>535</v>
      </c>
      <c r="N212" s="162" t="s">
        <v>509</v>
      </c>
      <c r="O212" s="162" t="s">
        <v>535</v>
      </c>
      <c r="P212" s="162" t="s">
        <v>1005</v>
      </c>
    </row>
    <row r="213" spans="1:16" s="164" customFormat="1">
      <c r="A213" s="176"/>
      <c r="B213" s="14" t="str">
        <f>VLOOKUP(P213,'护理记录单文书字典(数据)'!B$4:C$99,2,0)</f>
        <v>B750B8340CFAB2112E84DCC7EA528475</v>
      </c>
      <c r="C213" s="163" t="s">
        <v>2236</v>
      </c>
      <c r="D213" s="162" t="s">
        <v>2237</v>
      </c>
      <c r="E213" s="163" t="s">
        <v>2052</v>
      </c>
      <c r="F213" s="163">
        <v>1</v>
      </c>
      <c r="G213" s="163">
        <v>1</v>
      </c>
      <c r="H213" s="162" t="s">
        <v>2094</v>
      </c>
      <c r="I213" s="162"/>
      <c r="J213" s="162">
        <v>1</v>
      </c>
      <c r="K213" s="162" t="s">
        <v>162</v>
      </c>
      <c r="L213" s="162" t="s">
        <v>509</v>
      </c>
      <c r="M213" s="162" t="s">
        <v>535</v>
      </c>
      <c r="N213" s="162" t="s">
        <v>509</v>
      </c>
      <c r="O213" s="162" t="s">
        <v>535</v>
      </c>
      <c r="P213" s="162" t="s">
        <v>1005</v>
      </c>
    </row>
    <row r="214" spans="1:16" s="164" customFormat="1">
      <c r="A214" s="176"/>
      <c r="B214" s="14" t="str">
        <f>VLOOKUP(P214,'护理记录单文书字典(数据)'!B$4:C$99,2,0)</f>
        <v>B750B8340CFAB2112E84DCC7EA528475</v>
      </c>
      <c r="C214" s="163" t="s">
        <v>2238</v>
      </c>
      <c r="D214" s="162" t="s">
        <v>2239</v>
      </c>
      <c r="E214" s="163" t="s">
        <v>2052</v>
      </c>
      <c r="F214" s="163">
        <v>1</v>
      </c>
      <c r="G214" s="163">
        <v>1</v>
      </c>
      <c r="H214" s="162" t="s">
        <v>2094</v>
      </c>
      <c r="I214" s="162"/>
      <c r="J214" s="162">
        <v>1</v>
      </c>
      <c r="K214" s="162" t="s">
        <v>162</v>
      </c>
      <c r="L214" s="162" t="s">
        <v>509</v>
      </c>
      <c r="M214" s="162" t="s">
        <v>535</v>
      </c>
      <c r="N214" s="162" t="s">
        <v>509</v>
      </c>
      <c r="O214" s="162" t="s">
        <v>535</v>
      </c>
      <c r="P214" s="162" t="s">
        <v>1005</v>
      </c>
    </row>
    <row r="215" spans="1:16" s="164" customFormat="1">
      <c r="A215" s="176"/>
      <c r="B215" s="14" t="str">
        <f>VLOOKUP(P215,'护理记录单文书字典(数据)'!B$4:C$99,2,0)</f>
        <v>B750B8340CFAB2112E84DCC7EA528475</v>
      </c>
      <c r="C215" s="163" t="s">
        <v>2240</v>
      </c>
      <c r="D215" s="162" t="s">
        <v>2241</v>
      </c>
      <c r="E215" s="163" t="s">
        <v>2052</v>
      </c>
      <c r="F215" s="163">
        <v>1</v>
      </c>
      <c r="G215" s="163">
        <v>1</v>
      </c>
      <c r="H215" s="162" t="s">
        <v>2094</v>
      </c>
      <c r="I215" s="162"/>
      <c r="J215" s="162">
        <v>1</v>
      </c>
      <c r="K215" s="162" t="s">
        <v>162</v>
      </c>
      <c r="L215" s="162" t="s">
        <v>509</v>
      </c>
      <c r="M215" s="162" t="s">
        <v>535</v>
      </c>
      <c r="N215" s="162" t="s">
        <v>509</v>
      </c>
      <c r="O215" s="162" t="s">
        <v>535</v>
      </c>
      <c r="P215" s="162" t="s">
        <v>1005</v>
      </c>
    </row>
    <row r="216" spans="1:16" s="164" customFormat="1">
      <c r="A216" s="176"/>
      <c r="B216" s="14" t="str">
        <f>VLOOKUP(P216,'护理记录单文书字典(数据)'!B$4:C$99,2,0)</f>
        <v>B750B8340CFAB2112E84DCC7EA528475</v>
      </c>
      <c r="C216" s="163" t="s">
        <v>2242</v>
      </c>
      <c r="D216" s="162" t="s">
        <v>2243</v>
      </c>
      <c r="E216" s="163" t="s">
        <v>2052</v>
      </c>
      <c r="F216" s="163">
        <v>1</v>
      </c>
      <c r="G216" s="163">
        <v>1</v>
      </c>
      <c r="H216" s="162" t="s">
        <v>2094</v>
      </c>
      <c r="I216" s="162"/>
      <c r="J216" s="162">
        <v>1</v>
      </c>
      <c r="K216" s="162" t="s">
        <v>162</v>
      </c>
      <c r="L216" s="162" t="s">
        <v>509</v>
      </c>
      <c r="M216" s="162" t="s">
        <v>535</v>
      </c>
      <c r="N216" s="162" t="s">
        <v>509</v>
      </c>
      <c r="O216" s="162" t="s">
        <v>535</v>
      </c>
      <c r="P216" s="162" t="s">
        <v>1005</v>
      </c>
    </row>
    <row r="217" spans="1:16" s="164" customFormat="1">
      <c r="A217" s="176"/>
      <c r="B217" s="14" t="str">
        <f>VLOOKUP(P217,'护理记录单文书字典(数据)'!B$4:C$99,2,0)</f>
        <v>B750B8340CFAB2112E84DCC7EA528475</v>
      </c>
      <c r="C217" s="163" t="s">
        <v>2244</v>
      </c>
      <c r="D217" s="162" t="s">
        <v>2245</v>
      </c>
      <c r="E217" s="163" t="s">
        <v>2052</v>
      </c>
      <c r="F217" s="163">
        <v>1</v>
      </c>
      <c r="G217" s="163">
        <v>1</v>
      </c>
      <c r="H217" s="162" t="s">
        <v>2094</v>
      </c>
      <c r="I217" s="162"/>
      <c r="J217" s="162">
        <v>1</v>
      </c>
      <c r="K217" s="162" t="s">
        <v>162</v>
      </c>
      <c r="L217" s="162" t="s">
        <v>509</v>
      </c>
      <c r="M217" s="162" t="s">
        <v>535</v>
      </c>
      <c r="N217" s="162" t="s">
        <v>509</v>
      </c>
      <c r="O217" s="162" t="s">
        <v>535</v>
      </c>
      <c r="P217" s="162" t="s">
        <v>1005</v>
      </c>
    </row>
    <row r="218" spans="1:16" s="164" customFormat="1">
      <c r="A218" s="176"/>
      <c r="B218" s="14" t="str">
        <f>VLOOKUP(P218,'护理记录单文书字典(数据)'!B$4:C$99,2,0)</f>
        <v>B750B8340CFAB2112E84DCC7EA528475</v>
      </c>
      <c r="C218" s="163" t="s">
        <v>2246</v>
      </c>
      <c r="D218" s="162" t="s">
        <v>2247</v>
      </c>
      <c r="E218" s="163" t="s">
        <v>2048</v>
      </c>
      <c r="F218" s="163">
        <v>1</v>
      </c>
      <c r="G218" s="163">
        <v>1</v>
      </c>
      <c r="H218" s="162"/>
      <c r="I218" s="162"/>
      <c r="J218" s="162">
        <v>1</v>
      </c>
      <c r="K218" s="162" t="s">
        <v>162</v>
      </c>
      <c r="L218" s="162" t="s">
        <v>509</v>
      </c>
      <c r="M218" s="162" t="s">
        <v>535</v>
      </c>
      <c r="N218" s="162" t="s">
        <v>509</v>
      </c>
      <c r="O218" s="162" t="s">
        <v>535</v>
      </c>
      <c r="P218" s="162" t="s">
        <v>1005</v>
      </c>
    </row>
    <row r="219" spans="1:16" s="164" customFormat="1">
      <c r="A219" s="176"/>
      <c r="B219" s="14" t="str">
        <f>VLOOKUP(P219,'护理记录单文书字典(数据)'!B$4:C$99,2,0)</f>
        <v>B750B8340CFAB2112E84DCC7EA528475</v>
      </c>
      <c r="C219" s="163" t="s">
        <v>2248</v>
      </c>
      <c r="D219" s="162" t="s">
        <v>2249</v>
      </c>
      <c r="E219" s="163" t="s">
        <v>2048</v>
      </c>
      <c r="F219" s="163">
        <v>1</v>
      </c>
      <c r="G219" s="163">
        <v>1</v>
      </c>
      <c r="H219" s="162"/>
      <c r="I219" s="162"/>
      <c r="J219" s="162">
        <v>1</v>
      </c>
      <c r="K219" s="162" t="s">
        <v>162</v>
      </c>
      <c r="L219" s="162" t="s">
        <v>509</v>
      </c>
      <c r="M219" s="162" t="s">
        <v>535</v>
      </c>
      <c r="N219" s="162" t="s">
        <v>509</v>
      </c>
      <c r="O219" s="162" t="s">
        <v>535</v>
      </c>
      <c r="P219" s="162" t="s">
        <v>1005</v>
      </c>
    </row>
    <row r="220" spans="1:16" s="164" customFormat="1">
      <c r="A220" s="176"/>
      <c r="B220" s="14" t="str">
        <f>VLOOKUP(P220,'护理记录单文书字典(数据)'!B$4:C$99,2,0)</f>
        <v>B750B8340CFAB2112E84DCC7EA528475</v>
      </c>
      <c r="C220" s="163" t="s">
        <v>2250</v>
      </c>
      <c r="D220" s="162" t="s">
        <v>2251</v>
      </c>
      <c r="E220" s="163" t="s">
        <v>2104</v>
      </c>
      <c r="F220" s="163">
        <v>1</v>
      </c>
      <c r="G220" s="163">
        <v>1</v>
      </c>
      <c r="H220" s="162"/>
      <c r="I220" s="162"/>
      <c r="J220" s="162">
        <v>1</v>
      </c>
      <c r="K220" s="162" t="s">
        <v>162</v>
      </c>
      <c r="L220" s="162" t="s">
        <v>509</v>
      </c>
      <c r="M220" s="162" t="s">
        <v>535</v>
      </c>
      <c r="N220" s="162" t="s">
        <v>509</v>
      </c>
      <c r="O220" s="162" t="s">
        <v>535</v>
      </c>
      <c r="P220" s="162" t="s">
        <v>1005</v>
      </c>
    </row>
    <row r="221" spans="1:16" s="164" customFormat="1">
      <c r="A221" s="176"/>
      <c r="B221" s="14" t="str">
        <f>VLOOKUP(P221,'护理记录单文书字典(数据)'!B$4:C$99,2,0)</f>
        <v>B750B8340CFAB2112E84DCC7EA528475</v>
      </c>
      <c r="C221" s="163" t="s">
        <v>2252</v>
      </c>
      <c r="D221" s="162" t="s">
        <v>2253</v>
      </c>
      <c r="E221" s="163" t="s">
        <v>2104</v>
      </c>
      <c r="F221" s="163">
        <v>1</v>
      </c>
      <c r="G221" s="163">
        <v>1</v>
      </c>
      <c r="H221" s="162"/>
      <c r="I221" s="162"/>
      <c r="J221" s="162">
        <v>1</v>
      </c>
      <c r="K221" s="162" t="s">
        <v>162</v>
      </c>
      <c r="L221" s="162" t="s">
        <v>509</v>
      </c>
      <c r="M221" s="162" t="s">
        <v>535</v>
      </c>
      <c r="N221" s="162" t="s">
        <v>509</v>
      </c>
      <c r="O221" s="162" t="s">
        <v>535</v>
      </c>
      <c r="P221" s="162" t="s">
        <v>1005</v>
      </c>
    </row>
    <row r="222" spans="1:16" s="164" customFormat="1">
      <c r="A222" s="176"/>
      <c r="B222" s="14" t="str">
        <f>VLOOKUP(P222,'护理记录单文书字典(数据)'!B$4:C$99,2,0)</f>
        <v>B750B8340CFAB2112E84DCC7EA528475</v>
      </c>
      <c r="C222" s="163" t="s">
        <v>2254</v>
      </c>
      <c r="D222" s="162" t="s">
        <v>2255</v>
      </c>
      <c r="E222" s="163" t="s">
        <v>2048</v>
      </c>
      <c r="F222" s="163">
        <v>1</v>
      </c>
      <c r="G222" s="163">
        <v>1</v>
      </c>
      <c r="H222" s="162"/>
      <c r="I222" s="162"/>
      <c r="J222" s="162">
        <v>1</v>
      </c>
      <c r="K222" s="162" t="s">
        <v>162</v>
      </c>
      <c r="L222" s="162" t="s">
        <v>509</v>
      </c>
      <c r="M222" s="162" t="s">
        <v>535</v>
      </c>
      <c r="N222" s="162" t="s">
        <v>509</v>
      </c>
      <c r="O222" s="162" t="s">
        <v>535</v>
      </c>
      <c r="P222" s="162" t="s">
        <v>1005</v>
      </c>
    </row>
    <row r="223" spans="1:16" s="164" customFormat="1">
      <c r="A223" s="176"/>
      <c r="B223" s="14" t="str">
        <f>VLOOKUP(P223,'护理记录单文书字典(数据)'!B$4:C$99,2,0)</f>
        <v>B750B8340CFAB2112E84DCC7EA528475</v>
      </c>
      <c r="C223" s="163" t="s">
        <v>2256</v>
      </c>
      <c r="D223" s="162" t="s">
        <v>2257</v>
      </c>
      <c r="E223" s="163" t="s">
        <v>2052</v>
      </c>
      <c r="F223" s="163">
        <v>1</v>
      </c>
      <c r="G223" s="163">
        <v>1</v>
      </c>
      <c r="H223" s="162" t="s">
        <v>2094</v>
      </c>
      <c r="I223" s="162"/>
      <c r="J223" s="162">
        <v>1</v>
      </c>
      <c r="K223" s="162" t="s">
        <v>162</v>
      </c>
      <c r="L223" s="162" t="s">
        <v>509</v>
      </c>
      <c r="M223" s="162" t="s">
        <v>535</v>
      </c>
      <c r="N223" s="162" t="s">
        <v>509</v>
      </c>
      <c r="O223" s="162" t="s">
        <v>535</v>
      </c>
      <c r="P223" s="162" t="s">
        <v>1005</v>
      </c>
    </row>
    <row r="224" spans="1:16" s="164" customFormat="1">
      <c r="A224" s="176"/>
      <c r="B224" s="14" t="str">
        <f>VLOOKUP(P224,'护理记录单文书字典(数据)'!B$4:C$99,2,0)</f>
        <v>B750B8340CFAB2112E84DCC7EA528475</v>
      </c>
      <c r="C224" s="163" t="s">
        <v>2258</v>
      </c>
      <c r="D224" s="162" t="s">
        <v>2259</v>
      </c>
      <c r="E224" s="163" t="s">
        <v>2052</v>
      </c>
      <c r="F224" s="163">
        <v>1</v>
      </c>
      <c r="G224" s="163">
        <v>1</v>
      </c>
      <c r="H224" s="162" t="s">
        <v>2094</v>
      </c>
      <c r="I224" s="162"/>
      <c r="J224" s="162">
        <v>1</v>
      </c>
      <c r="K224" s="162" t="s">
        <v>162</v>
      </c>
      <c r="L224" s="162" t="s">
        <v>509</v>
      </c>
      <c r="M224" s="162" t="s">
        <v>535</v>
      </c>
      <c r="N224" s="162" t="s">
        <v>509</v>
      </c>
      <c r="O224" s="162" t="s">
        <v>535</v>
      </c>
      <c r="P224" s="162" t="s">
        <v>1005</v>
      </c>
    </row>
    <row r="225" spans="1:16" s="164" customFormat="1">
      <c r="A225" s="176"/>
      <c r="B225" s="14" t="str">
        <f>VLOOKUP(P225,'护理记录单文书字典(数据)'!B$4:C$99,2,0)</f>
        <v>B750B8340CFAB2112E84DCC7EA528475</v>
      </c>
      <c r="C225" s="163" t="s">
        <v>2260</v>
      </c>
      <c r="D225" s="162" t="s">
        <v>2261</v>
      </c>
      <c r="E225" s="163" t="s">
        <v>2052</v>
      </c>
      <c r="F225" s="163">
        <v>1</v>
      </c>
      <c r="G225" s="163">
        <v>1</v>
      </c>
      <c r="H225" s="162" t="s">
        <v>2094</v>
      </c>
      <c r="I225" s="162"/>
      <c r="J225" s="162">
        <v>1</v>
      </c>
      <c r="K225" s="162" t="s">
        <v>162</v>
      </c>
      <c r="L225" s="162" t="s">
        <v>509</v>
      </c>
      <c r="M225" s="162" t="s">
        <v>535</v>
      </c>
      <c r="N225" s="162" t="s">
        <v>509</v>
      </c>
      <c r="O225" s="162" t="s">
        <v>535</v>
      </c>
      <c r="P225" s="162" t="s">
        <v>1005</v>
      </c>
    </row>
    <row r="226" spans="1:16" s="164" customFormat="1">
      <c r="A226" s="176"/>
      <c r="B226" s="14" t="str">
        <f>VLOOKUP(P226,'护理记录单文书字典(数据)'!B$4:C$99,2,0)</f>
        <v>B750B8340CFAB2112E84DCC7EA528475</v>
      </c>
      <c r="C226" s="163" t="s">
        <v>2262</v>
      </c>
      <c r="D226" s="162" t="s">
        <v>2263</v>
      </c>
      <c r="E226" s="163" t="s">
        <v>2052</v>
      </c>
      <c r="F226" s="163">
        <v>1</v>
      </c>
      <c r="G226" s="163">
        <v>1</v>
      </c>
      <c r="H226" s="162" t="s">
        <v>2094</v>
      </c>
      <c r="I226" s="162"/>
      <c r="J226" s="162">
        <v>1</v>
      </c>
      <c r="K226" s="162" t="s">
        <v>162</v>
      </c>
      <c r="L226" s="162" t="s">
        <v>509</v>
      </c>
      <c r="M226" s="162" t="s">
        <v>535</v>
      </c>
      <c r="N226" s="162" t="s">
        <v>509</v>
      </c>
      <c r="O226" s="162" t="s">
        <v>535</v>
      </c>
      <c r="P226" s="162" t="s">
        <v>1005</v>
      </c>
    </row>
    <row r="227" spans="1:16" s="164" customFormat="1">
      <c r="A227" s="176"/>
      <c r="B227" s="14" t="str">
        <f>VLOOKUP(P227,'护理记录单文书字典(数据)'!B$4:C$99,2,0)</f>
        <v>B750B8340CFAB2112E84DCC7EA528475</v>
      </c>
      <c r="C227" s="163" t="s">
        <v>2264</v>
      </c>
      <c r="D227" s="162" t="s">
        <v>2265</v>
      </c>
      <c r="E227" s="163" t="s">
        <v>2052</v>
      </c>
      <c r="F227" s="163">
        <v>1</v>
      </c>
      <c r="G227" s="163">
        <v>1</v>
      </c>
      <c r="H227" s="162" t="s">
        <v>2094</v>
      </c>
      <c r="I227" s="162"/>
      <c r="J227" s="162">
        <v>1</v>
      </c>
      <c r="K227" s="162" t="s">
        <v>162</v>
      </c>
      <c r="L227" s="162" t="s">
        <v>509</v>
      </c>
      <c r="M227" s="162" t="s">
        <v>535</v>
      </c>
      <c r="N227" s="162" t="s">
        <v>509</v>
      </c>
      <c r="O227" s="162" t="s">
        <v>535</v>
      </c>
      <c r="P227" s="162" t="s">
        <v>1005</v>
      </c>
    </row>
    <row r="228" spans="1:16" s="164" customFormat="1">
      <c r="A228" s="176"/>
      <c r="B228" s="14" t="str">
        <f>VLOOKUP(P228,'护理记录单文书字典(数据)'!B$4:C$99,2,0)</f>
        <v>B750B8340CFAB2112E84DCC7EA528475</v>
      </c>
      <c r="C228" s="163" t="s">
        <v>2266</v>
      </c>
      <c r="D228" s="162" t="s">
        <v>2267</v>
      </c>
      <c r="E228" s="163" t="s">
        <v>2052</v>
      </c>
      <c r="F228" s="163">
        <v>1</v>
      </c>
      <c r="G228" s="163">
        <v>1</v>
      </c>
      <c r="H228" s="162" t="s">
        <v>2094</v>
      </c>
      <c r="I228" s="162"/>
      <c r="J228" s="162">
        <v>1</v>
      </c>
      <c r="K228" s="162" t="s">
        <v>162</v>
      </c>
      <c r="L228" s="162" t="s">
        <v>509</v>
      </c>
      <c r="M228" s="162" t="s">
        <v>535</v>
      </c>
      <c r="N228" s="162" t="s">
        <v>509</v>
      </c>
      <c r="O228" s="162" t="s">
        <v>535</v>
      </c>
      <c r="P228" s="162" t="s">
        <v>1005</v>
      </c>
    </row>
    <row r="229" spans="1:16" s="164" customFormat="1">
      <c r="A229" s="176"/>
      <c r="B229" s="14" t="str">
        <f>VLOOKUP(P229,'护理记录单文书字典(数据)'!B$4:C$99,2,0)</f>
        <v>B750B8340CFAB2112E84DCC7EA528475</v>
      </c>
      <c r="C229" s="163" t="s">
        <v>2268</v>
      </c>
      <c r="D229" s="162" t="s">
        <v>2269</v>
      </c>
      <c r="E229" s="163" t="s">
        <v>2052</v>
      </c>
      <c r="F229" s="163">
        <v>1</v>
      </c>
      <c r="G229" s="163">
        <v>1</v>
      </c>
      <c r="H229" s="162" t="s">
        <v>2094</v>
      </c>
      <c r="I229" s="162"/>
      <c r="J229" s="162">
        <v>1</v>
      </c>
      <c r="K229" s="162" t="s">
        <v>162</v>
      </c>
      <c r="L229" s="162" t="s">
        <v>509</v>
      </c>
      <c r="M229" s="162" t="s">
        <v>535</v>
      </c>
      <c r="N229" s="162" t="s">
        <v>509</v>
      </c>
      <c r="O229" s="162" t="s">
        <v>535</v>
      </c>
      <c r="P229" s="162" t="s">
        <v>1005</v>
      </c>
    </row>
    <row r="230" spans="1:16" s="164" customFormat="1">
      <c r="A230" s="176"/>
      <c r="B230" s="14" t="str">
        <f>VLOOKUP(P230,'护理记录单文书字典(数据)'!B$4:C$99,2,0)</f>
        <v>B750B8340CFAB2112E84DCC7EA528475</v>
      </c>
      <c r="C230" s="163" t="s">
        <v>2270</v>
      </c>
      <c r="D230" s="162" t="s">
        <v>2271</v>
      </c>
      <c r="E230" s="163" t="s">
        <v>2052</v>
      </c>
      <c r="F230" s="163">
        <v>1</v>
      </c>
      <c r="G230" s="163">
        <v>1</v>
      </c>
      <c r="H230" s="162" t="s">
        <v>2094</v>
      </c>
      <c r="I230" s="162"/>
      <c r="J230" s="162">
        <v>1</v>
      </c>
      <c r="K230" s="162" t="s">
        <v>162</v>
      </c>
      <c r="L230" s="162" t="s">
        <v>509</v>
      </c>
      <c r="M230" s="162" t="s">
        <v>535</v>
      </c>
      <c r="N230" s="162" t="s">
        <v>509</v>
      </c>
      <c r="O230" s="162" t="s">
        <v>535</v>
      </c>
      <c r="P230" s="162" t="s">
        <v>1005</v>
      </c>
    </row>
    <row r="231" spans="1:16" s="164" customFormat="1">
      <c r="A231" s="176"/>
      <c r="B231" s="14" t="str">
        <f>VLOOKUP(P231,'护理记录单文书字典(数据)'!B$4:C$99,2,0)</f>
        <v>B750B8340CFAB2112E84DCC7EA528475</v>
      </c>
      <c r="C231" s="163" t="s">
        <v>2272</v>
      </c>
      <c r="D231" s="162" t="s">
        <v>2273</v>
      </c>
      <c r="E231" s="163" t="s">
        <v>2052</v>
      </c>
      <c r="F231" s="163">
        <v>1</v>
      </c>
      <c r="G231" s="163">
        <v>1</v>
      </c>
      <c r="H231" s="162" t="s">
        <v>2094</v>
      </c>
      <c r="I231" s="162"/>
      <c r="J231" s="162">
        <v>1</v>
      </c>
      <c r="K231" s="162" t="s">
        <v>162</v>
      </c>
      <c r="L231" s="162" t="s">
        <v>509</v>
      </c>
      <c r="M231" s="162" t="s">
        <v>535</v>
      </c>
      <c r="N231" s="162" t="s">
        <v>509</v>
      </c>
      <c r="O231" s="162" t="s">
        <v>535</v>
      </c>
      <c r="P231" s="162" t="s">
        <v>1005</v>
      </c>
    </row>
    <row r="232" spans="1:16" s="164" customFormat="1">
      <c r="A232" s="176"/>
      <c r="B232" s="14" t="str">
        <f>VLOOKUP(P232,'护理记录单文书字典(数据)'!B$4:C$99,2,0)</f>
        <v>B750B8340CFAB2112E84DCC7EA528475</v>
      </c>
      <c r="C232" s="163" t="s">
        <v>2274</v>
      </c>
      <c r="D232" s="162" t="s">
        <v>2275</v>
      </c>
      <c r="E232" s="163" t="s">
        <v>2052</v>
      </c>
      <c r="F232" s="163">
        <v>1</v>
      </c>
      <c r="G232" s="163">
        <v>1</v>
      </c>
      <c r="H232" s="162" t="s">
        <v>2094</v>
      </c>
      <c r="I232" s="162"/>
      <c r="J232" s="162">
        <v>1</v>
      </c>
      <c r="K232" s="162" t="s">
        <v>162</v>
      </c>
      <c r="L232" s="162" t="s">
        <v>509</v>
      </c>
      <c r="M232" s="162" t="s">
        <v>535</v>
      </c>
      <c r="N232" s="162" t="s">
        <v>509</v>
      </c>
      <c r="O232" s="162" t="s">
        <v>535</v>
      </c>
      <c r="P232" s="162" t="s">
        <v>1005</v>
      </c>
    </row>
    <row r="233" spans="1:16" s="164" customFormat="1">
      <c r="A233" s="176"/>
      <c r="B233" s="14" t="str">
        <f>VLOOKUP(P233,'护理记录单文书字典(数据)'!B$4:C$99,2,0)</f>
        <v>B750B8340CFAB2112E84DCC7EA528475</v>
      </c>
      <c r="C233" s="163" t="s">
        <v>2276</v>
      </c>
      <c r="D233" s="162" t="s">
        <v>2277</v>
      </c>
      <c r="E233" s="163" t="s">
        <v>2052</v>
      </c>
      <c r="F233" s="163">
        <v>1</v>
      </c>
      <c r="G233" s="163">
        <v>1</v>
      </c>
      <c r="H233" s="162" t="s">
        <v>2094</v>
      </c>
      <c r="I233" s="162"/>
      <c r="J233" s="162">
        <v>1</v>
      </c>
      <c r="K233" s="162" t="s">
        <v>162</v>
      </c>
      <c r="L233" s="162" t="s">
        <v>509</v>
      </c>
      <c r="M233" s="162" t="s">
        <v>535</v>
      </c>
      <c r="N233" s="162" t="s">
        <v>509</v>
      </c>
      <c r="O233" s="162" t="s">
        <v>535</v>
      </c>
      <c r="P233" s="162" t="s">
        <v>1005</v>
      </c>
    </row>
    <row r="234" spans="1:16" s="164" customFormat="1">
      <c r="A234" s="176"/>
      <c r="B234" s="14" t="str">
        <f>VLOOKUP(P234,'护理记录单文书字典(数据)'!B$4:C$99,2,0)</f>
        <v>B750B8340CFAB2112E84DCC7EA528475</v>
      </c>
      <c r="C234" s="163" t="s">
        <v>2278</v>
      </c>
      <c r="D234" s="162" t="s">
        <v>2279</v>
      </c>
      <c r="E234" s="163" t="s">
        <v>2048</v>
      </c>
      <c r="F234" s="163">
        <v>1</v>
      </c>
      <c r="G234" s="163">
        <v>1</v>
      </c>
      <c r="H234" s="162"/>
      <c r="I234" s="162"/>
      <c r="J234" s="162">
        <v>1</v>
      </c>
      <c r="K234" s="162" t="s">
        <v>162</v>
      </c>
      <c r="L234" s="162" t="s">
        <v>509</v>
      </c>
      <c r="M234" s="162" t="s">
        <v>535</v>
      </c>
      <c r="N234" s="162" t="s">
        <v>509</v>
      </c>
      <c r="O234" s="162" t="s">
        <v>535</v>
      </c>
      <c r="P234" s="162" t="s">
        <v>1005</v>
      </c>
    </row>
    <row r="235" spans="1:16" s="164" customFormat="1">
      <c r="A235" s="176"/>
      <c r="B235" s="14" t="str">
        <f>VLOOKUP(P235,'护理记录单文书字典(数据)'!B$4:C$99,2,0)</f>
        <v>B750B8340CFAB2112E84DCC7EA528475</v>
      </c>
      <c r="C235" s="163" t="s">
        <v>2280</v>
      </c>
      <c r="D235" s="162" t="s">
        <v>2281</v>
      </c>
      <c r="E235" s="163" t="s">
        <v>2048</v>
      </c>
      <c r="F235" s="163">
        <v>1</v>
      </c>
      <c r="G235" s="163">
        <v>1</v>
      </c>
      <c r="H235" s="162"/>
      <c r="I235" s="162"/>
      <c r="J235" s="162">
        <v>1</v>
      </c>
      <c r="K235" s="162" t="s">
        <v>162</v>
      </c>
      <c r="L235" s="162" t="s">
        <v>509</v>
      </c>
      <c r="M235" s="162" t="s">
        <v>535</v>
      </c>
      <c r="N235" s="162" t="s">
        <v>509</v>
      </c>
      <c r="O235" s="162" t="s">
        <v>535</v>
      </c>
      <c r="P235" s="162" t="s">
        <v>1005</v>
      </c>
    </row>
    <row r="236" spans="1:16" s="164" customFormat="1">
      <c r="A236" s="176"/>
      <c r="B236" s="14" t="str">
        <f>VLOOKUP(P236,'护理记录单文书字典(数据)'!B$4:C$99,2,0)</f>
        <v>B750B8340CFAB2112E84DCC7EA528475</v>
      </c>
      <c r="C236" s="163" t="s">
        <v>2282</v>
      </c>
      <c r="D236" s="162" t="s">
        <v>2283</v>
      </c>
      <c r="E236" s="163" t="s">
        <v>2104</v>
      </c>
      <c r="F236" s="163">
        <v>1</v>
      </c>
      <c r="G236" s="163">
        <v>1</v>
      </c>
      <c r="H236" s="162"/>
      <c r="I236" s="162"/>
      <c r="J236" s="162">
        <v>1</v>
      </c>
      <c r="K236" s="162" t="s">
        <v>162</v>
      </c>
      <c r="L236" s="162" t="s">
        <v>509</v>
      </c>
      <c r="M236" s="162" t="s">
        <v>535</v>
      </c>
      <c r="N236" s="162" t="s">
        <v>509</v>
      </c>
      <c r="O236" s="162" t="s">
        <v>535</v>
      </c>
      <c r="P236" s="162" t="s">
        <v>1005</v>
      </c>
    </row>
    <row r="237" spans="1:16" s="164" customFormat="1">
      <c r="A237" s="176"/>
      <c r="B237" s="14" t="str">
        <f>VLOOKUP(P237,'护理记录单文书字典(数据)'!B$4:C$99,2,0)</f>
        <v>B750B8340CFAB2112E84DCC7EA528475</v>
      </c>
      <c r="C237" s="163" t="s">
        <v>2284</v>
      </c>
      <c r="D237" s="162" t="s">
        <v>2285</v>
      </c>
      <c r="E237" s="163" t="s">
        <v>2104</v>
      </c>
      <c r="F237" s="163">
        <v>1</v>
      </c>
      <c r="G237" s="163">
        <v>1</v>
      </c>
      <c r="H237" s="162"/>
      <c r="I237" s="162"/>
      <c r="J237" s="162">
        <v>1</v>
      </c>
      <c r="K237" s="162" t="s">
        <v>162</v>
      </c>
      <c r="L237" s="162" t="s">
        <v>509</v>
      </c>
      <c r="M237" s="162" t="s">
        <v>535</v>
      </c>
      <c r="N237" s="162" t="s">
        <v>509</v>
      </c>
      <c r="O237" s="162" t="s">
        <v>535</v>
      </c>
      <c r="P237" s="162" t="s">
        <v>1005</v>
      </c>
    </row>
    <row r="238" spans="1:16" s="164" customFormat="1">
      <c r="A238" s="176"/>
      <c r="B238" s="14" t="str">
        <f>VLOOKUP(P238,'护理记录单文书字典(数据)'!B$4:C$99,2,0)</f>
        <v>B750B8340CFAB2112E84DCC7EA528475</v>
      </c>
      <c r="C238" s="163" t="s">
        <v>2286</v>
      </c>
      <c r="D238" s="162" t="s">
        <v>2287</v>
      </c>
      <c r="E238" s="163" t="s">
        <v>2048</v>
      </c>
      <c r="F238" s="163">
        <v>1</v>
      </c>
      <c r="G238" s="163">
        <v>1</v>
      </c>
      <c r="H238" s="162"/>
      <c r="I238" s="162"/>
      <c r="J238" s="162">
        <v>1</v>
      </c>
      <c r="K238" s="162" t="s">
        <v>162</v>
      </c>
      <c r="L238" s="162" t="s">
        <v>509</v>
      </c>
      <c r="M238" s="162" t="s">
        <v>535</v>
      </c>
      <c r="N238" s="162" t="s">
        <v>509</v>
      </c>
      <c r="O238" s="162" t="s">
        <v>535</v>
      </c>
      <c r="P238" s="162" t="s">
        <v>1005</v>
      </c>
    </row>
    <row r="239" spans="1:16" s="164" customFormat="1">
      <c r="A239" s="176"/>
      <c r="B239" s="14" t="str">
        <f>VLOOKUP(P239,'护理记录单文书字典(数据)'!B$4:C$99,2,0)</f>
        <v>B750B8340CFAB2112E84DCC7EA528475</v>
      </c>
      <c r="C239" s="163" t="s">
        <v>2288</v>
      </c>
      <c r="D239" s="162" t="s">
        <v>2289</v>
      </c>
      <c r="E239" s="163" t="s">
        <v>2052</v>
      </c>
      <c r="F239" s="163">
        <v>1</v>
      </c>
      <c r="G239" s="163">
        <v>1</v>
      </c>
      <c r="H239" s="162" t="s">
        <v>2094</v>
      </c>
      <c r="I239" s="162"/>
      <c r="J239" s="162">
        <v>1</v>
      </c>
      <c r="K239" s="162" t="s">
        <v>162</v>
      </c>
      <c r="L239" s="162" t="s">
        <v>509</v>
      </c>
      <c r="M239" s="162" t="s">
        <v>535</v>
      </c>
      <c r="N239" s="162" t="s">
        <v>509</v>
      </c>
      <c r="O239" s="162" t="s">
        <v>535</v>
      </c>
      <c r="P239" s="162" t="s">
        <v>1005</v>
      </c>
    </row>
    <row r="240" spans="1:16" s="164" customFormat="1">
      <c r="A240" s="176"/>
      <c r="B240" s="14" t="str">
        <f>VLOOKUP(P240,'护理记录单文书字典(数据)'!B$4:C$99,2,0)</f>
        <v>B750B8340CFAB2112E84DCC7EA528475</v>
      </c>
      <c r="C240" s="163" t="s">
        <v>2290</v>
      </c>
      <c r="D240" s="162" t="s">
        <v>2291</v>
      </c>
      <c r="E240" s="163" t="s">
        <v>2052</v>
      </c>
      <c r="F240" s="163">
        <v>1</v>
      </c>
      <c r="G240" s="163">
        <v>1</v>
      </c>
      <c r="H240" s="162" t="s">
        <v>2094</v>
      </c>
      <c r="I240" s="162"/>
      <c r="J240" s="162">
        <v>1</v>
      </c>
      <c r="K240" s="162" t="s">
        <v>162</v>
      </c>
      <c r="L240" s="162" t="s">
        <v>509</v>
      </c>
      <c r="M240" s="162" t="s">
        <v>535</v>
      </c>
      <c r="N240" s="162" t="s">
        <v>509</v>
      </c>
      <c r="O240" s="162" t="s">
        <v>535</v>
      </c>
      <c r="P240" s="162" t="s">
        <v>1005</v>
      </c>
    </row>
    <row r="241" spans="1:16" s="164" customFormat="1">
      <c r="A241" s="176"/>
      <c r="B241" s="14" t="str">
        <f>VLOOKUP(P241,'护理记录单文书字典(数据)'!B$4:C$99,2,0)</f>
        <v>B750B8340CFAB2112E84DCC7EA528475</v>
      </c>
      <c r="C241" s="163" t="s">
        <v>2292</v>
      </c>
      <c r="D241" s="162" t="s">
        <v>2293</v>
      </c>
      <c r="E241" s="163" t="s">
        <v>2052</v>
      </c>
      <c r="F241" s="163">
        <v>1</v>
      </c>
      <c r="G241" s="163">
        <v>1</v>
      </c>
      <c r="H241" s="162" t="s">
        <v>2094</v>
      </c>
      <c r="I241" s="162"/>
      <c r="J241" s="162">
        <v>1</v>
      </c>
      <c r="K241" s="162" t="s">
        <v>162</v>
      </c>
      <c r="L241" s="162" t="s">
        <v>509</v>
      </c>
      <c r="M241" s="162" t="s">
        <v>535</v>
      </c>
      <c r="N241" s="162" t="s">
        <v>509</v>
      </c>
      <c r="O241" s="162" t="s">
        <v>535</v>
      </c>
      <c r="P241" s="162" t="s">
        <v>1005</v>
      </c>
    </row>
    <row r="242" spans="1:16" s="164" customFormat="1">
      <c r="A242" s="176"/>
      <c r="B242" s="14" t="str">
        <f>VLOOKUP(P242,'护理记录单文书字典(数据)'!B$4:C$99,2,0)</f>
        <v>B750B8340CFAB2112E84DCC7EA528475</v>
      </c>
      <c r="C242" s="163" t="s">
        <v>2294</v>
      </c>
      <c r="D242" s="162" t="s">
        <v>2295</v>
      </c>
      <c r="E242" s="163" t="s">
        <v>2052</v>
      </c>
      <c r="F242" s="163">
        <v>1</v>
      </c>
      <c r="G242" s="163">
        <v>1</v>
      </c>
      <c r="H242" s="162" t="s">
        <v>2094</v>
      </c>
      <c r="I242" s="162"/>
      <c r="J242" s="162">
        <v>1</v>
      </c>
      <c r="K242" s="162" t="s">
        <v>162</v>
      </c>
      <c r="L242" s="162" t="s">
        <v>509</v>
      </c>
      <c r="M242" s="162" t="s">
        <v>535</v>
      </c>
      <c r="N242" s="162" t="s">
        <v>509</v>
      </c>
      <c r="O242" s="162" t="s">
        <v>535</v>
      </c>
      <c r="P242" s="162" t="s">
        <v>1005</v>
      </c>
    </row>
    <row r="243" spans="1:16" s="164" customFormat="1">
      <c r="A243" s="176"/>
      <c r="B243" s="14" t="str">
        <f>VLOOKUP(P243,'护理记录单文书字典(数据)'!B$4:C$99,2,0)</f>
        <v>B750B8340CFAB2112E84DCC7EA528475</v>
      </c>
      <c r="C243" s="163" t="s">
        <v>2296</v>
      </c>
      <c r="D243" s="162" t="s">
        <v>2297</v>
      </c>
      <c r="E243" s="163" t="s">
        <v>2052</v>
      </c>
      <c r="F243" s="163">
        <v>1</v>
      </c>
      <c r="G243" s="163">
        <v>1</v>
      </c>
      <c r="H243" s="162" t="s">
        <v>2094</v>
      </c>
      <c r="I243" s="162"/>
      <c r="J243" s="162">
        <v>1</v>
      </c>
      <c r="K243" s="162" t="s">
        <v>162</v>
      </c>
      <c r="L243" s="162" t="s">
        <v>509</v>
      </c>
      <c r="M243" s="162" t="s">
        <v>535</v>
      </c>
      <c r="N243" s="162" t="s">
        <v>509</v>
      </c>
      <c r="O243" s="162" t="s">
        <v>535</v>
      </c>
      <c r="P243" s="162" t="s">
        <v>1005</v>
      </c>
    </row>
    <row r="244" spans="1:16" s="164" customFormat="1">
      <c r="A244" s="176"/>
      <c r="B244" s="14" t="str">
        <f>VLOOKUP(P244,'护理记录单文书字典(数据)'!B$4:C$99,2,0)</f>
        <v>B750B8340CFAB2112E84DCC7EA528475</v>
      </c>
      <c r="C244" s="163" t="s">
        <v>2298</v>
      </c>
      <c r="D244" s="162" t="s">
        <v>2299</v>
      </c>
      <c r="E244" s="163" t="s">
        <v>2052</v>
      </c>
      <c r="F244" s="163">
        <v>1</v>
      </c>
      <c r="G244" s="163">
        <v>1</v>
      </c>
      <c r="H244" s="162" t="s">
        <v>2094</v>
      </c>
      <c r="I244" s="162"/>
      <c r="J244" s="162">
        <v>1</v>
      </c>
      <c r="K244" s="162" t="s">
        <v>162</v>
      </c>
      <c r="L244" s="162" t="s">
        <v>509</v>
      </c>
      <c r="M244" s="162" t="s">
        <v>535</v>
      </c>
      <c r="N244" s="162" t="s">
        <v>509</v>
      </c>
      <c r="O244" s="162" t="s">
        <v>535</v>
      </c>
      <c r="P244" s="162" t="s">
        <v>1005</v>
      </c>
    </row>
    <row r="245" spans="1:16" s="164" customFormat="1">
      <c r="A245" s="176"/>
      <c r="B245" s="14" t="str">
        <f>VLOOKUP(P245,'护理记录单文书字典(数据)'!B$4:C$99,2,0)</f>
        <v>B750B8340CFAB2112E84DCC7EA528475</v>
      </c>
      <c r="C245" s="163" t="s">
        <v>2300</v>
      </c>
      <c r="D245" s="162" t="s">
        <v>2301</v>
      </c>
      <c r="E245" s="163" t="s">
        <v>2052</v>
      </c>
      <c r="F245" s="163">
        <v>1</v>
      </c>
      <c r="G245" s="163">
        <v>1</v>
      </c>
      <c r="H245" s="162" t="s">
        <v>2094</v>
      </c>
      <c r="I245" s="162"/>
      <c r="J245" s="162">
        <v>1</v>
      </c>
      <c r="K245" s="162" t="s">
        <v>162</v>
      </c>
      <c r="L245" s="162" t="s">
        <v>509</v>
      </c>
      <c r="M245" s="162" t="s">
        <v>535</v>
      </c>
      <c r="N245" s="162" t="s">
        <v>509</v>
      </c>
      <c r="O245" s="162" t="s">
        <v>535</v>
      </c>
      <c r="P245" s="162" t="s">
        <v>1005</v>
      </c>
    </row>
    <row r="246" spans="1:16" s="164" customFormat="1">
      <c r="A246" s="176"/>
      <c r="B246" s="14" t="str">
        <f>VLOOKUP(P246,'护理记录单文书字典(数据)'!B$4:C$99,2,0)</f>
        <v>B750B8340CFAB2112E84DCC7EA528475</v>
      </c>
      <c r="C246" s="163" t="s">
        <v>2302</v>
      </c>
      <c r="D246" s="162" t="s">
        <v>2303</v>
      </c>
      <c r="E246" s="163" t="s">
        <v>2052</v>
      </c>
      <c r="F246" s="163">
        <v>1</v>
      </c>
      <c r="G246" s="163">
        <v>1</v>
      </c>
      <c r="H246" s="162" t="s">
        <v>2094</v>
      </c>
      <c r="I246" s="162"/>
      <c r="J246" s="162">
        <v>1</v>
      </c>
      <c r="K246" s="162" t="s">
        <v>162</v>
      </c>
      <c r="L246" s="162" t="s">
        <v>509</v>
      </c>
      <c r="M246" s="162" t="s">
        <v>535</v>
      </c>
      <c r="N246" s="162" t="s">
        <v>509</v>
      </c>
      <c r="O246" s="162" t="s">
        <v>535</v>
      </c>
      <c r="P246" s="162" t="s">
        <v>1005</v>
      </c>
    </row>
    <row r="247" spans="1:16" s="164" customFormat="1">
      <c r="A247" s="176"/>
      <c r="B247" s="14" t="str">
        <f>VLOOKUP(P247,'护理记录单文书字典(数据)'!B$4:C$99,2,0)</f>
        <v>B750B8340CFAB2112E84DCC7EA528475</v>
      </c>
      <c r="C247" s="163" t="s">
        <v>2304</v>
      </c>
      <c r="D247" s="162" t="s">
        <v>2305</v>
      </c>
      <c r="E247" s="163" t="s">
        <v>2052</v>
      </c>
      <c r="F247" s="163">
        <v>1</v>
      </c>
      <c r="G247" s="163">
        <v>1</v>
      </c>
      <c r="H247" s="162" t="s">
        <v>2094</v>
      </c>
      <c r="I247" s="162"/>
      <c r="J247" s="162">
        <v>1</v>
      </c>
      <c r="K247" s="162" t="s">
        <v>162</v>
      </c>
      <c r="L247" s="162" t="s">
        <v>509</v>
      </c>
      <c r="M247" s="162" t="s">
        <v>535</v>
      </c>
      <c r="N247" s="162" t="s">
        <v>509</v>
      </c>
      <c r="O247" s="162" t="s">
        <v>535</v>
      </c>
      <c r="P247" s="162" t="s">
        <v>1005</v>
      </c>
    </row>
    <row r="248" spans="1:16" s="164" customFormat="1">
      <c r="A248" s="176"/>
      <c r="B248" s="14" t="str">
        <f>VLOOKUP(P248,'护理记录单文书字典(数据)'!B$4:C$99,2,0)</f>
        <v>B750B8340CFAB2112E84DCC7EA528475</v>
      </c>
      <c r="C248" s="163" t="s">
        <v>2306</v>
      </c>
      <c r="D248" s="162" t="s">
        <v>2307</v>
      </c>
      <c r="E248" s="163" t="s">
        <v>2052</v>
      </c>
      <c r="F248" s="163">
        <v>1</v>
      </c>
      <c r="G248" s="163">
        <v>1</v>
      </c>
      <c r="H248" s="162" t="s">
        <v>2094</v>
      </c>
      <c r="I248" s="162"/>
      <c r="J248" s="162">
        <v>1</v>
      </c>
      <c r="K248" s="162" t="s">
        <v>162</v>
      </c>
      <c r="L248" s="162" t="s">
        <v>509</v>
      </c>
      <c r="M248" s="162" t="s">
        <v>535</v>
      </c>
      <c r="N248" s="162" t="s">
        <v>509</v>
      </c>
      <c r="O248" s="162" t="s">
        <v>535</v>
      </c>
      <c r="P248" s="162" t="s">
        <v>1005</v>
      </c>
    </row>
    <row r="249" spans="1:16" s="164" customFormat="1">
      <c r="A249" s="176"/>
      <c r="B249" s="14" t="str">
        <f>VLOOKUP(P249,'护理记录单文书字典(数据)'!B$4:C$99,2,0)</f>
        <v>B750B8340CFAB2112E84DCC7EA528475</v>
      </c>
      <c r="C249" s="163" t="s">
        <v>2308</v>
      </c>
      <c r="D249" s="162" t="s">
        <v>2309</v>
      </c>
      <c r="E249" s="163" t="s">
        <v>2052</v>
      </c>
      <c r="F249" s="163">
        <v>1</v>
      </c>
      <c r="G249" s="163">
        <v>1</v>
      </c>
      <c r="H249" s="162" t="s">
        <v>2094</v>
      </c>
      <c r="I249" s="162"/>
      <c r="J249" s="162">
        <v>1</v>
      </c>
      <c r="K249" s="162" t="s">
        <v>162</v>
      </c>
      <c r="L249" s="162" t="s">
        <v>509</v>
      </c>
      <c r="M249" s="162" t="s">
        <v>535</v>
      </c>
      <c r="N249" s="162" t="s">
        <v>509</v>
      </c>
      <c r="O249" s="162" t="s">
        <v>535</v>
      </c>
      <c r="P249" s="162" t="s">
        <v>1005</v>
      </c>
    </row>
    <row r="250" spans="1:16" s="164" customFormat="1">
      <c r="A250" s="176"/>
      <c r="B250" s="14" t="str">
        <f>VLOOKUP(P250,'护理记录单文书字典(数据)'!B$4:C$99,2,0)</f>
        <v>B750B8340CFAB2112E84DCC7EA528475</v>
      </c>
      <c r="C250" s="163" t="s">
        <v>2310</v>
      </c>
      <c r="D250" s="162" t="s">
        <v>2311</v>
      </c>
      <c r="E250" s="163" t="s">
        <v>2048</v>
      </c>
      <c r="F250" s="163">
        <v>1</v>
      </c>
      <c r="G250" s="163">
        <v>1</v>
      </c>
      <c r="H250" s="162"/>
      <c r="I250" s="162"/>
      <c r="J250" s="162">
        <v>1</v>
      </c>
      <c r="K250" s="162" t="s">
        <v>162</v>
      </c>
      <c r="L250" s="162" t="s">
        <v>509</v>
      </c>
      <c r="M250" s="162" t="s">
        <v>535</v>
      </c>
      <c r="N250" s="162" t="s">
        <v>509</v>
      </c>
      <c r="O250" s="162" t="s">
        <v>535</v>
      </c>
      <c r="P250" s="162" t="s">
        <v>1005</v>
      </c>
    </row>
    <row r="251" spans="1:16" s="164" customFormat="1">
      <c r="A251" s="176"/>
      <c r="B251" s="14" t="str">
        <f>VLOOKUP(P251,'护理记录单文书字典(数据)'!B$4:C$99,2,0)</f>
        <v>B750B8340CFAB2112E84DCC7EA528475</v>
      </c>
      <c r="C251" s="163" t="s">
        <v>2312</v>
      </c>
      <c r="D251" s="162" t="s">
        <v>2313</v>
      </c>
      <c r="E251" s="163" t="s">
        <v>2048</v>
      </c>
      <c r="F251" s="163">
        <v>1</v>
      </c>
      <c r="G251" s="163">
        <v>1</v>
      </c>
      <c r="H251" s="162"/>
      <c r="I251" s="162"/>
      <c r="J251" s="162">
        <v>1</v>
      </c>
      <c r="K251" s="162" t="s">
        <v>162</v>
      </c>
      <c r="L251" s="162" t="s">
        <v>509</v>
      </c>
      <c r="M251" s="162" t="s">
        <v>535</v>
      </c>
      <c r="N251" s="162" t="s">
        <v>509</v>
      </c>
      <c r="O251" s="162" t="s">
        <v>535</v>
      </c>
      <c r="P251" s="162" t="s">
        <v>1005</v>
      </c>
    </row>
    <row r="252" spans="1:16" s="164" customFormat="1">
      <c r="A252" s="176"/>
      <c r="B252" s="14" t="str">
        <f>VLOOKUP(P252,'护理记录单文书字典(数据)'!B$4:C$99,2,0)</f>
        <v>B750B8340CFAB2112E84DCC7EA528475</v>
      </c>
      <c r="C252" s="163" t="s">
        <v>2314</v>
      </c>
      <c r="D252" s="162" t="s">
        <v>2315</v>
      </c>
      <c r="E252" s="163" t="s">
        <v>2104</v>
      </c>
      <c r="F252" s="163">
        <v>1</v>
      </c>
      <c r="G252" s="163">
        <v>1</v>
      </c>
      <c r="H252" s="162"/>
      <c r="I252" s="162"/>
      <c r="J252" s="162">
        <v>1</v>
      </c>
      <c r="K252" s="162" t="s">
        <v>162</v>
      </c>
      <c r="L252" s="162" t="s">
        <v>509</v>
      </c>
      <c r="M252" s="162" t="s">
        <v>535</v>
      </c>
      <c r="N252" s="162" t="s">
        <v>509</v>
      </c>
      <c r="O252" s="162" t="s">
        <v>535</v>
      </c>
      <c r="P252" s="162" t="s">
        <v>1005</v>
      </c>
    </row>
    <row r="253" spans="1:16" s="164" customFormat="1">
      <c r="A253" s="176"/>
      <c r="B253" s="14" t="str">
        <f>VLOOKUP(P253,'护理记录单文书字典(数据)'!B$4:C$99,2,0)</f>
        <v>B750B8340CFAB2112E84DCC7EA528475</v>
      </c>
      <c r="C253" s="163" t="s">
        <v>2316</v>
      </c>
      <c r="D253" s="162" t="s">
        <v>4253</v>
      </c>
      <c r="E253" s="163" t="s">
        <v>2104</v>
      </c>
      <c r="F253" s="163">
        <v>1</v>
      </c>
      <c r="G253" s="163">
        <v>1</v>
      </c>
      <c r="H253" s="162"/>
      <c r="I253" s="162"/>
      <c r="J253" s="162">
        <v>1</v>
      </c>
      <c r="K253" s="162" t="s">
        <v>162</v>
      </c>
      <c r="L253" s="162" t="s">
        <v>509</v>
      </c>
      <c r="M253" s="162" t="s">
        <v>535</v>
      </c>
      <c r="N253" s="162" t="s">
        <v>509</v>
      </c>
      <c r="O253" s="162" t="s">
        <v>535</v>
      </c>
      <c r="P253" s="162" t="s">
        <v>1005</v>
      </c>
    </row>
    <row r="254" spans="1:16" s="164" customFormat="1">
      <c r="A254" s="176"/>
      <c r="B254" s="14" t="str">
        <f>VLOOKUP(P254,'护理记录单文书字典(数据)'!B$4:C$99,2,0)</f>
        <v>B750B8340CFAB2112E84DCC7EA528475</v>
      </c>
      <c r="C254" s="163" t="s">
        <v>2317</v>
      </c>
      <c r="D254" s="162" t="s">
        <v>2318</v>
      </c>
      <c r="E254" s="163" t="s">
        <v>2048</v>
      </c>
      <c r="F254" s="163">
        <v>1</v>
      </c>
      <c r="G254" s="163">
        <v>1</v>
      </c>
      <c r="H254" s="162"/>
      <c r="I254" s="162"/>
      <c r="J254" s="162">
        <v>1</v>
      </c>
      <c r="K254" s="162" t="s">
        <v>162</v>
      </c>
      <c r="L254" s="162" t="s">
        <v>509</v>
      </c>
      <c r="M254" s="162" t="s">
        <v>535</v>
      </c>
      <c r="N254" s="162" t="s">
        <v>509</v>
      </c>
      <c r="O254" s="162" t="s">
        <v>535</v>
      </c>
      <c r="P254" s="162" t="s">
        <v>1005</v>
      </c>
    </row>
    <row r="255" spans="1:16" s="164" customFormat="1">
      <c r="A255" s="176"/>
      <c r="B255" s="14" t="str">
        <f>VLOOKUP(P255,'护理记录单文书字典(数据)'!B$4:C$99,2,0)</f>
        <v>B750B8340CFAB2112E84DCC7EA528475</v>
      </c>
      <c r="C255" s="163" t="s">
        <v>2319</v>
      </c>
      <c r="D255" s="162" t="s">
        <v>2320</v>
      </c>
      <c r="E255" s="163" t="s">
        <v>2052</v>
      </c>
      <c r="F255" s="163">
        <v>1</v>
      </c>
      <c r="G255" s="163">
        <v>1</v>
      </c>
      <c r="H255" s="162" t="s">
        <v>2094</v>
      </c>
      <c r="I255" s="162"/>
      <c r="J255" s="162">
        <v>1</v>
      </c>
      <c r="K255" s="162" t="s">
        <v>162</v>
      </c>
      <c r="L255" s="162" t="s">
        <v>509</v>
      </c>
      <c r="M255" s="162" t="s">
        <v>535</v>
      </c>
      <c r="N255" s="162" t="s">
        <v>509</v>
      </c>
      <c r="O255" s="162" t="s">
        <v>535</v>
      </c>
      <c r="P255" s="162" t="s">
        <v>1005</v>
      </c>
    </row>
    <row r="256" spans="1:16" s="164" customFormat="1">
      <c r="A256" s="176"/>
      <c r="B256" s="14" t="str">
        <f>VLOOKUP(P256,'护理记录单文书字典(数据)'!B$4:C$99,2,0)</f>
        <v>B750B8340CFAB2112E84DCC7EA528475</v>
      </c>
      <c r="C256" s="163" t="s">
        <v>2321</v>
      </c>
      <c r="D256" s="162" t="s">
        <v>2322</v>
      </c>
      <c r="E256" s="163" t="s">
        <v>2052</v>
      </c>
      <c r="F256" s="163">
        <v>1</v>
      </c>
      <c r="G256" s="163">
        <v>1</v>
      </c>
      <c r="H256" s="162" t="s">
        <v>2094</v>
      </c>
      <c r="I256" s="162"/>
      <c r="J256" s="162">
        <v>1</v>
      </c>
      <c r="K256" s="162" t="s">
        <v>162</v>
      </c>
      <c r="L256" s="162" t="s">
        <v>509</v>
      </c>
      <c r="M256" s="162" t="s">
        <v>535</v>
      </c>
      <c r="N256" s="162" t="s">
        <v>509</v>
      </c>
      <c r="O256" s="162" t="s">
        <v>535</v>
      </c>
      <c r="P256" s="162" t="s">
        <v>1005</v>
      </c>
    </row>
    <row r="257" spans="1:16" s="164" customFormat="1">
      <c r="A257" s="176"/>
      <c r="B257" s="14" t="str">
        <f>VLOOKUP(P257,'护理记录单文书字典(数据)'!B$4:C$99,2,0)</f>
        <v>B750B8340CFAB2112E84DCC7EA528475</v>
      </c>
      <c r="C257" s="163" t="s">
        <v>2323</v>
      </c>
      <c r="D257" s="162" t="s">
        <v>2324</v>
      </c>
      <c r="E257" s="163" t="s">
        <v>2052</v>
      </c>
      <c r="F257" s="163">
        <v>1</v>
      </c>
      <c r="G257" s="163">
        <v>1</v>
      </c>
      <c r="H257" s="162" t="s">
        <v>2094</v>
      </c>
      <c r="I257" s="162"/>
      <c r="J257" s="162">
        <v>1</v>
      </c>
      <c r="K257" s="162" t="s">
        <v>162</v>
      </c>
      <c r="L257" s="162" t="s">
        <v>509</v>
      </c>
      <c r="M257" s="162" t="s">
        <v>535</v>
      </c>
      <c r="N257" s="162" t="s">
        <v>509</v>
      </c>
      <c r="O257" s="162" t="s">
        <v>535</v>
      </c>
      <c r="P257" s="162" t="s">
        <v>1005</v>
      </c>
    </row>
    <row r="258" spans="1:16" s="164" customFormat="1">
      <c r="A258" s="176"/>
      <c r="B258" s="14" t="str">
        <f>VLOOKUP(P258,'护理记录单文书字典(数据)'!B$4:C$99,2,0)</f>
        <v>B750B8340CFAB2112E84DCC7EA528475</v>
      </c>
      <c r="C258" s="163" t="s">
        <v>2325</v>
      </c>
      <c r="D258" s="162" t="s">
        <v>2326</v>
      </c>
      <c r="E258" s="163" t="s">
        <v>2052</v>
      </c>
      <c r="F258" s="163">
        <v>1</v>
      </c>
      <c r="G258" s="163">
        <v>1</v>
      </c>
      <c r="H258" s="162" t="s">
        <v>2094</v>
      </c>
      <c r="I258" s="162"/>
      <c r="J258" s="162">
        <v>1</v>
      </c>
      <c r="K258" s="162" t="s">
        <v>162</v>
      </c>
      <c r="L258" s="162" t="s">
        <v>509</v>
      </c>
      <c r="M258" s="162" t="s">
        <v>535</v>
      </c>
      <c r="N258" s="162" t="s">
        <v>509</v>
      </c>
      <c r="O258" s="162" t="s">
        <v>535</v>
      </c>
      <c r="P258" s="162" t="s">
        <v>1005</v>
      </c>
    </row>
    <row r="259" spans="1:16" s="164" customFormat="1">
      <c r="A259" s="176"/>
      <c r="B259" s="14" t="str">
        <f>VLOOKUP(P259,'护理记录单文书字典(数据)'!B$4:C$99,2,0)</f>
        <v>B750B8340CFAB2112E84DCC7EA528475</v>
      </c>
      <c r="C259" s="163" t="s">
        <v>2327</v>
      </c>
      <c r="D259" s="162" t="s">
        <v>2328</v>
      </c>
      <c r="E259" s="163" t="s">
        <v>2052</v>
      </c>
      <c r="F259" s="163">
        <v>1</v>
      </c>
      <c r="G259" s="163">
        <v>1</v>
      </c>
      <c r="H259" s="162" t="s">
        <v>2094</v>
      </c>
      <c r="I259" s="162"/>
      <c r="J259" s="162">
        <v>1</v>
      </c>
      <c r="K259" s="162" t="s">
        <v>162</v>
      </c>
      <c r="L259" s="162" t="s">
        <v>509</v>
      </c>
      <c r="M259" s="162" t="s">
        <v>535</v>
      </c>
      <c r="N259" s="162" t="s">
        <v>509</v>
      </c>
      <c r="O259" s="162" t="s">
        <v>535</v>
      </c>
      <c r="P259" s="162" t="s">
        <v>1005</v>
      </c>
    </row>
    <row r="260" spans="1:16" s="164" customFormat="1">
      <c r="A260" s="176"/>
      <c r="B260" s="14" t="str">
        <f>VLOOKUP(P260,'护理记录单文书字典(数据)'!B$4:C$99,2,0)</f>
        <v>B750B8340CFAB2112E84DCC7EA528475</v>
      </c>
      <c r="C260" s="163" t="s">
        <v>2329</v>
      </c>
      <c r="D260" s="162" t="s">
        <v>2330</v>
      </c>
      <c r="E260" s="163" t="s">
        <v>2052</v>
      </c>
      <c r="F260" s="163">
        <v>1</v>
      </c>
      <c r="G260" s="163">
        <v>1</v>
      </c>
      <c r="H260" s="162" t="s">
        <v>2094</v>
      </c>
      <c r="I260" s="162"/>
      <c r="J260" s="162">
        <v>1</v>
      </c>
      <c r="K260" s="162" t="s">
        <v>162</v>
      </c>
      <c r="L260" s="162" t="s">
        <v>509</v>
      </c>
      <c r="M260" s="162" t="s">
        <v>535</v>
      </c>
      <c r="N260" s="162" t="s">
        <v>509</v>
      </c>
      <c r="O260" s="162" t="s">
        <v>535</v>
      </c>
      <c r="P260" s="162" t="s">
        <v>1005</v>
      </c>
    </row>
    <row r="261" spans="1:16" s="164" customFormat="1">
      <c r="A261" s="176"/>
      <c r="B261" s="14" t="str">
        <f>VLOOKUP(P261,'护理记录单文书字典(数据)'!B$4:C$99,2,0)</f>
        <v>B750B8340CFAB2112E84DCC7EA528475</v>
      </c>
      <c r="C261" s="163" t="s">
        <v>2331</v>
      </c>
      <c r="D261" s="162" t="s">
        <v>2332</v>
      </c>
      <c r="E261" s="163" t="s">
        <v>2052</v>
      </c>
      <c r="F261" s="163">
        <v>1</v>
      </c>
      <c r="G261" s="163">
        <v>1</v>
      </c>
      <c r="H261" s="162" t="s">
        <v>2094</v>
      </c>
      <c r="I261" s="162"/>
      <c r="J261" s="162">
        <v>1</v>
      </c>
      <c r="K261" s="162" t="s">
        <v>162</v>
      </c>
      <c r="L261" s="162" t="s">
        <v>509</v>
      </c>
      <c r="M261" s="162" t="s">
        <v>535</v>
      </c>
      <c r="N261" s="162" t="s">
        <v>509</v>
      </c>
      <c r="O261" s="162" t="s">
        <v>535</v>
      </c>
      <c r="P261" s="162" t="s">
        <v>1005</v>
      </c>
    </row>
    <row r="262" spans="1:16" s="164" customFormat="1">
      <c r="A262" s="176"/>
      <c r="B262" s="14" t="str">
        <f>VLOOKUP(P262,'护理记录单文书字典(数据)'!B$4:C$99,2,0)</f>
        <v>B750B8340CFAB2112E84DCC7EA528475</v>
      </c>
      <c r="C262" s="163" t="s">
        <v>2333</v>
      </c>
      <c r="D262" s="162" t="s">
        <v>2334</v>
      </c>
      <c r="E262" s="163" t="s">
        <v>2052</v>
      </c>
      <c r="F262" s="163">
        <v>1</v>
      </c>
      <c r="G262" s="163">
        <v>1</v>
      </c>
      <c r="H262" s="162" t="s">
        <v>2094</v>
      </c>
      <c r="I262" s="162"/>
      <c r="J262" s="162">
        <v>1</v>
      </c>
      <c r="K262" s="162" t="s">
        <v>162</v>
      </c>
      <c r="L262" s="162" t="s">
        <v>509</v>
      </c>
      <c r="M262" s="162" t="s">
        <v>535</v>
      </c>
      <c r="N262" s="162" t="s">
        <v>509</v>
      </c>
      <c r="O262" s="162" t="s">
        <v>535</v>
      </c>
      <c r="P262" s="162" t="s">
        <v>1005</v>
      </c>
    </row>
    <row r="263" spans="1:16" s="164" customFormat="1">
      <c r="A263" s="176"/>
      <c r="B263" s="14" t="str">
        <f>VLOOKUP(P263,'护理记录单文书字典(数据)'!B$4:C$99,2,0)</f>
        <v>B750B8340CFAB2112E84DCC7EA528475</v>
      </c>
      <c r="C263" s="163" t="s">
        <v>2335</v>
      </c>
      <c r="D263" s="162" t="s">
        <v>2336</v>
      </c>
      <c r="E263" s="163" t="s">
        <v>2052</v>
      </c>
      <c r="F263" s="163">
        <v>1</v>
      </c>
      <c r="G263" s="163">
        <v>1</v>
      </c>
      <c r="H263" s="162" t="s">
        <v>2094</v>
      </c>
      <c r="I263" s="162"/>
      <c r="J263" s="162">
        <v>1</v>
      </c>
      <c r="K263" s="162" t="s">
        <v>162</v>
      </c>
      <c r="L263" s="162" t="s">
        <v>509</v>
      </c>
      <c r="M263" s="162" t="s">
        <v>535</v>
      </c>
      <c r="N263" s="162" t="s">
        <v>509</v>
      </c>
      <c r="O263" s="162" t="s">
        <v>535</v>
      </c>
      <c r="P263" s="162" t="s">
        <v>1005</v>
      </c>
    </row>
    <row r="264" spans="1:16" s="164" customFormat="1">
      <c r="A264" s="176"/>
      <c r="B264" s="14" t="str">
        <f>VLOOKUP(P264,'护理记录单文书字典(数据)'!B$4:C$99,2,0)</f>
        <v>B750B8340CFAB2112E84DCC7EA528475</v>
      </c>
      <c r="C264" s="163" t="s">
        <v>2337</v>
      </c>
      <c r="D264" s="162" t="s">
        <v>2338</v>
      </c>
      <c r="E264" s="163" t="s">
        <v>2052</v>
      </c>
      <c r="F264" s="163">
        <v>1</v>
      </c>
      <c r="G264" s="163">
        <v>1</v>
      </c>
      <c r="H264" s="162" t="s">
        <v>2094</v>
      </c>
      <c r="I264" s="162"/>
      <c r="J264" s="162">
        <v>1</v>
      </c>
      <c r="K264" s="162" t="s">
        <v>162</v>
      </c>
      <c r="L264" s="162" t="s">
        <v>509</v>
      </c>
      <c r="M264" s="162" t="s">
        <v>535</v>
      </c>
      <c r="N264" s="162" t="s">
        <v>509</v>
      </c>
      <c r="O264" s="162" t="s">
        <v>535</v>
      </c>
      <c r="P264" s="162" t="s">
        <v>1005</v>
      </c>
    </row>
    <row r="265" spans="1:16" s="164" customFormat="1">
      <c r="A265" s="176"/>
      <c r="B265" s="14" t="str">
        <f>VLOOKUP(P265,'护理记录单文书字典(数据)'!B$4:C$99,2,0)</f>
        <v>B750B8340CFAB2112E84DCC7EA528475</v>
      </c>
      <c r="C265" s="163" t="s">
        <v>2339</v>
      </c>
      <c r="D265" s="162" t="s">
        <v>2340</v>
      </c>
      <c r="E265" s="163" t="s">
        <v>2052</v>
      </c>
      <c r="F265" s="163">
        <v>1</v>
      </c>
      <c r="G265" s="163">
        <v>1</v>
      </c>
      <c r="H265" s="162" t="s">
        <v>2094</v>
      </c>
      <c r="I265" s="162"/>
      <c r="J265" s="162">
        <v>1</v>
      </c>
      <c r="K265" s="162" t="s">
        <v>162</v>
      </c>
      <c r="L265" s="162" t="s">
        <v>509</v>
      </c>
      <c r="M265" s="162" t="s">
        <v>535</v>
      </c>
      <c r="N265" s="162" t="s">
        <v>509</v>
      </c>
      <c r="O265" s="162" t="s">
        <v>535</v>
      </c>
      <c r="P265" s="162" t="s">
        <v>1005</v>
      </c>
    </row>
    <row r="266" spans="1:16" s="164" customFormat="1">
      <c r="A266" s="176"/>
      <c r="B266" s="14" t="str">
        <f>VLOOKUP(P266,'护理记录单文书字典(数据)'!B$4:C$99,2,0)</f>
        <v>B750B8340CFAB2112E84DCC7EA528475</v>
      </c>
      <c r="C266" s="163" t="s">
        <v>2341</v>
      </c>
      <c r="D266" s="162" t="s">
        <v>2342</v>
      </c>
      <c r="E266" s="163" t="s">
        <v>2048</v>
      </c>
      <c r="F266" s="163">
        <v>1</v>
      </c>
      <c r="G266" s="163">
        <v>1</v>
      </c>
      <c r="H266" s="162"/>
      <c r="I266" s="162"/>
      <c r="J266" s="162">
        <v>1</v>
      </c>
      <c r="K266" s="162" t="s">
        <v>162</v>
      </c>
      <c r="L266" s="162" t="s">
        <v>509</v>
      </c>
      <c r="M266" s="162" t="s">
        <v>535</v>
      </c>
      <c r="N266" s="162" t="s">
        <v>509</v>
      </c>
      <c r="O266" s="162" t="s">
        <v>535</v>
      </c>
      <c r="P266" s="162" t="s">
        <v>1005</v>
      </c>
    </row>
    <row r="267" spans="1:16" s="164" customFormat="1">
      <c r="A267" s="176"/>
      <c r="B267" s="14" t="str">
        <f>VLOOKUP(P267,'护理记录单文书字典(数据)'!B$4:C$99,2,0)</f>
        <v>B750B8340CFAB2112E84DCC7EA528475</v>
      </c>
      <c r="C267" s="163" t="s">
        <v>2343</v>
      </c>
      <c r="D267" s="162" t="s">
        <v>2344</v>
      </c>
      <c r="E267" s="163" t="s">
        <v>2048</v>
      </c>
      <c r="F267" s="163">
        <v>1</v>
      </c>
      <c r="G267" s="163">
        <v>1</v>
      </c>
      <c r="H267" s="162"/>
      <c r="I267" s="162"/>
      <c r="J267" s="162">
        <v>1</v>
      </c>
      <c r="K267" s="162" t="s">
        <v>162</v>
      </c>
      <c r="L267" s="162" t="s">
        <v>509</v>
      </c>
      <c r="M267" s="162" t="s">
        <v>535</v>
      </c>
      <c r="N267" s="162" t="s">
        <v>509</v>
      </c>
      <c r="O267" s="162" t="s">
        <v>535</v>
      </c>
      <c r="P267" s="162" t="s">
        <v>1005</v>
      </c>
    </row>
    <row r="268" spans="1:16" s="164" customFormat="1">
      <c r="A268" s="176"/>
      <c r="B268" s="14" t="str">
        <f>VLOOKUP(P268,'护理记录单文书字典(数据)'!B$4:C$99,2,0)</f>
        <v>B750B8340CFAB2112E84DCC7EA528475</v>
      </c>
      <c r="C268" s="163" t="s">
        <v>2345</v>
      </c>
      <c r="D268" s="162" t="s">
        <v>2346</v>
      </c>
      <c r="E268" s="163" t="s">
        <v>2104</v>
      </c>
      <c r="F268" s="163">
        <v>1</v>
      </c>
      <c r="G268" s="163">
        <v>1</v>
      </c>
      <c r="H268" s="162"/>
      <c r="I268" s="162"/>
      <c r="J268" s="162">
        <v>1</v>
      </c>
      <c r="K268" s="162" t="s">
        <v>162</v>
      </c>
      <c r="L268" s="162" t="s">
        <v>509</v>
      </c>
      <c r="M268" s="162" t="s">
        <v>535</v>
      </c>
      <c r="N268" s="162" t="s">
        <v>509</v>
      </c>
      <c r="O268" s="162" t="s">
        <v>535</v>
      </c>
      <c r="P268" s="162" t="s">
        <v>1005</v>
      </c>
    </row>
    <row r="269" spans="1:16" s="164" customFormat="1">
      <c r="A269" s="176"/>
      <c r="B269" s="14" t="str">
        <f>VLOOKUP(P269,'护理记录单文书字典(数据)'!B$4:C$99,2,0)</f>
        <v>B750B8340CFAB2112E84DCC7EA528475</v>
      </c>
      <c r="C269" s="163" t="s">
        <v>2347</v>
      </c>
      <c r="D269" s="162" t="s">
        <v>4258</v>
      </c>
      <c r="E269" s="163" t="s">
        <v>2104</v>
      </c>
      <c r="F269" s="163">
        <v>1</v>
      </c>
      <c r="G269" s="163">
        <v>1</v>
      </c>
      <c r="H269" s="162"/>
      <c r="I269" s="162"/>
      <c r="J269" s="162">
        <v>1</v>
      </c>
      <c r="K269" s="162" t="s">
        <v>162</v>
      </c>
      <c r="L269" s="162" t="s">
        <v>509</v>
      </c>
      <c r="M269" s="162" t="s">
        <v>535</v>
      </c>
      <c r="N269" s="162" t="s">
        <v>509</v>
      </c>
      <c r="O269" s="162" t="s">
        <v>535</v>
      </c>
      <c r="P269" s="162" t="s">
        <v>1005</v>
      </c>
    </row>
    <row r="270" spans="1:16" s="164" customFormat="1">
      <c r="A270" s="176"/>
      <c r="B270" s="14" t="str">
        <f>VLOOKUP(P270,'护理记录单文书字典(数据)'!B$4:C$99,2,0)</f>
        <v>B750B8340CFAB2112E84DCC7EA528475</v>
      </c>
      <c r="C270" s="163" t="s">
        <v>2348</v>
      </c>
      <c r="D270" s="162" t="s">
        <v>2349</v>
      </c>
      <c r="E270" s="163" t="s">
        <v>2048</v>
      </c>
      <c r="F270" s="163">
        <v>1</v>
      </c>
      <c r="G270" s="163">
        <v>1</v>
      </c>
      <c r="H270" s="162"/>
      <c r="I270" s="162"/>
      <c r="J270" s="162">
        <v>1</v>
      </c>
      <c r="K270" s="162" t="s">
        <v>162</v>
      </c>
      <c r="L270" s="162" t="s">
        <v>509</v>
      </c>
      <c r="M270" s="162" t="s">
        <v>535</v>
      </c>
      <c r="N270" s="162" t="s">
        <v>509</v>
      </c>
      <c r="O270" s="162" t="s">
        <v>535</v>
      </c>
      <c r="P270" s="162" t="s">
        <v>1005</v>
      </c>
    </row>
    <row r="271" spans="1:16" s="164" customFormat="1">
      <c r="A271" s="176"/>
      <c r="B271" s="14" t="str">
        <f>VLOOKUP(P271,'护理记录单文书字典(数据)'!B$4:C$99,2,0)</f>
        <v>B750B8340CFAB2112E84DCC7EA528475</v>
      </c>
      <c r="C271" s="163" t="s">
        <v>2350</v>
      </c>
      <c r="D271" s="162" t="s">
        <v>2351</v>
      </c>
      <c r="E271" s="163" t="s">
        <v>2052</v>
      </c>
      <c r="F271" s="163">
        <v>1</v>
      </c>
      <c r="G271" s="163">
        <v>1</v>
      </c>
      <c r="H271" s="162" t="s">
        <v>2094</v>
      </c>
      <c r="I271" s="162"/>
      <c r="J271" s="162">
        <v>1</v>
      </c>
      <c r="K271" s="162" t="s">
        <v>162</v>
      </c>
      <c r="L271" s="162" t="s">
        <v>509</v>
      </c>
      <c r="M271" s="162" t="s">
        <v>535</v>
      </c>
      <c r="N271" s="162" t="s">
        <v>509</v>
      </c>
      <c r="O271" s="162" t="s">
        <v>535</v>
      </c>
      <c r="P271" s="162" t="s">
        <v>1005</v>
      </c>
    </row>
    <row r="272" spans="1:16" s="164" customFormat="1">
      <c r="A272" s="176"/>
      <c r="B272" s="14" t="str">
        <f>VLOOKUP(P272,'护理记录单文书字典(数据)'!B$4:C$99,2,0)</f>
        <v>B750B8340CFAB2112E84DCC7EA528475</v>
      </c>
      <c r="C272" s="163" t="s">
        <v>2352</v>
      </c>
      <c r="D272" s="162" t="s">
        <v>2353</v>
      </c>
      <c r="E272" s="163" t="s">
        <v>2052</v>
      </c>
      <c r="F272" s="163">
        <v>1</v>
      </c>
      <c r="G272" s="163">
        <v>1</v>
      </c>
      <c r="H272" s="162" t="s">
        <v>2094</v>
      </c>
      <c r="I272" s="162"/>
      <c r="J272" s="162">
        <v>1</v>
      </c>
      <c r="K272" s="162" t="s">
        <v>162</v>
      </c>
      <c r="L272" s="162" t="s">
        <v>509</v>
      </c>
      <c r="M272" s="162" t="s">
        <v>535</v>
      </c>
      <c r="N272" s="162" t="s">
        <v>509</v>
      </c>
      <c r="O272" s="162" t="s">
        <v>535</v>
      </c>
      <c r="P272" s="162" t="s">
        <v>1005</v>
      </c>
    </row>
    <row r="273" spans="1:16" s="164" customFormat="1">
      <c r="A273" s="176"/>
      <c r="B273" s="14" t="str">
        <f>VLOOKUP(P273,'护理记录单文书字典(数据)'!B$4:C$99,2,0)</f>
        <v>B750B8340CFAB2112E84DCC7EA528475</v>
      </c>
      <c r="C273" s="163" t="s">
        <v>2354</v>
      </c>
      <c r="D273" s="162" t="s">
        <v>2355</v>
      </c>
      <c r="E273" s="163" t="s">
        <v>2052</v>
      </c>
      <c r="F273" s="163">
        <v>1</v>
      </c>
      <c r="G273" s="163">
        <v>1</v>
      </c>
      <c r="H273" s="162" t="s">
        <v>2094</v>
      </c>
      <c r="I273" s="162"/>
      <c r="J273" s="162">
        <v>1</v>
      </c>
      <c r="K273" s="162" t="s">
        <v>162</v>
      </c>
      <c r="L273" s="162" t="s">
        <v>509</v>
      </c>
      <c r="M273" s="162" t="s">
        <v>535</v>
      </c>
      <c r="N273" s="162" t="s">
        <v>509</v>
      </c>
      <c r="O273" s="162" t="s">
        <v>535</v>
      </c>
      <c r="P273" s="162" t="s">
        <v>1005</v>
      </c>
    </row>
    <row r="274" spans="1:16" s="164" customFormat="1">
      <c r="A274" s="176"/>
      <c r="B274" s="14" t="str">
        <f>VLOOKUP(P274,'护理记录单文书字典(数据)'!B$4:C$99,2,0)</f>
        <v>B750B8340CFAB2112E84DCC7EA528475</v>
      </c>
      <c r="C274" s="163" t="s">
        <v>2356</v>
      </c>
      <c r="D274" s="162" t="s">
        <v>2357</v>
      </c>
      <c r="E274" s="163" t="s">
        <v>2052</v>
      </c>
      <c r="F274" s="163">
        <v>1</v>
      </c>
      <c r="G274" s="163">
        <v>1</v>
      </c>
      <c r="H274" s="162" t="s">
        <v>2094</v>
      </c>
      <c r="I274" s="162"/>
      <c r="J274" s="162">
        <v>1</v>
      </c>
      <c r="K274" s="162" t="s">
        <v>162</v>
      </c>
      <c r="L274" s="162" t="s">
        <v>509</v>
      </c>
      <c r="M274" s="162" t="s">
        <v>535</v>
      </c>
      <c r="N274" s="162" t="s">
        <v>509</v>
      </c>
      <c r="O274" s="162" t="s">
        <v>535</v>
      </c>
      <c r="P274" s="162" t="s">
        <v>1005</v>
      </c>
    </row>
    <row r="275" spans="1:16" s="164" customFormat="1">
      <c r="A275" s="176"/>
      <c r="B275" s="14" t="str">
        <f>VLOOKUP(P275,'护理记录单文书字典(数据)'!B$4:C$99,2,0)</f>
        <v>B750B8340CFAB2112E84DCC7EA528475</v>
      </c>
      <c r="C275" s="163" t="s">
        <v>2358</v>
      </c>
      <c r="D275" s="162" t="s">
        <v>2359</v>
      </c>
      <c r="E275" s="163" t="s">
        <v>2052</v>
      </c>
      <c r="F275" s="163">
        <v>1</v>
      </c>
      <c r="G275" s="163">
        <v>1</v>
      </c>
      <c r="H275" s="162" t="s">
        <v>2094</v>
      </c>
      <c r="I275" s="162"/>
      <c r="J275" s="162">
        <v>1</v>
      </c>
      <c r="K275" s="162" t="s">
        <v>162</v>
      </c>
      <c r="L275" s="162" t="s">
        <v>509</v>
      </c>
      <c r="M275" s="162" t="s">
        <v>535</v>
      </c>
      <c r="N275" s="162" t="s">
        <v>509</v>
      </c>
      <c r="O275" s="162" t="s">
        <v>535</v>
      </c>
      <c r="P275" s="162" t="s">
        <v>1005</v>
      </c>
    </row>
    <row r="276" spans="1:16" s="164" customFormat="1">
      <c r="A276" s="176"/>
      <c r="B276" s="14" t="str">
        <f>VLOOKUP(P276,'护理记录单文书字典(数据)'!B$4:C$99,2,0)</f>
        <v>B750B8340CFAB2112E84DCC7EA528475</v>
      </c>
      <c r="C276" s="163" t="s">
        <v>2360</v>
      </c>
      <c r="D276" s="162" t="s">
        <v>2361</v>
      </c>
      <c r="E276" s="163" t="s">
        <v>2052</v>
      </c>
      <c r="F276" s="163">
        <v>1</v>
      </c>
      <c r="G276" s="163">
        <v>1</v>
      </c>
      <c r="H276" s="162" t="s">
        <v>2094</v>
      </c>
      <c r="I276" s="162"/>
      <c r="J276" s="162">
        <v>1</v>
      </c>
      <c r="K276" s="162" t="s">
        <v>162</v>
      </c>
      <c r="L276" s="162" t="s">
        <v>509</v>
      </c>
      <c r="M276" s="162" t="s">
        <v>535</v>
      </c>
      <c r="N276" s="162" t="s">
        <v>509</v>
      </c>
      <c r="O276" s="162" t="s">
        <v>535</v>
      </c>
      <c r="P276" s="162" t="s">
        <v>1005</v>
      </c>
    </row>
    <row r="277" spans="1:16" s="164" customFormat="1">
      <c r="A277" s="176"/>
      <c r="B277" s="14" t="str">
        <f>VLOOKUP(P277,'护理记录单文书字典(数据)'!B$4:C$99,2,0)</f>
        <v>B750B8340CFAB2112E84DCC7EA528475</v>
      </c>
      <c r="C277" s="163" t="s">
        <v>2362</v>
      </c>
      <c r="D277" s="162" t="s">
        <v>2363</v>
      </c>
      <c r="E277" s="163" t="s">
        <v>2052</v>
      </c>
      <c r="F277" s="163">
        <v>1</v>
      </c>
      <c r="G277" s="163">
        <v>1</v>
      </c>
      <c r="H277" s="162" t="s">
        <v>2094</v>
      </c>
      <c r="I277" s="162"/>
      <c r="J277" s="162">
        <v>1</v>
      </c>
      <c r="K277" s="162" t="s">
        <v>162</v>
      </c>
      <c r="L277" s="162" t="s">
        <v>509</v>
      </c>
      <c r="M277" s="162" t="s">
        <v>535</v>
      </c>
      <c r="N277" s="162" t="s">
        <v>509</v>
      </c>
      <c r="O277" s="162" t="s">
        <v>535</v>
      </c>
      <c r="P277" s="162" t="s">
        <v>1005</v>
      </c>
    </row>
    <row r="278" spans="1:16" s="164" customFormat="1">
      <c r="A278" s="176"/>
      <c r="B278" s="14" t="str">
        <f>VLOOKUP(P278,'护理记录单文书字典(数据)'!B$4:C$99,2,0)</f>
        <v>B750B8340CFAB2112E84DCC7EA528475</v>
      </c>
      <c r="C278" s="163" t="s">
        <v>2364</v>
      </c>
      <c r="D278" s="162" t="s">
        <v>2365</v>
      </c>
      <c r="E278" s="163" t="s">
        <v>2052</v>
      </c>
      <c r="F278" s="163">
        <v>1</v>
      </c>
      <c r="G278" s="163">
        <v>1</v>
      </c>
      <c r="H278" s="162" t="s">
        <v>2094</v>
      </c>
      <c r="I278" s="162"/>
      <c r="J278" s="162">
        <v>1</v>
      </c>
      <c r="K278" s="162" t="s">
        <v>162</v>
      </c>
      <c r="L278" s="162" t="s">
        <v>509</v>
      </c>
      <c r="M278" s="162" t="s">
        <v>535</v>
      </c>
      <c r="N278" s="162" t="s">
        <v>509</v>
      </c>
      <c r="O278" s="162" t="s">
        <v>535</v>
      </c>
      <c r="P278" s="162" t="s">
        <v>1005</v>
      </c>
    </row>
    <row r="279" spans="1:16" s="164" customFormat="1">
      <c r="A279" s="176"/>
      <c r="B279" s="14" t="str">
        <f>VLOOKUP(P279,'护理记录单文书字典(数据)'!B$4:C$99,2,0)</f>
        <v>B750B8340CFAB2112E84DCC7EA528475</v>
      </c>
      <c r="C279" s="163" t="s">
        <v>2366</v>
      </c>
      <c r="D279" s="162" t="s">
        <v>2367</v>
      </c>
      <c r="E279" s="163" t="s">
        <v>2052</v>
      </c>
      <c r="F279" s="163">
        <v>1</v>
      </c>
      <c r="G279" s="163">
        <v>1</v>
      </c>
      <c r="H279" s="162" t="s">
        <v>2094</v>
      </c>
      <c r="I279" s="162"/>
      <c r="J279" s="162">
        <v>1</v>
      </c>
      <c r="K279" s="162" t="s">
        <v>162</v>
      </c>
      <c r="L279" s="162" t="s">
        <v>509</v>
      </c>
      <c r="M279" s="162" t="s">
        <v>535</v>
      </c>
      <c r="N279" s="162" t="s">
        <v>509</v>
      </c>
      <c r="O279" s="162" t="s">
        <v>535</v>
      </c>
      <c r="P279" s="162" t="s">
        <v>1005</v>
      </c>
    </row>
    <row r="280" spans="1:16" s="164" customFormat="1">
      <c r="A280" s="176"/>
      <c r="B280" s="14" t="str">
        <f>VLOOKUP(P280,'护理记录单文书字典(数据)'!B$4:C$99,2,0)</f>
        <v>B750B8340CFAB2112E84DCC7EA528475</v>
      </c>
      <c r="C280" s="163" t="s">
        <v>2368</v>
      </c>
      <c r="D280" s="162" t="s">
        <v>2369</v>
      </c>
      <c r="E280" s="163" t="s">
        <v>2052</v>
      </c>
      <c r="F280" s="163">
        <v>1</v>
      </c>
      <c r="G280" s="163">
        <v>1</v>
      </c>
      <c r="H280" s="162" t="s">
        <v>2094</v>
      </c>
      <c r="I280" s="162"/>
      <c r="J280" s="162">
        <v>1</v>
      </c>
      <c r="K280" s="162" t="s">
        <v>162</v>
      </c>
      <c r="L280" s="162" t="s">
        <v>509</v>
      </c>
      <c r="M280" s="162" t="s">
        <v>535</v>
      </c>
      <c r="N280" s="162" t="s">
        <v>509</v>
      </c>
      <c r="O280" s="162" t="s">
        <v>535</v>
      </c>
      <c r="P280" s="162" t="s">
        <v>1005</v>
      </c>
    </row>
    <row r="281" spans="1:16" s="164" customFormat="1">
      <c r="A281" s="176"/>
      <c r="B281" s="14" t="str">
        <f>VLOOKUP(P281,'护理记录单文书字典(数据)'!B$4:C$99,2,0)</f>
        <v>B750B8340CFAB2112E84DCC7EA528475</v>
      </c>
      <c r="C281" s="163" t="s">
        <v>2370</v>
      </c>
      <c r="D281" s="162" t="s">
        <v>2371</v>
      </c>
      <c r="E281" s="163" t="s">
        <v>2052</v>
      </c>
      <c r="F281" s="163">
        <v>1</v>
      </c>
      <c r="G281" s="163">
        <v>1</v>
      </c>
      <c r="H281" s="162" t="s">
        <v>2094</v>
      </c>
      <c r="I281" s="162"/>
      <c r="J281" s="162">
        <v>1</v>
      </c>
      <c r="K281" s="162" t="s">
        <v>162</v>
      </c>
      <c r="L281" s="162" t="s">
        <v>509</v>
      </c>
      <c r="M281" s="162" t="s">
        <v>535</v>
      </c>
      <c r="N281" s="162" t="s">
        <v>509</v>
      </c>
      <c r="O281" s="162" t="s">
        <v>535</v>
      </c>
      <c r="P281" s="162" t="s">
        <v>1005</v>
      </c>
    </row>
    <row r="282" spans="1:16" s="164" customFormat="1">
      <c r="A282" s="176"/>
      <c r="B282" s="14" t="str">
        <f>VLOOKUP(P282,'护理记录单文书字典(数据)'!B$4:C$99,2,0)</f>
        <v>B750B8340CFAB2112E84DCC7EA528475</v>
      </c>
      <c r="C282" s="163" t="s">
        <v>2372</v>
      </c>
      <c r="D282" s="162" t="s">
        <v>2373</v>
      </c>
      <c r="E282" s="163" t="s">
        <v>2048</v>
      </c>
      <c r="F282" s="163">
        <v>1</v>
      </c>
      <c r="G282" s="163">
        <v>1</v>
      </c>
      <c r="H282" s="162"/>
      <c r="I282" s="162"/>
      <c r="J282" s="162">
        <v>1</v>
      </c>
      <c r="K282" s="162" t="s">
        <v>162</v>
      </c>
      <c r="L282" s="162" t="s">
        <v>509</v>
      </c>
      <c r="M282" s="162" t="s">
        <v>535</v>
      </c>
      <c r="N282" s="162" t="s">
        <v>509</v>
      </c>
      <c r="O282" s="162" t="s">
        <v>535</v>
      </c>
      <c r="P282" s="162" t="s">
        <v>1005</v>
      </c>
    </row>
    <row r="283" spans="1:16" s="164" customFormat="1">
      <c r="A283" s="176"/>
      <c r="B283" s="14" t="str">
        <f>VLOOKUP(P283,'护理记录单文书字典(数据)'!B$4:C$99,2,0)</f>
        <v>B750B8340CFAB2112E84DCC7EA528475</v>
      </c>
      <c r="C283" s="163" t="s">
        <v>2374</v>
      </c>
      <c r="D283" s="162" t="s">
        <v>2375</v>
      </c>
      <c r="E283" s="163" t="s">
        <v>2048</v>
      </c>
      <c r="F283" s="163">
        <v>1</v>
      </c>
      <c r="G283" s="163">
        <v>1</v>
      </c>
      <c r="H283" s="162"/>
      <c r="I283" s="162"/>
      <c r="J283" s="162">
        <v>1</v>
      </c>
      <c r="K283" s="162" t="s">
        <v>162</v>
      </c>
      <c r="L283" s="162" t="s">
        <v>509</v>
      </c>
      <c r="M283" s="162" t="s">
        <v>535</v>
      </c>
      <c r="N283" s="162" t="s">
        <v>509</v>
      </c>
      <c r="O283" s="162" t="s">
        <v>535</v>
      </c>
      <c r="P283" s="162" t="s">
        <v>1005</v>
      </c>
    </row>
    <row r="284" spans="1:16" s="164" customFormat="1">
      <c r="A284" s="176"/>
      <c r="B284" s="14" t="str">
        <f>VLOOKUP(P284,'护理记录单文书字典(数据)'!B$4:C$99,2,0)</f>
        <v>B750B8340CFAB2112E84DCC7EA528475</v>
      </c>
      <c r="C284" s="163" t="s">
        <v>2376</v>
      </c>
      <c r="D284" s="162" t="s">
        <v>2377</v>
      </c>
      <c r="E284" s="163" t="s">
        <v>2104</v>
      </c>
      <c r="F284" s="163">
        <v>1</v>
      </c>
      <c r="G284" s="163">
        <v>1</v>
      </c>
      <c r="H284" s="162"/>
      <c r="I284" s="162"/>
      <c r="J284" s="162">
        <v>1</v>
      </c>
      <c r="K284" s="162" t="s">
        <v>162</v>
      </c>
      <c r="L284" s="162" t="s">
        <v>509</v>
      </c>
      <c r="M284" s="162" t="s">
        <v>535</v>
      </c>
      <c r="N284" s="162" t="s">
        <v>509</v>
      </c>
      <c r="O284" s="162" t="s">
        <v>535</v>
      </c>
      <c r="P284" s="162" t="s">
        <v>1005</v>
      </c>
    </row>
    <row r="285" spans="1:16" s="164" customFormat="1">
      <c r="A285" s="176"/>
      <c r="B285" s="14" t="str">
        <f>VLOOKUP(P285,'护理记录单文书字典(数据)'!B$4:C$99,2,0)</f>
        <v>B750B8340CFAB2112E84DCC7EA528475</v>
      </c>
      <c r="C285" s="163" t="s">
        <v>2378</v>
      </c>
      <c r="D285" s="162" t="s">
        <v>4263</v>
      </c>
      <c r="E285" s="163" t="s">
        <v>2104</v>
      </c>
      <c r="F285" s="163">
        <v>1</v>
      </c>
      <c r="G285" s="163">
        <v>1</v>
      </c>
      <c r="H285" s="162"/>
      <c r="I285" s="162"/>
      <c r="J285" s="162">
        <v>1</v>
      </c>
      <c r="K285" s="162" t="s">
        <v>162</v>
      </c>
      <c r="L285" s="162" t="s">
        <v>509</v>
      </c>
      <c r="M285" s="162" t="s">
        <v>535</v>
      </c>
      <c r="N285" s="162" t="s">
        <v>509</v>
      </c>
      <c r="O285" s="162" t="s">
        <v>535</v>
      </c>
      <c r="P285" s="162" t="s">
        <v>1005</v>
      </c>
    </row>
    <row r="286" spans="1:16" s="164" customFormat="1">
      <c r="A286" s="176"/>
      <c r="B286" s="14" t="str">
        <f>VLOOKUP(P286,'护理记录单文书字典(数据)'!B$4:C$99,2,0)</f>
        <v>B750B8340CFAB2112E84DCC7EA528475</v>
      </c>
      <c r="C286" s="163" t="s">
        <v>2379</v>
      </c>
      <c r="D286" s="162" t="s">
        <v>2380</v>
      </c>
      <c r="E286" s="163" t="s">
        <v>2048</v>
      </c>
      <c r="F286" s="163">
        <v>1</v>
      </c>
      <c r="G286" s="163">
        <v>1</v>
      </c>
      <c r="H286" s="162"/>
      <c r="I286" s="162"/>
      <c r="J286" s="162">
        <v>1</v>
      </c>
      <c r="K286" s="162" t="s">
        <v>162</v>
      </c>
      <c r="L286" s="162" t="s">
        <v>509</v>
      </c>
      <c r="M286" s="162" t="s">
        <v>535</v>
      </c>
      <c r="N286" s="162" t="s">
        <v>509</v>
      </c>
      <c r="O286" s="162" t="s">
        <v>535</v>
      </c>
      <c r="P286" s="162" t="s">
        <v>1005</v>
      </c>
    </row>
    <row r="287" spans="1:16" s="164" customFormat="1">
      <c r="A287" s="176"/>
      <c r="B287" s="14" t="str">
        <f>VLOOKUP(P287,'护理记录单文书字典(数据)'!B$4:C$99,2,0)</f>
        <v>B750B8340CFAB2112E84DCC7EA528475</v>
      </c>
      <c r="C287" s="163" t="s">
        <v>2381</v>
      </c>
      <c r="D287" s="162" t="s">
        <v>2382</v>
      </c>
      <c r="E287" s="163" t="s">
        <v>2052</v>
      </c>
      <c r="F287" s="163">
        <v>1</v>
      </c>
      <c r="G287" s="163">
        <v>1</v>
      </c>
      <c r="H287" s="162" t="s">
        <v>2094</v>
      </c>
      <c r="I287" s="162"/>
      <c r="J287" s="162">
        <v>1</v>
      </c>
      <c r="K287" s="162" t="s">
        <v>162</v>
      </c>
      <c r="L287" s="162" t="s">
        <v>509</v>
      </c>
      <c r="M287" s="162" t="s">
        <v>535</v>
      </c>
      <c r="N287" s="162" t="s">
        <v>509</v>
      </c>
      <c r="O287" s="162" t="s">
        <v>535</v>
      </c>
      <c r="P287" s="162" t="s">
        <v>1005</v>
      </c>
    </row>
    <row r="288" spans="1:16" s="164" customFormat="1">
      <c r="A288" s="176"/>
      <c r="B288" s="14" t="str">
        <f>VLOOKUP(P288,'护理记录单文书字典(数据)'!B$4:C$99,2,0)</f>
        <v>B750B8340CFAB2112E84DCC7EA528475</v>
      </c>
      <c r="C288" s="163" t="s">
        <v>2383</v>
      </c>
      <c r="D288" s="162" t="s">
        <v>2384</v>
      </c>
      <c r="E288" s="163" t="s">
        <v>2052</v>
      </c>
      <c r="F288" s="163">
        <v>1</v>
      </c>
      <c r="G288" s="163">
        <v>1</v>
      </c>
      <c r="H288" s="162" t="s">
        <v>2094</v>
      </c>
      <c r="I288" s="162"/>
      <c r="J288" s="162">
        <v>1</v>
      </c>
      <c r="K288" s="162" t="s">
        <v>162</v>
      </c>
      <c r="L288" s="162" t="s">
        <v>509</v>
      </c>
      <c r="M288" s="162" t="s">
        <v>535</v>
      </c>
      <c r="N288" s="162" t="s">
        <v>509</v>
      </c>
      <c r="O288" s="162" t="s">
        <v>535</v>
      </c>
      <c r="P288" s="162" t="s">
        <v>1005</v>
      </c>
    </row>
    <row r="289" spans="1:16" s="164" customFormat="1">
      <c r="A289" s="176"/>
      <c r="B289" s="14" t="str">
        <f>VLOOKUP(P289,'护理记录单文书字典(数据)'!B$4:C$99,2,0)</f>
        <v>B750B8340CFAB2112E84DCC7EA528475</v>
      </c>
      <c r="C289" s="163" t="s">
        <v>2385</v>
      </c>
      <c r="D289" s="162" t="s">
        <v>2386</v>
      </c>
      <c r="E289" s="163" t="s">
        <v>2052</v>
      </c>
      <c r="F289" s="163">
        <v>1</v>
      </c>
      <c r="G289" s="163">
        <v>1</v>
      </c>
      <c r="H289" s="162" t="s">
        <v>2094</v>
      </c>
      <c r="I289" s="162"/>
      <c r="J289" s="162">
        <v>1</v>
      </c>
      <c r="K289" s="162" t="s">
        <v>162</v>
      </c>
      <c r="L289" s="162" t="s">
        <v>509</v>
      </c>
      <c r="M289" s="162" t="s">
        <v>535</v>
      </c>
      <c r="N289" s="162" t="s">
        <v>509</v>
      </c>
      <c r="O289" s="162" t="s">
        <v>535</v>
      </c>
      <c r="P289" s="162" t="s">
        <v>1005</v>
      </c>
    </row>
    <row r="290" spans="1:16" s="164" customFormat="1">
      <c r="A290" s="176"/>
      <c r="B290" s="14" t="str">
        <f>VLOOKUP(P290,'护理记录单文书字典(数据)'!B$4:C$99,2,0)</f>
        <v>B750B8340CFAB2112E84DCC7EA528475</v>
      </c>
      <c r="C290" s="163" t="s">
        <v>2387</v>
      </c>
      <c r="D290" s="162" t="s">
        <v>2388</v>
      </c>
      <c r="E290" s="163" t="s">
        <v>2052</v>
      </c>
      <c r="F290" s="163">
        <v>1</v>
      </c>
      <c r="G290" s="163">
        <v>1</v>
      </c>
      <c r="H290" s="162" t="s">
        <v>2094</v>
      </c>
      <c r="I290" s="162"/>
      <c r="J290" s="162">
        <v>1</v>
      </c>
      <c r="K290" s="162" t="s">
        <v>162</v>
      </c>
      <c r="L290" s="162" t="s">
        <v>509</v>
      </c>
      <c r="M290" s="162" t="s">
        <v>535</v>
      </c>
      <c r="N290" s="162" t="s">
        <v>509</v>
      </c>
      <c r="O290" s="162" t="s">
        <v>535</v>
      </c>
      <c r="P290" s="162" t="s">
        <v>1005</v>
      </c>
    </row>
    <row r="291" spans="1:16" s="164" customFormat="1">
      <c r="A291" s="176"/>
      <c r="B291" s="14" t="str">
        <f>VLOOKUP(P291,'护理记录单文书字典(数据)'!B$4:C$99,2,0)</f>
        <v>B750B8340CFAB2112E84DCC7EA528475</v>
      </c>
      <c r="C291" s="163" t="s">
        <v>2389</v>
      </c>
      <c r="D291" s="162" t="s">
        <v>2390</v>
      </c>
      <c r="E291" s="163" t="s">
        <v>2052</v>
      </c>
      <c r="F291" s="163">
        <v>1</v>
      </c>
      <c r="G291" s="163">
        <v>1</v>
      </c>
      <c r="H291" s="162" t="s">
        <v>2094</v>
      </c>
      <c r="I291" s="162"/>
      <c r="J291" s="162">
        <v>1</v>
      </c>
      <c r="K291" s="162" t="s">
        <v>162</v>
      </c>
      <c r="L291" s="162" t="s">
        <v>509</v>
      </c>
      <c r="M291" s="162" t="s">
        <v>535</v>
      </c>
      <c r="N291" s="162" t="s">
        <v>509</v>
      </c>
      <c r="O291" s="162" t="s">
        <v>535</v>
      </c>
      <c r="P291" s="162" t="s">
        <v>1005</v>
      </c>
    </row>
    <row r="292" spans="1:16" s="164" customFormat="1">
      <c r="A292" s="176"/>
      <c r="B292" s="14" t="str">
        <f>VLOOKUP(P292,'护理记录单文书字典(数据)'!B$4:C$99,2,0)</f>
        <v>B750B8340CFAB2112E84DCC7EA528475</v>
      </c>
      <c r="C292" s="163" t="s">
        <v>2391</v>
      </c>
      <c r="D292" s="162" t="s">
        <v>2392</v>
      </c>
      <c r="E292" s="163" t="s">
        <v>2052</v>
      </c>
      <c r="F292" s="163">
        <v>1</v>
      </c>
      <c r="G292" s="163">
        <v>1</v>
      </c>
      <c r="H292" s="162" t="s">
        <v>2094</v>
      </c>
      <c r="I292" s="162"/>
      <c r="J292" s="162">
        <v>1</v>
      </c>
      <c r="K292" s="162" t="s">
        <v>162</v>
      </c>
      <c r="L292" s="162" t="s">
        <v>509</v>
      </c>
      <c r="M292" s="162" t="s">
        <v>535</v>
      </c>
      <c r="N292" s="162" t="s">
        <v>509</v>
      </c>
      <c r="O292" s="162" t="s">
        <v>535</v>
      </c>
      <c r="P292" s="162" t="s">
        <v>1005</v>
      </c>
    </row>
    <row r="293" spans="1:16" s="164" customFormat="1">
      <c r="A293" s="176"/>
      <c r="B293" s="14" t="str">
        <f>VLOOKUP(P293,'护理记录单文书字典(数据)'!B$4:C$99,2,0)</f>
        <v>B750B8340CFAB2112E84DCC7EA528475</v>
      </c>
      <c r="C293" s="163" t="s">
        <v>2393</v>
      </c>
      <c r="D293" s="162" t="s">
        <v>2394</v>
      </c>
      <c r="E293" s="163" t="s">
        <v>2052</v>
      </c>
      <c r="F293" s="163">
        <v>1</v>
      </c>
      <c r="G293" s="163">
        <v>1</v>
      </c>
      <c r="H293" s="162" t="s">
        <v>2094</v>
      </c>
      <c r="I293" s="162"/>
      <c r="J293" s="162">
        <v>1</v>
      </c>
      <c r="K293" s="162" t="s">
        <v>162</v>
      </c>
      <c r="L293" s="162" t="s">
        <v>509</v>
      </c>
      <c r="M293" s="162" t="s">
        <v>535</v>
      </c>
      <c r="N293" s="162" t="s">
        <v>509</v>
      </c>
      <c r="O293" s="162" t="s">
        <v>535</v>
      </c>
      <c r="P293" s="162" t="s">
        <v>1005</v>
      </c>
    </row>
    <row r="294" spans="1:16" s="164" customFormat="1">
      <c r="A294" s="176"/>
      <c r="B294" s="14" t="str">
        <f>VLOOKUP(P294,'护理记录单文书字典(数据)'!B$4:C$99,2,0)</f>
        <v>B750B8340CFAB2112E84DCC7EA528475</v>
      </c>
      <c r="C294" s="163" t="s">
        <v>2395</v>
      </c>
      <c r="D294" s="162" t="s">
        <v>2396</v>
      </c>
      <c r="E294" s="163" t="s">
        <v>2052</v>
      </c>
      <c r="F294" s="163">
        <v>1</v>
      </c>
      <c r="G294" s="163">
        <v>1</v>
      </c>
      <c r="H294" s="162" t="s">
        <v>2094</v>
      </c>
      <c r="I294" s="162"/>
      <c r="J294" s="162">
        <v>1</v>
      </c>
      <c r="K294" s="162" t="s">
        <v>162</v>
      </c>
      <c r="L294" s="162" t="s">
        <v>509</v>
      </c>
      <c r="M294" s="162" t="s">
        <v>535</v>
      </c>
      <c r="N294" s="162" t="s">
        <v>509</v>
      </c>
      <c r="O294" s="162" t="s">
        <v>535</v>
      </c>
      <c r="P294" s="162" t="s">
        <v>1005</v>
      </c>
    </row>
    <row r="295" spans="1:16" s="164" customFormat="1">
      <c r="A295" s="176"/>
      <c r="B295" s="14" t="str">
        <f>VLOOKUP(P295,'护理记录单文书字典(数据)'!B$4:C$99,2,0)</f>
        <v>B750B8340CFAB2112E84DCC7EA528475</v>
      </c>
      <c r="C295" s="163" t="s">
        <v>2397</v>
      </c>
      <c r="D295" s="162" t="s">
        <v>2398</v>
      </c>
      <c r="E295" s="163" t="s">
        <v>2052</v>
      </c>
      <c r="F295" s="163">
        <v>1</v>
      </c>
      <c r="G295" s="163">
        <v>1</v>
      </c>
      <c r="H295" s="162" t="s">
        <v>2094</v>
      </c>
      <c r="I295" s="162"/>
      <c r="J295" s="162">
        <v>1</v>
      </c>
      <c r="K295" s="162" t="s">
        <v>162</v>
      </c>
      <c r="L295" s="162" t="s">
        <v>509</v>
      </c>
      <c r="M295" s="162" t="s">
        <v>535</v>
      </c>
      <c r="N295" s="162" t="s">
        <v>509</v>
      </c>
      <c r="O295" s="162" t="s">
        <v>535</v>
      </c>
      <c r="P295" s="162" t="s">
        <v>1005</v>
      </c>
    </row>
    <row r="296" spans="1:16" s="164" customFormat="1">
      <c r="A296" s="176"/>
      <c r="B296" s="14" t="str">
        <f>VLOOKUP(P296,'护理记录单文书字典(数据)'!B$4:C$99,2,0)</f>
        <v>B750B8340CFAB2112E84DCC7EA528475</v>
      </c>
      <c r="C296" s="163" t="s">
        <v>2399</v>
      </c>
      <c r="D296" s="162" t="s">
        <v>2400</v>
      </c>
      <c r="E296" s="163" t="s">
        <v>2052</v>
      </c>
      <c r="F296" s="163">
        <v>1</v>
      </c>
      <c r="G296" s="163">
        <v>1</v>
      </c>
      <c r="H296" s="162" t="s">
        <v>2094</v>
      </c>
      <c r="I296" s="162"/>
      <c r="J296" s="162">
        <v>1</v>
      </c>
      <c r="K296" s="162" t="s">
        <v>162</v>
      </c>
      <c r="L296" s="162" t="s">
        <v>509</v>
      </c>
      <c r="M296" s="162" t="s">
        <v>535</v>
      </c>
      <c r="N296" s="162" t="s">
        <v>509</v>
      </c>
      <c r="O296" s="162" t="s">
        <v>535</v>
      </c>
      <c r="P296" s="162" t="s">
        <v>1005</v>
      </c>
    </row>
    <row r="297" spans="1:16" s="164" customFormat="1">
      <c r="A297" s="176"/>
      <c r="B297" s="14" t="str">
        <f>VLOOKUP(P297,'护理记录单文书字典(数据)'!B$4:C$99,2,0)</f>
        <v>B750B8340CFAB2112E84DCC7EA528475</v>
      </c>
      <c r="C297" s="163" t="s">
        <v>2401</v>
      </c>
      <c r="D297" s="162" t="s">
        <v>2402</v>
      </c>
      <c r="E297" s="163" t="s">
        <v>2052</v>
      </c>
      <c r="F297" s="163">
        <v>1</v>
      </c>
      <c r="G297" s="163">
        <v>1</v>
      </c>
      <c r="H297" s="162" t="s">
        <v>2094</v>
      </c>
      <c r="I297" s="162"/>
      <c r="J297" s="162">
        <v>1</v>
      </c>
      <c r="K297" s="162" t="s">
        <v>162</v>
      </c>
      <c r="L297" s="162" t="s">
        <v>509</v>
      </c>
      <c r="M297" s="162" t="s">
        <v>535</v>
      </c>
      <c r="N297" s="162" t="s">
        <v>509</v>
      </c>
      <c r="O297" s="162" t="s">
        <v>535</v>
      </c>
      <c r="P297" s="162" t="s">
        <v>1005</v>
      </c>
    </row>
    <row r="298" spans="1:16" s="164" customFormat="1">
      <c r="A298" s="176"/>
      <c r="B298" s="14" t="str">
        <f>VLOOKUP(P298,'护理记录单文书字典(数据)'!B$4:C$99,2,0)</f>
        <v>B750B8340CFAB2112E84DCC7EA528475</v>
      </c>
      <c r="C298" s="163" t="s">
        <v>2403</v>
      </c>
      <c r="D298" s="162" t="s">
        <v>2404</v>
      </c>
      <c r="E298" s="163" t="s">
        <v>2048</v>
      </c>
      <c r="F298" s="163">
        <v>1</v>
      </c>
      <c r="G298" s="163">
        <v>1</v>
      </c>
      <c r="H298" s="162"/>
      <c r="I298" s="162"/>
      <c r="J298" s="162">
        <v>1</v>
      </c>
      <c r="K298" s="162" t="s">
        <v>162</v>
      </c>
      <c r="L298" s="162" t="s">
        <v>509</v>
      </c>
      <c r="M298" s="162" t="s">
        <v>535</v>
      </c>
      <c r="N298" s="162" t="s">
        <v>509</v>
      </c>
      <c r="O298" s="162" t="s">
        <v>535</v>
      </c>
      <c r="P298" s="162" t="s">
        <v>1005</v>
      </c>
    </row>
    <row r="299" spans="1:16" s="164" customFormat="1">
      <c r="A299" s="176"/>
      <c r="B299" s="14" t="str">
        <f>VLOOKUP(P299,'护理记录单文书字典(数据)'!B$4:C$99,2,0)</f>
        <v>B750B8340CFAB2112E84DCC7EA528475</v>
      </c>
      <c r="C299" s="163" t="s">
        <v>2405</v>
      </c>
      <c r="D299" s="162" t="s">
        <v>2406</v>
      </c>
      <c r="E299" s="163" t="s">
        <v>2048</v>
      </c>
      <c r="F299" s="163">
        <v>1</v>
      </c>
      <c r="G299" s="163">
        <v>1</v>
      </c>
      <c r="H299" s="162"/>
      <c r="I299" s="162"/>
      <c r="J299" s="162">
        <v>1</v>
      </c>
      <c r="K299" s="162" t="s">
        <v>162</v>
      </c>
      <c r="L299" s="162" t="s">
        <v>509</v>
      </c>
      <c r="M299" s="162" t="s">
        <v>535</v>
      </c>
      <c r="N299" s="162" t="s">
        <v>509</v>
      </c>
      <c r="O299" s="162" t="s">
        <v>535</v>
      </c>
      <c r="P299" s="162" t="s">
        <v>1005</v>
      </c>
    </row>
    <row r="300" spans="1:16" s="164" customFormat="1">
      <c r="A300" s="176"/>
      <c r="B300" s="14" t="str">
        <f>VLOOKUP(P300,'护理记录单文书字典(数据)'!B$4:C$99,2,0)</f>
        <v>B750B8340CFAB2112E84DCC7EA528475</v>
      </c>
      <c r="C300" s="163" t="s">
        <v>2407</v>
      </c>
      <c r="D300" s="162" t="s">
        <v>2408</v>
      </c>
      <c r="E300" s="163" t="s">
        <v>2104</v>
      </c>
      <c r="F300" s="163">
        <v>1</v>
      </c>
      <c r="G300" s="163">
        <v>1</v>
      </c>
      <c r="H300" s="162"/>
      <c r="I300" s="162"/>
      <c r="J300" s="162">
        <v>1</v>
      </c>
      <c r="K300" s="162" t="s">
        <v>162</v>
      </c>
      <c r="L300" s="162" t="s">
        <v>509</v>
      </c>
      <c r="M300" s="162" t="s">
        <v>535</v>
      </c>
      <c r="N300" s="162" t="s">
        <v>509</v>
      </c>
      <c r="O300" s="162" t="s">
        <v>535</v>
      </c>
      <c r="P300" s="162" t="s">
        <v>1005</v>
      </c>
    </row>
    <row r="301" spans="1:16" s="164" customFormat="1">
      <c r="A301" s="176"/>
      <c r="B301" s="14" t="str">
        <f>VLOOKUP(P301,'护理记录单文书字典(数据)'!B$4:C$99,2,0)</f>
        <v>B750B8340CFAB2112E84DCC7EA528475</v>
      </c>
      <c r="C301" s="163" t="s">
        <v>2409</v>
      </c>
      <c r="D301" s="162" t="s">
        <v>4532</v>
      </c>
      <c r="E301" s="163" t="s">
        <v>2104</v>
      </c>
      <c r="F301" s="163">
        <v>1</v>
      </c>
      <c r="G301" s="163">
        <v>1</v>
      </c>
      <c r="H301" s="162"/>
      <c r="I301" s="162"/>
      <c r="J301" s="162">
        <v>1</v>
      </c>
      <c r="K301" s="162" t="s">
        <v>162</v>
      </c>
      <c r="L301" s="162" t="s">
        <v>509</v>
      </c>
      <c r="M301" s="162" t="s">
        <v>535</v>
      </c>
      <c r="N301" s="162" t="s">
        <v>509</v>
      </c>
      <c r="O301" s="162" t="s">
        <v>535</v>
      </c>
      <c r="P301" s="162" t="s">
        <v>1005</v>
      </c>
    </row>
    <row r="302" spans="1:16">
      <c r="A302" s="63"/>
      <c r="B302" s="14" t="e">
        <f>VLOOKUP(P302,'护理记录单文书字典(数据)'!B$4:C$99,2,0)</f>
        <v>#N/A</v>
      </c>
      <c r="C302" s="87"/>
      <c r="D302" s="14"/>
      <c r="E302" s="87"/>
      <c r="F302" s="87"/>
      <c r="G302" s="87"/>
      <c r="H302" s="14"/>
      <c r="I302" s="75"/>
      <c r="J302" s="75"/>
      <c r="K302" s="75"/>
      <c r="L302" s="75"/>
      <c r="M302" s="75"/>
      <c r="N302" s="75"/>
      <c r="O302" s="75"/>
      <c r="P302" s="159"/>
    </row>
    <row r="303" spans="1:16" s="179" customFormat="1">
      <c r="A303" s="63" t="s">
        <v>4282</v>
      </c>
      <c r="B303" s="14" t="str">
        <f>VLOOKUP(P303,'护理记录单文书字典(数据)'!B$4:C$99,2,0)</f>
        <v>B750B8340CFAB2112E84DCC7EA528475</v>
      </c>
      <c r="C303" s="178" t="s">
        <v>4498</v>
      </c>
      <c r="D303" s="177" t="s">
        <v>4499</v>
      </c>
      <c r="E303" s="178" t="s">
        <v>2048</v>
      </c>
      <c r="F303" s="178">
        <v>1</v>
      </c>
      <c r="G303" s="178">
        <v>1</v>
      </c>
      <c r="H303" s="177"/>
      <c r="I303" s="177"/>
      <c r="J303" s="177">
        <v>1</v>
      </c>
      <c r="K303" s="177" t="s">
        <v>162</v>
      </c>
      <c r="L303" s="177" t="s">
        <v>509</v>
      </c>
      <c r="M303" s="177" t="s">
        <v>535</v>
      </c>
      <c r="N303" s="177" t="s">
        <v>509</v>
      </c>
      <c r="O303" s="177" t="s">
        <v>535</v>
      </c>
      <c r="P303" s="177" t="s">
        <v>1005</v>
      </c>
    </row>
    <row r="304" spans="1:16" s="179" customFormat="1">
      <c r="A304" s="63" t="s">
        <v>4282</v>
      </c>
      <c r="B304" s="14" t="str">
        <f>VLOOKUP(P304,'护理记录单文书字典(数据)'!B$4:C$99,2,0)</f>
        <v>B750B8340CFAB2112E84DCC7EA528475</v>
      </c>
      <c r="C304" s="178" t="s">
        <v>4533</v>
      </c>
      <c r="D304" s="177" t="s">
        <v>4534</v>
      </c>
      <c r="E304" s="178" t="s">
        <v>2052</v>
      </c>
      <c r="F304" s="178">
        <v>0</v>
      </c>
      <c r="G304" s="178">
        <v>1</v>
      </c>
      <c r="H304" s="177" t="s">
        <v>4535</v>
      </c>
      <c r="I304" s="177"/>
      <c r="J304" s="177">
        <v>1</v>
      </c>
      <c r="K304" s="177" t="s">
        <v>162</v>
      </c>
      <c r="L304" s="177" t="s">
        <v>509</v>
      </c>
      <c r="M304" s="177" t="s">
        <v>535</v>
      </c>
      <c r="N304" s="177" t="s">
        <v>509</v>
      </c>
      <c r="O304" s="177" t="s">
        <v>535</v>
      </c>
      <c r="P304" s="177" t="s">
        <v>1005</v>
      </c>
    </row>
    <row r="305" spans="1:16" s="179" customFormat="1">
      <c r="A305" s="63" t="s">
        <v>4282</v>
      </c>
      <c r="B305" s="14" t="str">
        <f>VLOOKUP(P305,'护理记录单文书字典(数据)'!B$4:C$99,2,0)</f>
        <v>B750B8340CFAB2112E84DCC7EA528475</v>
      </c>
      <c r="C305" s="178" t="s">
        <v>4536</v>
      </c>
      <c r="D305" s="177" t="s">
        <v>4537</v>
      </c>
      <c r="E305" s="178" t="s">
        <v>2052</v>
      </c>
      <c r="F305" s="178">
        <v>1</v>
      </c>
      <c r="G305" s="178">
        <v>1</v>
      </c>
      <c r="H305" s="177" t="s">
        <v>963</v>
      </c>
      <c r="I305" s="177"/>
      <c r="J305" s="177">
        <v>1</v>
      </c>
      <c r="K305" s="177" t="s">
        <v>162</v>
      </c>
      <c r="L305" s="177" t="s">
        <v>509</v>
      </c>
      <c r="M305" s="177" t="s">
        <v>535</v>
      </c>
      <c r="N305" s="177" t="s">
        <v>509</v>
      </c>
      <c r="O305" s="177" t="s">
        <v>535</v>
      </c>
      <c r="P305" s="177" t="s">
        <v>1005</v>
      </c>
    </row>
    <row r="306" spans="1:16" s="179" customFormat="1">
      <c r="A306" s="63" t="s">
        <v>4282</v>
      </c>
      <c r="B306" s="14" t="str">
        <f>VLOOKUP(P306,'护理记录单文书字典(数据)'!B$4:C$99,2,0)</f>
        <v>B750B8340CFAB2112E84DCC7EA528475</v>
      </c>
      <c r="C306" s="178" t="s">
        <v>4522</v>
      </c>
      <c r="D306" s="177" t="s">
        <v>4523</v>
      </c>
      <c r="E306" s="178" t="s">
        <v>2048</v>
      </c>
      <c r="F306" s="178">
        <v>1</v>
      </c>
      <c r="G306" s="178">
        <v>1</v>
      </c>
      <c r="H306" s="177"/>
      <c r="I306" s="177"/>
      <c r="J306" s="177">
        <v>1</v>
      </c>
      <c r="K306" s="177" t="s">
        <v>162</v>
      </c>
      <c r="L306" s="177" t="s">
        <v>509</v>
      </c>
      <c r="M306" s="177" t="s">
        <v>535</v>
      </c>
      <c r="N306" s="177" t="s">
        <v>509</v>
      </c>
      <c r="O306" s="177" t="s">
        <v>535</v>
      </c>
      <c r="P306" s="177" t="s">
        <v>1005</v>
      </c>
    </row>
    <row r="307" spans="1:16" s="179" customFormat="1">
      <c r="A307" s="63" t="s">
        <v>4282</v>
      </c>
      <c r="B307" s="14" t="str">
        <f>VLOOKUP(P307,'护理记录单文书字典(数据)'!B$4:C$99,2,0)</f>
        <v>B750B8340CFAB2112E84DCC7EA528475</v>
      </c>
      <c r="C307" s="178" t="s">
        <v>4524</v>
      </c>
      <c r="D307" s="177" t="s">
        <v>4525</v>
      </c>
      <c r="E307" s="178" t="s">
        <v>2048</v>
      </c>
      <c r="F307" s="178">
        <v>1</v>
      </c>
      <c r="G307" s="178">
        <v>1</v>
      </c>
      <c r="H307" s="177"/>
      <c r="I307" s="177"/>
      <c r="J307" s="177">
        <v>1</v>
      </c>
      <c r="K307" s="177" t="s">
        <v>162</v>
      </c>
      <c r="L307" s="177" t="s">
        <v>509</v>
      </c>
      <c r="M307" s="177" t="s">
        <v>535</v>
      </c>
      <c r="N307" s="177" t="s">
        <v>509</v>
      </c>
      <c r="O307" s="177" t="s">
        <v>535</v>
      </c>
      <c r="P307" s="177" t="s">
        <v>1005</v>
      </c>
    </row>
    <row r="308" spans="1:16" s="179" customFormat="1">
      <c r="A308" s="63" t="s">
        <v>4282</v>
      </c>
      <c r="B308" s="14" t="str">
        <f>VLOOKUP(P308,'护理记录单文书字典(数据)'!B$4:C$99,2,0)</f>
        <v>B750B8340CFAB2112E84DCC7EA528475</v>
      </c>
      <c r="C308" s="178" t="s">
        <v>4526</v>
      </c>
      <c r="D308" s="177" t="s">
        <v>4527</v>
      </c>
      <c r="E308" s="178" t="s">
        <v>2104</v>
      </c>
      <c r="F308" s="178">
        <v>1</v>
      </c>
      <c r="G308" s="178">
        <v>1</v>
      </c>
      <c r="H308" s="177"/>
      <c r="I308" s="177"/>
      <c r="J308" s="177">
        <v>1</v>
      </c>
      <c r="K308" s="177" t="s">
        <v>162</v>
      </c>
      <c r="L308" s="177" t="s">
        <v>509</v>
      </c>
      <c r="M308" s="177" t="s">
        <v>535</v>
      </c>
      <c r="N308" s="177" t="s">
        <v>509</v>
      </c>
      <c r="O308" s="177" t="s">
        <v>535</v>
      </c>
      <c r="P308" s="177" t="s">
        <v>1005</v>
      </c>
    </row>
    <row r="309" spans="1:16" s="179" customFormat="1">
      <c r="A309" s="63" t="s">
        <v>4282</v>
      </c>
      <c r="B309" s="14" t="str">
        <f>VLOOKUP(P309,'护理记录单文书字典(数据)'!B$4:C$99,2,0)</f>
        <v>B750B8340CFAB2112E84DCC7EA528475</v>
      </c>
      <c r="C309" s="178" t="s">
        <v>4528</v>
      </c>
      <c r="D309" s="177" t="s">
        <v>4529</v>
      </c>
      <c r="E309" s="178" t="s">
        <v>2104</v>
      </c>
      <c r="F309" s="178">
        <v>1</v>
      </c>
      <c r="G309" s="178">
        <v>1</v>
      </c>
      <c r="H309" s="177"/>
      <c r="I309" s="177"/>
      <c r="J309" s="177">
        <v>1</v>
      </c>
      <c r="K309" s="177" t="s">
        <v>162</v>
      </c>
      <c r="L309" s="177" t="s">
        <v>509</v>
      </c>
      <c r="M309" s="177" t="s">
        <v>535</v>
      </c>
      <c r="N309" s="177" t="s">
        <v>509</v>
      </c>
      <c r="O309" s="177" t="s">
        <v>535</v>
      </c>
      <c r="P309" s="177" t="s">
        <v>1005</v>
      </c>
    </row>
    <row r="310" spans="1:16" s="179" customFormat="1">
      <c r="A310" s="63" t="s">
        <v>4282</v>
      </c>
      <c r="B310" s="14" t="str">
        <f>VLOOKUP(P310,'护理记录单文书字典(数据)'!B$4:C$99,2,0)</f>
        <v>B750B8340CFAB2112E84DCC7EA528475</v>
      </c>
      <c r="C310" s="178" t="s">
        <v>4530</v>
      </c>
      <c r="D310" s="177" t="s">
        <v>2131</v>
      </c>
      <c r="E310" s="178" t="s">
        <v>2048</v>
      </c>
      <c r="F310" s="178">
        <v>1</v>
      </c>
      <c r="G310" s="178">
        <v>1</v>
      </c>
      <c r="H310" s="177"/>
      <c r="I310" s="177"/>
      <c r="J310" s="177">
        <v>1</v>
      </c>
      <c r="K310" s="177" t="s">
        <v>162</v>
      </c>
      <c r="L310" s="177" t="s">
        <v>509</v>
      </c>
      <c r="M310" s="177" t="s">
        <v>535</v>
      </c>
      <c r="N310" s="177" t="s">
        <v>509</v>
      </c>
      <c r="O310" s="177" t="s">
        <v>535</v>
      </c>
      <c r="P310" s="177" t="s">
        <v>1005</v>
      </c>
    </row>
    <row r="311" spans="1:16" s="179" customFormat="1">
      <c r="A311" s="63" t="s">
        <v>4282</v>
      </c>
      <c r="B311" s="14" t="str">
        <f>VLOOKUP(P311,'护理记录单文书字典(数据)'!B$4:C$99,2,0)</f>
        <v>B750B8340CFAB2112E84DCC7EA528475</v>
      </c>
      <c r="C311" s="178" t="s">
        <v>4538</v>
      </c>
      <c r="D311" s="177" t="s">
        <v>4228</v>
      </c>
      <c r="E311" s="178" t="s">
        <v>2052</v>
      </c>
      <c r="F311" s="178">
        <v>0</v>
      </c>
      <c r="G311" s="178">
        <v>1</v>
      </c>
      <c r="H311" s="177" t="s">
        <v>4535</v>
      </c>
      <c r="I311" s="177"/>
      <c r="J311" s="177">
        <v>1</v>
      </c>
      <c r="K311" s="177" t="s">
        <v>162</v>
      </c>
      <c r="L311" s="177" t="s">
        <v>509</v>
      </c>
      <c r="M311" s="177" t="s">
        <v>535</v>
      </c>
      <c r="N311" s="177" t="s">
        <v>509</v>
      </c>
      <c r="O311" s="177" t="s">
        <v>535</v>
      </c>
      <c r="P311" s="177" t="s">
        <v>1005</v>
      </c>
    </row>
    <row r="312" spans="1:16" s="179" customFormat="1">
      <c r="A312" s="63" t="s">
        <v>4282</v>
      </c>
      <c r="B312" s="14" t="str">
        <f>VLOOKUP(P312,'护理记录单文书字典(数据)'!B$4:C$99,2,0)</f>
        <v>B750B8340CFAB2112E84DCC7EA528475</v>
      </c>
      <c r="C312" s="178" t="s">
        <v>4539</v>
      </c>
      <c r="D312" s="177" t="s">
        <v>4229</v>
      </c>
      <c r="E312" s="178" t="s">
        <v>2052</v>
      </c>
      <c r="F312" s="178">
        <v>1</v>
      </c>
      <c r="G312" s="178">
        <v>1</v>
      </c>
      <c r="H312" s="177" t="s">
        <v>963</v>
      </c>
      <c r="I312" s="177"/>
      <c r="J312" s="177">
        <v>1</v>
      </c>
      <c r="K312" s="177" t="s">
        <v>162</v>
      </c>
      <c r="L312" s="177" t="s">
        <v>509</v>
      </c>
      <c r="M312" s="177" t="s">
        <v>535</v>
      </c>
      <c r="N312" s="177" t="s">
        <v>509</v>
      </c>
      <c r="O312" s="177" t="s">
        <v>535</v>
      </c>
      <c r="P312" s="177" t="s">
        <v>1005</v>
      </c>
    </row>
    <row r="313" spans="1:16" s="179" customFormat="1">
      <c r="A313" s="63" t="s">
        <v>4282</v>
      </c>
      <c r="B313" s="14" t="str">
        <f>VLOOKUP(P313,'护理记录单文书字典(数据)'!B$4:C$99,2,0)</f>
        <v>B750B8340CFAB2112E84DCC7EA528475</v>
      </c>
      <c r="C313" s="178" t="s">
        <v>2154</v>
      </c>
      <c r="D313" s="177" t="s">
        <v>2155</v>
      </c>
      <c r="E313" s="178" t="s">
        <v>2048</v>
      </c>
      <c r="F313" s="178">
        <v>1</v>
      </c>
      <c r="G313" s="178">
        <v>1</v>
      </c>
      <c r="H313" s="177"/>
      <c r="I313" s="177"/>
      <c r="J313" s="177">
        <v>1</v>
      </c>
      <c r="K313" s="177" t="s">
        <v>162</v>
      </c>
      <c r="L313" s="177" t="s">
        <v>509</v>
      </c>
      <c r="M313" s="177" t="s">
        <v>535</v>
      </c>
      <c r="N313" s="177" t="s">
        <v>509</v>
      </c>
      <c r="O313" s="177" t="s">
        <v>535</v>
      </c>
      <c r="P313" s="177" t="s">
        <v>1005</v>
      </c>
    </row>
    <row r="314" spans="1:16" s="179" customFormat="1">
      <c r="A314" s="63" t="s">
        <v>4282</v>
      </c>
      <c r="B314" s="14" t="str">
        <f>VLOOKUP(P314,'护理记录单文书字典(数据)'!B$4:C$99,2,0)</f>
        <v>B750B8340CFAB2112E84DCC7EA528475</v>
      </c>
      <c r="C314" s="178" t="s">
        <v>2156</v>
      </c>
      <c r="D314" s="177" t="s">
        <v>2157</v>
      </c>
      <c r="E314" s="178" t="s">
        <v>2048</v>
      </c>
      <c r="F314" s="178">
        <v>1</v>
      </c>
      <c r="G314" s="178">
        <v>1</v>
      </c>
      <c r="H314" s="177"/>
      <c r="I314" s="177"/>
      <c r="J314" s="177">
        <v>1</v>
      </c>
      <c r="K314" s="177" t="s">
        <v>162</v>
      </c>
      <c r="L314" s="177" t="s">
        <v>509</v>
      </c>
      <c r="M314" s="177" t="s">
        <v>535</v>
      </c>
      <c r="N314" s="177" t="s">
        <v>509</v>
      </c>
      <c r="O314" s="177" t="s">
        <v>535</v>
      </c>
      <c r="P314" s="177" t="s">
        <v>1005</v>
      </c>
    </row>
    <row r="315" spans="1:16" s="179" customFormat="1">
      <c r="A315" s="63" t="s">
        <v>4282</v>
      </c>
      <c r="B315" s="14" t="str">
        <f>VLOOKUP(P315,'护理记录单文书字典(数据)'!B$4:C$99,2,0)</f>
        <v>B750B8340CFAB2112E84DCC7EA528475</v>
      </c>
      <c r="C315" s="178" t="s">
        <v>2158</v>
      </c>
      <c r="D315" s="177" t="s">
        <v>4230</v>
      </c>
      <c r="E315" s="178" t="s">
        <v>2104</v>
      </c>
      <c r="F315" s="178">
        <v>1</v>
      </c>
      <c r="G315" s="178">
        <v>1</v>
      </c>
      <c r="H315" s="177"/>
      <c r="I315" s="177"/>
      <c r="J315" s="177">
        <v>1</v>
      </c>
      <c r="K315" s="177" t="s">
        <v>162</v>
      </c>
      <c r="L315" s="177" t="s">
        <v>509</v>
      </c>
      <c r="M315" s="177" t="s">
        <v>535</v>
      </c>
      <c r="N315" s="177" t="s">
        <v>509</v>
      </c>
      <c r="O315" s="177" t="s">
        <v>535</v>
      </c>
      <c r="P315" s="177" t="s">
        <v>1005</v>
      </c>
    </row>
    <row r="316" spans="1:16" s="179" customFormat="1">
      <c r="A316" s="63" t="s">
        <v>4282</v>
      </c>
      <c r="B316" s="14" t="str">
        <f>VLOOKUP(P316,'护理记录单文书字典(数据)'!B$4:C$99,2,0)</f>
        <v>B750B8340CFAB2112E84DCC7EA528475</v>
      </c>
      <c r="C316" s="178" t="s">
        <v>2159</v>
      </c>
      <c r="D316" s="177" t="s">
        <v>4531</v>
      </c>
      <c r="E316" s="178" t="s">
        <v>2104</v>
      </c>
      <c r="F316" s="178">
        <v>1</v>
      </c>
      <c r="G316" s="178">
        <v>1</v>
      </c>
      <c r="H316" s="177"/>
      <c r="I316" s="177"/>
      <c r="J316" s="177">
        <v>1</v>
      </c>
      <c r="K316" s="177" t="s">
        <v>162</v>
      </c>
      <c r="L316" s="177" t="s">
        <v>509</v>
      </c>
      <c r="M316" s="177" t="s">
        <v>535</v>
      </c>
      <c r="N316" s="177" t="s">
        <v>509</v>
      </c>
      <c r="O316" s="177" t="s">
        <v>535</v>
      </c>
      <c r="P316" s="177" t="s">
        <v>1005</v>
      </c>
    </row>
    <row r="317" spans="1:16" s="179" customFormat="1">
      <c r="A317" s="63" t="s">
        <v>4282</v>
      </c>
      <c r="B317" s="14" t="str">
        <f>VLOOKUP(P317,'护理记录单文书字典(数据)'!B$4:C$99,2,0)</f>
        <v>B750B8340CFAB2112E84DCC7EA528475</v>
      </c>
      <c r="C317" s="178" t="s">
        <v>2160</v>
      </c>
      <c r="D317" s="177" t="s">
        <v>2161</v>
      </c>
      <c r="E317" s="178" t="s">
        <v>2048</v>
      </c>
      <c r="F317" s="178">
        <v>1</v>
      </c>
      <c r="G317" s="178">
        <v>1</v>
      </c>
      <c r="H317" s="177"/>
      <c r="I317" s="177"/>
      <c r="J317" s="177">
        <v>1</v>
      </c>
      <c r="K317" s="177" t="s">
        <v>162</v>
      </c>
      <c r="L317" s="177" t="s">
        <v>509</v>
      </c>
      <c r="M317" s="177" t="s">
        <v>535</v>
      </c>
      <c r="N317" s="177" t="s">
        <v>509</v>
      </c>
      <c r="O317" s="177" t="s">
        <v>535</v>
      </c>
      <c r="P317" s="177" t="s">
        <v>1005</v>
      </c>
    </row>
    <row r="318" spans="1:16" s="179" customFormat="1">
      <c r="A318" s="63" t="s">
        <v>4282</v>
      </c>
      <c r="B318" s="14" t="str">
        <f>VLOOKUP(P318,'护理记录单文书字典(数据)'!B$4:C$99,2,0)</f>
        <v>B750B8340CFAB2112E84DCC7EA528475</v>
      </c>
      <c r="C318" s="178" t="s">
        <v>4231</v>
      </c>
      <c r="D318" s="177" t="s">
        <v>4232</v>
      </c>
      <c r="E318" s="178" t="s">
        <v>2052</v>
      </c>
      <c r="F318" s="178">
        <v>0</v>
      </c>
      <c r="G318" s="178">
        <v>1</v>
      </c>
      <c r="H318" s="177" t="s">
        <v>4535</v>
      </c>
      <c r="I318" s="177"/>
      <c r="J318" s="177">
        <v>1</v>
      </c>
      <c r="K318" s="177" t="s">
        <v>162</v>
      </c>
      <c r="L318" s="177" t="s">
        <v>509</v>
      </c>
      <c r="M318" s="177" t="s">
        <v>535</v>
      </c>
      <c r="N318" s="177" t="s">
        <v>509</v>
      </c>
      <c r="O318" s="177" t="s">
        <v>535</v>
      </c>
      <c r="P318" s="177" t="s">
        <v>1005</v>
      </c>
    </row>
    <row r="319" spans="1:16" s="179" customFormat="1">
      <c r="A319" s="63" t="s">
        <v>4282</v>
      </c>
      <c r="B319" s="14" t="str">
        <f>VLOOKUP(P319,'护理记录单文书字典(数据)'!B$4:C$99,2,0)</f>
        <v>B750B8340CFAB2112E84DCC7EA528475</v>
      </c>
      <c r="C319" s="178" t="s">
        <v>4233</v>
      </c>
      <c r="D319" s="177" t="s">
        <v>4234</v>
      </c>
      <c r="E319" s="178" t="s">
        <v>2052</v>
      </c>
      <c r="F319" s="178">
        <v>1</v>
      </c>
      <c r="G319" s="178">
        <v>1</v>
      </c>
      <c r="H319" s="177" t="s">
        <v>963</v>
      </c>
      <c r="I319" s="177"/>
      <c r="J319" s="177">
        <v>1</v>
      </c>
      <c r="K319" s="177" t="s">
        <v>162</v>
      </c>
      <c r="L319" s="177" t="s">
        <v>509</v>
      </c>
      <c r="M319" s="177" t="s">
        <v>535</v>
      </c>
      <c r="N319" s="177" t="s">
        <v>509</v>
      </c>
      <c r="O319" s="177" t="s">
        <v>535</v>
      </c>
      <c r="P319" s="177" t="s">
        <v>1005</v>
      </c>
    </row>
    <row r="320" spans="1:16" s="179" customFormat="1">
      <c r="A320" s="63" t="s">
        <v>4282</v>
      </c>
      <c r="B320" s="14" t="str">
        <f>VLOOKUP(P320,'护理记录单文书字典(数据)'!B$4:C$99,2,0)</f>
        <v>B750B8340CFAB2112E84DCC7EA528475</v>
      </c>
      <c r="C320" s="178" t="s">
        <v>2184</v>
      </c>
      <c r="D320" s="177" t="s">
        <v>2185</v>
      </c>
      <c r="E320" s="178" t="s">
        <v>2048</v>
      </c>
      <c r="F320" s="178">
        <v>1</v>
      </c>
      <c r="G320" s="178">
        <v>1</v>
      </c>
      <c r="H320" s="177"/>
      <c r="I320" s="177"/>
      <c r="J320" s="177">
        <v>1</v>
      </c>
      <c r="K320" s="177" t="s">
        <v>162</v>
      </c>
      <c r="L320" s="177" t="s">
        <v>509</v>
      </c>
      <c r="M320" s="177" t="s">
        <v>535</v>
      </c>
      <c r="N320" s="177" t="s">
        <v>509</v>
      </c>
      <c r="O320" s="177" t="s">
        <v>535</v>
      </c>
      <c r="P320" s="177" t="s">
        <v>1005</v>
      </c>
    </row>
    <row r="321" spans="1:16" s="179" customFormat="1">
      <c r="A321" s="63" t="s">
        <v>4282</v>
      </c>
      <c r="B321" s="14" t="str">
        <f>VLOOKUP(P321,'护理记录单文书字典(数据)'!B$4:C$99,2,0)</f>
        <v>B750B8340CFAB2112E84DCC7EA528475</v>
      </c>
      <c r="C321" s="178" t="s">
        <v>2186</v>
      </c>
      <c r="D321" s="177" t="s">
        <v>4235</v>
      </c>
      <c r="E321" s="178" t="s">
        <v>2048</v>
      </c>
      <c r="F321" s="178">
        <v>1</v>
      </c>
      <c r="G321" s="178">
        <v>1</v>
      </c>
      <c r="H321" s="177"/>
      <c r="I321" s="177"/>
      <c r="J321" s="177">
        <v>1</v>
      </c>
      <c r="K321" s="177" t="s">
        <v>162</v>
      </c>
      <c r="L321" s="177" t="s">
        <v>509</v>
      </c>
      <c r="M321" s="177" t="s">
        <v>535</v>
      </c>
      <c r="N321" s="177" t="s">
        <v>509</v>
      </c>
      <c r="O321" s="177" t="s">
        <v>535</v>
      </c>
      <c r="P321" s="177" t="s">
        <v>1005</v>
      </c>
    </row>
    <row r="322" spans="1:16" s="179" customFormat="1">
      <c r="A322" s="63" t="s">
        <v>4282</v>
      </c>
      <c r="B322" s="14" t="str">
        <f>VLOOKUP(P322,'护理记录单文书字典(数据)'!B$4:C$99,2,0)</f>
        <v>B750B8340CFAB2112E84DCC7EA528475</v>
      </c>
      <c r="C322" s="178" t="s">
        <v>2187</v>
      </c>
      <c r="D322" s="177" t="s">
        <v>2188</v>
      </c>
      <c r="E322" s="178" t="s">
        <v>2104</v>
      </c>
      <c r="F322" s="178">
        <v>1</v>
      </c>
      <c r="G322" s="178">
        <v>1</v>
      </c>
      <c r="H322" s="177"/>
      <c r="I322" s="177"/>
      <c r="J322" s="177">
        <v>1</v>
      </c>
      <c r="K322" s="177" t="s">
        <v>162</v>
      </c>
      <c r="L322" s="177" t="s">
        <v>509</v>
      </c>
      <c r="M322" s="177" t="s">
        <v>535</v>
      </c>
      <c r="N322" s="177" t="s">
        <v>509</v>
      </c>
      <c r="O322" s="177" t="s">
        <v>535</v>
      </c>
      <c r="P322" s="177" t="s">
        <v>1005</v>
      </c>
    </row>
    <row r="323" spans="1:16" s="179" customFormat="1">
      <c r="A323" s="63" t="s">
        <v>4282</v>
      </c>
      <c r="B323" s="14" t="str">
        <f>VLOOKUP(P323,'护理记录单文书字典(数据)'!B$4:C$99,2,0)</f>
        <v>B750B8340CFAB2112E84DCC7EA528475</v>
      </c>
      <c r="C323" s="178" t="s">
        <v>2189</v>
      </c>
      <c r="D323" s="177" t="s">
        <v>4236</v>
      </c>
      <c r="E323" s="178" t="s">
        <v>2104</v>
      </c>
      <c r="F323" s="178">
        <v>1</v>
      </c>
      <c r="G323" s="178">
        <v>1</v>
      </c>
      <c r="H323" s="177"/>
      <c r="I323" s="177"/>
      <c r="J323" s="177">
        <v>1</v>
      </c>
      <c r="K323" s="177" t="s">
        <v>162</v>
      </c>
      <c r="L323" s="177" t="s">
        <v>509</v>
      </c>
      <c r="M323" s="177" t="s">
        <v>535</v>
      </c>
      <c r="N323" s="177" t="s">
        <v>509</v>
      </c>
      <c r="O323" s="177" t="s">
        <v>535</v>
      </c>
      <c r="P323" s="177" t="s">
        <v>1005</v>
      </c>
    </row>
    <row r="324" spans="1:16" s="179" customFormat="1">
      <c r="A324" s="63" t="s">
        <v>4282</v>
      </c>
      <c r="B324" s="14" t="str">
        <f>VLOOKUP(P324,'护理记录单文书字典(数据)'!B$4:C$99,2,0)</f>
        <v>B750B8340CFAB2112E84DCC7EA528475</v>
      </c>
      <c r="C324" s="178" t="s">
        <v>2190</v>
      </c>
      <c r="D324" s="177" t="s">
        <v>2191</v>
      </c>
      <c r="E324" s="178" t="s">
        <v>2048</v>
      </c>
      <c r="F324" s="178">
        <v>1</v>
      </c>
      <c r="G324" s="178">
        <v>1</v>
      </c>
      <c r="H324" s="177"/>
      <c r="I324" s="177"/>
      <c r="J324" s="177">
        <v>1</v>
      </c>
      <c r="K324" s="177" t="s">
        <v>162</v>
      </c>
      <c r="L324" s="177" t="s">
        <v>509</v>
      </c>
      <c r="M324" s="177" t="s">
        <v>535</v>
      </c>
      <c r="N324" s="177" t="s">
        <v>509</v>
      </c>
      <c r="O324" s="177" t="s">
        <v>535</v>
      </c>
      <c r="P324" s="177" t="s">
        <v>1005</v>
      </c>
    </row>
    <row r="325" spans="1:16" s="179" customFormat="1">
      <c r="A325" s="63" t="s">
        <v>4282</v>
      </c>
      <c r="B325" s="14" t="str">
        <f>VLOOKUP(P325,'护理记录单文书字典(数据)'!B$4:C$99,2,0)</f>
        <v>B750B8340CFAB2112E84DCC7EA528475</v>
      </c>
      <c r="C325" s="178" t="s">
        <v>4237</v>
      </c>
      <c r="D325" s="177" t="s">
        <v>4238</v>
      </c>
      <c r="E325" s="178" t="s">
        <v>2052</v>
      </c>
      <c r="F325" s="178">
        <v>0</v>
      </c>
      <c r="G325" s="178">
        <v>1</v>
      </c>
      <c r="H325" s="177" t="s">
        <v>4535</v>
      </c>
      <c r="I325" s="177"/>
      <c r="J325" s="177">
        <v>1</v>
      </c>
      <c r="K325" s="177" t="s">
        <v>162</v>
      </c>
      <c r="L325" s="177" t="s">
        <v>509</v>
      </c>
      <c r="M325" s="177" t="s">
        <v>535</v>
      </c>
      <c r="N325" s="177" t="s">
        <v>509</v>
      </c>
      <c r="O325" s="177" t="s">
        <v>535</v>
      </c>
      <c r="P325" s="177" t="s">
        <v>1005</v>
      </c>
    </row>
    <row r="326" spans="1:16" s="179" customFormat="1">
      <c r="A326" s="63" t="s">
        <v>4282</v>
      </c>
      <c r="B326" s="14" t="str">
        <f>VLOOKUP(P326,'护理记录单文书字典(数据)'!B$4:C$99,2,0)</f>
        <v>B750B8340CFAB2112E84DCC7EA528475</v>
      </c>
      <c r="C326" s="178" t="s">
        <v>4239</v>
      </c>
      <c r="D326" s="177" t="s">
        <v>4240</v>
      </c>
      <c r="E326" s="178" t="s">
        <v>2052</v>
      </c>
      <c r="F326" s="178">
        <v>1</v>
      </c>
      <c r="G326" s="178">
        <v>1</v>
      </c>
      <c r="H326" s="177" t="s">
        <v>963</v>
      </c>
      <c r="I326" s="177"/>
      <c r="J326" s="177">
        <v>1</v>
      </c>
      <c r="K326" s="177" t="s">
        <v>162</v>
      </c>
      <c r="L326" s="177" t="s">
        <v>509</v>
      </c>
      <c r="M326" s="177" t="s">
        <v>535</v>
      </c>
      <c r="N326" s="177" t="s">
        <v>509</v>
      </c>
      <c r="O326" s="177" t="s">
        <v>535</v>
      </c>
      <c r="P326" s="177" t="s">
        <v>1005</v>
      </c>
    </row>
    <row r="327" spans="1:16" s="179" customFormat="1">
      <c r="A327" s="63" t="s">
        <v>4282</v>
      </c>
      <c r="B327" s="14" t="str">
        <f>VLOOKUP(P327,'护理记录单文书字典(数据)'!B$4:C$99,2,0)</f>
        <v>B750B8340CFAB2112E84DCC7EA528475</v>
      </c>
      <c r="C327" s="178" t="s">
        <v>2214</v>
      </c>
      <c r="D327" s="177" t="s">
        <v>2215</v>
      </c>
      <c r="E327" s="178" t="s">
        <v>2048</v>
      </c>
      <c r="F327" s="178">
        <v>1</v>
      </c>
      <c r="G327" s="178">
        <v>1</v>
      </c>
      <c r="H327" s="177"/>
      <c r="I327" s="177"/>
      <c r="J327" s="177">
        <v>1</v>
      </c>
      <c r="K327" s="177" t="s">
        <v>162</v>
      </c>
      <c r="L327" s="177" t="s">
        <v>509</v>
      </c>
      <c r="M327" s="177" t="s">
        <v>535</v>
      </c>
      <c r="N327" s="177" t="s">
        <v>509</v>
      </c>
      <c r="O327" s="177" t="s">
        <v>535</v>
      </c>
      <c r="P327" s="177" t="s">
        <v>1005</v>
      </c>
    </row>
    <row r="328" spans="1:16" s="179" customFormat="1">
      <c r="A328" s="63" t="s">
        <v>4282</v>
      </c>
      <c r="B328" s="14" t="str">
        <f>VLOOKUP(P328,'护理记录单文书字典(数据)'!B$4:C$99,2,0)</f>
        <v>B750B8340CFAB2112E84DCC7EA528475</v>
      </c>
      <c r="C328" s="178" t="s">
        <v>2216</v>
      </c>
      <c r="D328" s="177" t="s">
        <v>2217</v>
      </c>
      <c r="E328" s="178" t="s">
        <v>2048</v>
      </c>
      <c r="F328" s="178">
        <v>1</v>
      </c>
      <c r="G328" s="178">
        <v>1</v>
      </c>
      <c r="H328" s="177"/>
      <c r="I328" s="177"/>
      <c r="J328" s="177">
        <v>1</v>
      </c>
      <c r="K328" s="177" t="s">
        <v>162</v>
      </c>
      <c r="L328" s="177" t="s">
        <v>509</v>
      </c>
      <c r="M328" s="177" t="s">
        <v>535</v>
      </c>
      <c r="N328" s="177" t="s">
        <v>509</v>
      </c>
      <c r="O328" s="177" t="s">
        <v>535</v>
      </c>
      <c r="P328" s="177" t="s">
        <v>1005</v>
      </c>
    </row>
    <row r="329" spans="1:16" s="179" customFormat="1">
      <c r="A329" s="63" t="s">
        <v>4282</v>
      </c>
      <c r="B329" s="14" t="str">
        <f>VLOOKUP(P329,'护理记录单文书字典(数据)'!B$4:C$99,2,0)</f>
        <v>B750B8340CFAB2112E84DCC7EA528475</v>
      </c>
      <c r="C329" s="178" t="s">
        <v>2218</v>
      </c>
      <c r="D329" s="177" t="s">
        <v>2219</v>
      </c>
      <c r="E329" s="178" t="s">
        <v>2104</v>
      </c>
      <c r="F329" s="178">
        <v>1</v>
      </c>
      <c r="G329" s="178">
        <v>1</v>
      </c>
      <c r="H329" s="177"/>
      <c r="I329" s="177"/>
      <c r="J329" s="177">
        <v>1</v>
      </c>
      <c r="K329" s="177" t="s">
        <v>162</v>
      </c>
      <c r="L329" s="177" t="s">
        <v>509</v>
      </c>
      <c r="M329" s="177" t="s">
        <v>535</v>
      </c>
      <c r="N329" s="177" t="s">
        <v>509</v>
      </c>
      <c r="O329" s="177" t="s">
        <v>535</v>
      </c>
      <c r="P329" s="177" t="s">
        <v>1005</v>
      </c>
    </row>
    <row r="330" spans="1:16" s="179" customFormat="1">
      <c r="A330" s="63" t="s">
        <v>4282</v>
      </c>
      <c r="B330" s="14" t="str">
        <f>VLOOKUP(P330,'护理记录单文书字典(数据)'!B$4:C$99,2,0)</f>
        <v>B750B8340CFAB2112E84DCC7EA528475</v>
      </c>
      <c r="C330" s="178" t="s">
        <v>2220</v>
      </c>
      <c r="D330" s="177" t="s">
        <v>2221</v>
      </c>
      <c r="E330" s="178" t="s">
        <v>2104</v>
      </c>
      <c r="F330" s="178">
        <v>1</v>
      </c>
      <c r="G330" s="178">
        <v>1</v>
      </c>
      <c r="H330" s="177"/>
      <c r="I330" s="177"/>
      <c r="J330" s="177">
        <v>1</v>
      </c>
      <c r="K330" s="177" t="s">
        <v>162</v>
      </c>
      <c r="L330" s="177" t="s">
        <v>509</v>
      </c>
      <c r="M330" s="177" t="s">
        <v>535</v>
      </c>
      <c r="N330" s="177" t="s">
        <v>509</v>
      </c>
      <c r="O330" s="177" t="s">
        <v>535</v>
      </c>
      <c r="P330" s="177" t="s">
        <v>1005</v>
      </c>
    </row>
    <row r="331" spans="1:16" s="179" customFormat="1">
      <c r="A331" s="63" t="s">
        <v>4282</v>
      </c>
      <c r="B331" s="14" t="str">
        <f>VLOOKUP(P331,'护理记录单文书字典(数据)'!B$4:C$99,2,0)</f>
        <v>B750B8340CFAB2112E84DCC7EA528475</v>
      </c>
      <c r="C331" s="178" t="s">
        <v>2222</v>
      </c>
      <c r="D331" s="177" t="s">
        <v>2223</v>
      </c>
      <c r="E331" s="178" t="s">
        <v>2048</v>
      </c>
      <c r="F331" s="178">
        <v>1</v>
      </c>
      <c r="G331" s="178">
        <v>1</v>
      </c>
      <c r="H331" s="177"/>
      <c r="I331" s="177"/>
      <c r="J331" s="177">
        <v>1</v>
      </c>
      <c r="K331" s="177" t="s">
        <v>162</v>
      </c>
      <c r="L331" s="177" t="s">
        <v>509</v>
      </c>
      <c r="M331" s="177" t="s">
        <v>535</v>
      </c>
      <c r="N331" s="177" t="s">
        <v>509</v>
      </c>
      <c r="O331" s="177" t="s">
        <v>535</v>
      </c>
      <c r="P331" s="177" t="s">
        <v>1005</v>
      </c>
    </row>
    <row r="332" spans="1:16" s="179" customFormat="1">
      <c r="A332" s="63" t="s">
        <v>4282</v>
      </c>
      <c r="B332" s="14" t="str">
        <f>VLOOKUP(P332,'护理记录单文书字典(数据)'!B$4:C$99,2,0)</f>
        <v>B750B8340CFAB2112E84DCC7EA528475</v>
      </c>
      <c r="C332" s="178" t="s">
        <v>4241</v>
      </c>
      <c r="D332" s="177" t="s">
        <v>4242</v>
      </c>
      <c r="E332" s="178" t="s">
        <v>2052</v>
      </c>
      <c r="F332" s="178">
        <v>0</v>
      </c>
      <c r="G332" s="178">
        <v>1</v>
      </c>
      <c r="H332" s="177" t="s">
        <v>4535</v>
      </c>
      <c r="I332" s="177"/>
      <c r="J332" s="177">
        <v>1</v>
      </c>
      <c r="K332" s="177" t="s">
        <v>162</v>
      </c>
      <c r="L332" s="177" t="s">
        <v>509</v>
      </c>
      <c r="M332" s="177" t="s">
        <v>535</v>
      </c>
      <c r="N332" s="177" t="s">
        <v>509</v>
      </c>
      <c r="O332" s="177" t="s">
        <v>535</v>
      </c>
      <c r="P332" s="177" t="s">
        <v>1005</v>
      </c>
    </row>
    <row r="333" spans="1:16" s="179" customFormat="1">
      <c r="A333" s="63" t="s">
        <v>4282</v>
      </c>
      <c r="B333" s="14" t="str">
        <f>VLOOKUP(P333,'护理记录单文书字典(数据)'!B$4:C$99,2,0)</f>
        <v>B750B8340CFAB2112E84DCC7EA528475</v>
      </c>
      <c r="C333" s="178" t="s">
        <v>4243</v>
      </c>
      <c r="D333" s="177" t="s">
        <v>4244</v>
      </c>
      <c r="E333" s="178" t="s">
        <v>2052</v>
      </c>
      <c r="F333" s="178">
        <v>1</v>
      </c>
      <c r="G333" s="178">
        <v>1</v>
      </c>
      <c r="H333" s="177" t="s">
        <v>963</v>
      </c>
      <c r="I333" s="177"/>
      <c r="J333" s="177">
        <v>1</v>
      </c>
      <c r="K333" s="177" t="s">
        <v>162</v>
      </c>
      <c r="L333" s="177" t="s">
        <v>509</v>
      </c>
      <c r="M333" s="177" t="s">
        <v>535</v>
      </c>
      <c r="N333" s="177" t="s">
        <v>509</v>
      </c>
      <c r="O333" s="177" t="s">
        <v>535</v>
      </c>
      <c r="P333" s="177" t="s">
        <v>1005</v>
      </c>
    </row>
    <row r="334" spans="1:16" s="179" customFormat="1">
      <c r="A334" s="63" t="s">
        <v>4282</v>
      </c>
      <c r="B334" s="14" t="str">
        <f>VLOOKUP(P334,'护理记录单文书字典(数据)'!B$4:C$99,2,0)</f>
        <v>B750B8340CFAB2112E84DCC7EA528475</v>
      </c>
      <c r="C334" s="178" t="s">
        <v>2246</v>
      </c>
      <c r="D334" s="177" t="s">
        <v>2247</v>
      </c>
      <c r="E334" s="178" t="s">
        <v>2048</v>
      </c>
      <c r="F334" s="178">
        <v>1</v>
      </c>
      <c r="G334" s="178">
        <v>1</v>
      </c>
      <c r="H334" s="177"/>
      <c r="I334" s="177"/>
      <c r="J334" s="177">
        <v>1</v>
      </c>
      <c r="K334" s="177" t="s">
        <v>162</v>
      </c>
      <c r="L334" s="177" t="s">
        <v>509</v>
      </c>
      <c r="M334" s="177" t="s">
        <v>535</v>
      </c>
      <c r="N334" s="177" t="s">
        <v>509</v>
      </c>
      <c r="O334" s="177" t="s">
        <v>535</v>
      </c>
      <c r="P334" s="177" t="s">
        <v>1005</v>
      </c>
    </row>
    <row r="335" spans="1:16" s="179" customFormat="1">
      <c r="A335" s="63" t="s">
        <v>4282</v>
      </c>
      <c r="B335" s="14" t="str">
        <f>VLOOKUP(P335,'护理记录单文书字典(数据)'!B$4:C$99,2,0)</f>
        <v>B750B8340CFAB2112E84DCC7EA528475</v>
      </c>
      <c r="C335" s="178" t="s">
        <v>2248</v>
      </c>
      <c r="D335" s="177" t="s">
        <v>2249</v>
      </c>
      <c r="E335" s="178" t="s">
        <v>2048</v>
      </c>
      <c r="F335" s="178">
        <v>1</v>
      </c>
      <c r="G335" s="178">
        <v>1</v>
      </c>
      <c r="H335" s="177"/>
      <c r="I335" s="177"/>
      <c r="J335" s="177">
        <v>1</v>
      </c>
      <c r="K335" s="177" t="s">
        <v>162</v>
      </c>
      <c r="L335" s="177" t="s">
        <v>509</v>
      </c>
      <c r="M335" s="177" t="s">
        <v>535</v>
      </c>
      <c r="N335" s="177" t="s">
        <v>509</v>
      </c>
      <c r="O335" s="177" t="s">
        <v>535</v>
      </c>
      <c r="P335" s="177" t="s">
        <v>1005</v>
      </c>
    </row>
    <row r="336" spans="1:16" s="179" customFormat="1">
      <c r="A336" s="63" t="s">
        <v>4282</v>
      </c>
      <c r="B336" s="14" t="str">
        <f>VLOOKUP(P336,'护理记录单文书字典(数据)'!B$4:C$99,2,0)</f>
        <v>B750B8340CFAB2112E84DCC7EA528475</v>
      </c>
      <c r="C336" s="178" t="s">
        <v>2250</v>
      </c>
      <c r="D336" s="177" t="s">
        <v>2251</v>
      </c>
      <c r="E336" s="178" t="s">
        <v>2104</v>
      </c>
      <c r="F336" s="178">
        <v>1</v>
      </c>
      <c r="G336" s="178">
        <v>1</v>
      </c>
      <c r="H336" s="177"/>
      <c r="I336" s="177"/>
      <c r="J336" s="177">
        <v>1</v>
      </c>
      <c r="K336" s="177" t="s">
        <v>162</v>
      </c>
      <c r="L336" s="177" t="s">
        <v>509</v>
      </c>
      <c r="M336" s="177" t="s">
        <v>535</v>
      </c>
      <c r="N336" s="177" t="s">
        <v>509</v>
      </c>
      <c r="O336" s="177" t="s">
        <v>535</v>
      </c>
      <c r="P336" s="177" t="s">
        <v>1005</v>
      </c>
    </row>
    <row r="337" spans="1:16" s="179" customFormat="1">
      <c r="A337" s="63" t="s">
        <v>4282</v>
      </c>
      <c r="B337" s="14" t="str">
        <f>VLOOKUP(P337,'护理记录单文书字典(数据)'!B$4:C$99,2,0)</f>
        <v>B750B8340CFAB2112E84DCC7EA528475</v>
      </c>
      <c r="C337" s="178" t="s">
        <v>2252</v>
      </c>
      <c r="D337" s="177" t="s">
        <v>2253</v>
      </c>
      <c r="E337" s="178" t="s">
        <v>2104</v>
      </c>
      <c r="F337" s="178">
        <v>1</v>
      </c>
      <c r="G337" s="178">
        <v>1</v>
      </c>
      <c r="H337" s="177"/>
      <c r="I337" s="177"/>
      <c r="J337" s="177">
        <v>1</v>
      </c>
      <c r="K337" s="177" t="s">
        <v>162</v>
      </c>
      <c r="L337" s="177" t="s">
        <v>509</v>
      </c>
      <c r="M337" s="177" t="s">
        <v>535</v>
      </c>
      <c r="N337" s="177" t="s">
        <v>509</v>
      </c>
      <c r="O337" s="177" t="s">
        <v>535</v>
      </c>
      <c r="P337" s="177" t="s">
        <v>1005</v>
      </c>
    </row>
    <row r="338" spans="1:16" s="179" customFormat="1">
      <c r="A338" s="63" t="s">
        <v>4282</v>
      </c>
      <c r="B338" s="14" t="str">
        <f>VLOOKUP(P338,'护理记录单文书字典(数据)'!B$4:C$99,2,0)</f>
        <v>B750B8340CFAB2112E84DCC7EA528475</v>
      </c>
      <c r="C338" s="178" t="s">
        <v>2254</v>
      </c>
      <c r="D338" s="177" t="s">
        <v>2255</v>
      </c>
      <c r="E338" s="178" t="s">
        <v>2048</v>
      </c>
      <c r="F338" s="178">
        <v>1</v>
      </c>
      <c r="G338" s="178">
        <v>1</v>
      </c>
      <c r="H338" s="177"/>
      <c r="I338" s="177"/>
      <c r="J338" s="177">
        <v>1</v>
      </c>
      <c r="K338" s="177" t="s">
        <v>162</v>
      </c>
      <c r="L338" s="177" t="s">
        <v>509</v>
      </c>
      <c r="M338" s="177" t="s">
        <v>535</v>
      </c>
      <c r="N338" s="177" t="s">
        <v>509</v>
      </c>
      <c r="O338" s="177" t="s">
        <v>535</v>
      </c>
      <c r="P338" s="177" t="s">
        <v>1005</v>
      </c>
    </row>
    <row r="339" spans="1:16" s="179" customFormat="1">
      <c r="A339" s="63" t="s">
        <v>4282</v>
      </c>
      <c r="B339" s="14" t="str">
        <f>VLOOKUP(P339,'护理记录单文书字典(数据)'!B$4:C$99,2,0)</f>
        <v>B750B8340CFAB2112E84DCC7EA528475</v>
      </c>
      <c r="C339" s="178" t="s">
        <v>4245</v>
      </c>
      <c r="D339" s="177" t="s">
        <v>4246</v>
      </c>
      <c r="E339" s="178" t="s">
        <v>2052</v>
      </c>
      <c r="F339" s="178">
        <v>0</v>
      </c>
      <c r="G339" s="178">
        <v>1</v>
      </c>
      <c r="H339" s="177" t="s">
        <v>4535</v>
      </c>
      <c r="I339" s="177"/>
      <c r="J339" s="177">
        <v>1</v>
      </c>
      <c r="K339" s="177" t="s">
        <v>162</v>
      </c>
      <c r="L339" s="177" t="s">
        <v>509</v>
      </c>
      <c r="M339" s="177" t="s">
        <v>535</v>
      </c>
      <c r="N339" s="177" t="s">
        <v>509</v>
      </c>
      <c r="O339" s="177" t="s">
        <v>535</v>
      </c>
      <c r="P339" s="177" t="s">
        <v>1005</v>
      </c>
    </row>
    <row r="340" spans="1:16" s="179" customFormat="1">
      <c r="A340" s="63" t="s">
        <v>4282</v>
      </c>
      <c r="B340" s="14" t="str">
        <f>VLOOKUP(P340,'护理记录单文书字典(数据)'!B$4:C$99,2,0)</f>
        <v>B750B8340CFAB2112E84DCC7EA528475</v>
      </c>
      <c r="C340" s="178" t="s">
        <v>4247</v>
      </c>
      <c r="D340" s="177" t="s">
        <v>4248</v>
      </c>
      <c r="E340" s="178" t="s">
        <v>2052</v>
      </c>
      <c r="F340" s="178">
        <v>1</v>
      </c>
      <c r="G340" s="178">
        <v>1</v>
      </c>
      <c r="H340" s="177" t="s">
        <v>963</v>
      </c>
      <c r="I340" s="177"/>
      <c r="J340" s="177">
        <v>1</v>
      </c>
      <c r="K340" s="177" t="s">
        <v>162</v>
      </c>
      <c r="L340" s="177" t="s">
        <v>509</v>
      </c>
      <c r="M340" s="177" t="s">
        <v>535</v>
      </c>
      <c r="N340" s="177" t="s">
        <v>509</v>
      </c>
      <c r="O340" s="177" t="s">
        <v>535</v>
      </c>
      <c r="P340" s="177" t="s">
        <v>1005</v>
      </c>
    </row>
    <row r="341" spans="1:16" s="179" customFormat="1">
      <c r="A341" s="63" t="s">
        <v>4282</v>
      </c>
      <c r="B341" s="14" t="str">
        <f>VLOOKUP(P341,'护理记录单文书字典(数据)'!B$4:C$99,2,0)</f>
        <v>B750B8340CFAB2112E84DCC7EA528475</v>
      </c>
      <c r="C341" s="178" t="s">
        <v>2278</v>
      </c>
      <c r="D341" s="177" t="s">
        <v>2279</v>
      </c>
      <c r="E341" s="178" t="s">
        <v>2048</v>
      </c>
      <c r="F341" s="178">
        <v>1</v>
      </c>
      <c r="G341" s="178">
        <v>1</v>
      </c>
      <c r="H341" s="177"/>
      <c r="I341" s="177"/>
      <c r="J341" s="177">
        <v>1</v>
      </c>
      <c r="K341" s="177" t="s">
        <v>162</v>
      </c>
      <c r="L341" s="177" t="s">
        <v>509</v>
      </c>
      <c r="M341" s="177" t="s">
        <v>535</v>
      </c>
      <c r="N341" s="177" t="s">
        <v>509</v>
      </c>
      <c r="O341" s="177" t="s">
        <v>535</v>
      </c>
      <c r="P341" s="177" t="s">
        <v>1005</v>
      </c>
    </row>
    <row r="342" spans="1:16" s="179" customFormat="1">
      <c r="A342" s="63" t="s">
        <v>4282</v>
      </c>
      <c r="B342" s="14" t="str">
        <f>VLOOKUP(P342,'护理记录单文书字典(数据)'!B$4:C$99,2,0)</f>
        <v>B750B8340CFAB2112E84DCC7EA528475</v>
      </c>
      <c r="C342" s="178" t="s">
        <v>2280</v>
      </c>
      <c r="D342" s="177" t="s">
        <v>2281</v>
      </c>
      <c r="E342" s="178" t="s">
        <v>2048</v>
      </c>
      <c r="F342" s="178">
        <v>1</v>
      </c>
      <c r="G342" s="178">
        <v>1</v>
      </c>
      <c r="H342" s="177"/>
      <c r="I342" s="177"/>
      <c r="J342" s="177">
        <v>1</v>
      </c>
      <c r="K342" s="177" t="s">
        <v>162</v>
      </c>
      <c r="L342" s="177" t="s">
        <v>509</v>
      </c>
      <c r="M342" s="177" t="s">
        <v>535</v>
      </c>
      <c r="N342" s="177" t="s">
        <v>509</v>
      </c>
      <c r="O342" s="177" t="s">
        <v>535</v>
      </c>
      <c r="P342" s="177" t="s">
        <v>1005</v>
      </c>
    </row>
    <row r="343" spans="1:16" s="179" customFormat="1">
      <c r="A343" s="63" t="s">
        <v>4282</v>
      </c>
      <c r="B343" s="14" t="str">
        <f>VLOOKUP(P343,'护理记录单文书字典(数据)'!B$4:C$99,2,0)</f>
        <v>B750B8340CFAB2112E84DCC7EA528475</v>
      </c>
      <c r="C343" s="178" t="s">
        <v>2282</v>
      </c>
      <c r="D343" s="177" t="s">
        <v>2283</v>
      </c>
      <c r="E343" s="178" t="s">
        <v>2104</v>
      </c>
      <c r="F343" s="178">
        <v>1</v>
      </c>
      <c r="G343" s="178">
        <v>1</v>
      </c>
      <c r="H343" s="177"/>
      <c r="I343" s="177"/>
      <c r="J343" s="177">
        <v>1</v>
      </c>
      <c r="K343" s="177" t="s">
        <v>162</v>
      </c>
      <c r="L343" s="177" t="s">
        <v>509</v>
      </c>
      <c r="M343" s="177" t="s">
        <v>535</v>
      </c>
      <c r="N343" s="177" t="s">
        <v>509</v>
      </c>
      <c r="O343" s="177" t="s">
        <v>535</v>
      </c>
      <c r="P343" s="177" t="s">
        <v>1005</v>
      </c>
    </row>
    <row r="344" spans="1:16" s="179" customFormat="1">
      <c r="A344" s="63" t="s">
        <v>4282</v>
      </c>
      <c r="B344" s="14" t="str">
        <f>VLOOKUP(P344,'护理记录单文书字典(数据)'!B$4:C$99,2,0)</f>
        <v>B750B8340CFAB2112E84DCC7EA528475</v>
      </c>
      <c r="C344" s="178" t="s">
        <v>2284</v>
      </c>
      <c r="D344" s="177" t="s">
        <v>2285</v>
      </c>
      <c r="E344" s="178" t="s">
        <v>2104</v>
      </c>
      <c r="F344" s="178">
        <v>1</v>
      </c>
      <c r="G344" s="178">
        <v>1</v>
      </c>
      <c r="H344" s="177"/>
      <c r="I344" s="177"/>
      <c r="J344" s="177">
        <v>1</v>
      </c>
      <c r="K344" s="177" t="s">
        <v>162</v>
      </c>
      <c r="L344" s="177" t="s">
        <v>509</v>
      </c>
      <c r="M344" s="177" t="s">
        <v>535</v>
      </c>
      <c r="N344" s="177" t="s">
        <v>509</v>
      </c>
      <c r="O344" s="177" t="s">
        <v>535</v>
      </c>
      <c r="P344" s="177" t="s">
        <v>1005</v>
      </c>
    </row>
    <row r="345" spans="1:16" s="179" customFormat="1">
      <c r="A345" s="63" t="s">
        <v>4282</v>
      </c>
      <c r="B345" s="14" t="str">
        <f>VLOOKUP(P345,'护理记录单文书字典(数据)'!B$4:C$99,2,0)</f>
        <v>B750B8340CFAB2112E84DCC7EA528475</v>
      </c>
      <c r="C345" s="178" t="s">
        <v>2286</v>
      </c>
      <c r="D345" s="177" t="s">
        <v>2287</v>
      </c>
      <c r="E345" s="178" t="s">
        <v>2048</v>
      </c>
      <c r="F345" s="178">
        <v>1</v>
      </c>
      <c r="G345" s="178">
        <v>1</v>
      </c>
      <c r="H345" s="177"/>
      <c r="I345" s="177"/>
      <c r="J345" s="177">
        <v>1</v>
      </c>
      <c r="K345" s="177" t="s">
        <v>162</v>
      </c>
      <c r="L345" s="177" t="s">
        <v>509</v>
      </c>
      <c r="M345" s="177" t="s">
        <v>535</v>
      </c>
      <c r="N345" s="177" t="s">
        <v>509</v>
      </c>
      <c r="O345" s="177" t="s">
        <v>535</v>
      </c>
      <c r="P345" s="177" t="s">
        <v>1005</v>
      </c>
    </row>
    <row r="346" spans="1:16" s="179" customFormat="1">
      <c r="A346" s="63" t="s">
        <v>4282</v>
      </c>
      <c r="B346" s="14" t="str">
        <f>VLOOKUP(P346,'护理记录单文书字典(数据)'!B$4:C$99,2,0)</f>
        <v>B750B8340CFAB2112E84DCC7EA528475</v>
      </c>
      <c r="C346" s="178" t="s">
        <v>4249</v>
      </c>
      <c r="D346" s="177" t="s">
        <v>4250</v>
      </c>
      <c r="E346" s="178" t="s">
        <v>2052</v>
      </c>
      <c r="F346" s="178">
        <v>0</v>
      </c>
      <c r="G346" s="178">
        <v>1</v>
      </c>
      <c r="H346" s="177" t="s">
        <v>4535</v>
      </c>
      <c r="I346" s="177"/>
      <c r="J346" s="177">
        <v>1</v>
      </c>
      <c r="K346" s="177" t="s">
        <v>162</v>
      </c>
      <c r="L346" s="177" t="s">
        <v>509</v>
      </c>
      <c r="M346" s="177" t="s">
        <v>535</v>
      </c>
      <c r="N346" s="177" t="s">
        <v>509</v>
      </c>
      <c r="O346" s="177" t="s">
        <v>535</v>
      </c>
      <c r="P346" s="177" t="s">
        <v>1005</v>
      </c>
    </row>
    <row r="347" spans="1:16" s="179" customFormat="1">
      <c r="A347" s="63" t="s">
        <v>4282</v>
      </c>
      <c r="B347" s="14" t="str">
        <f>VLOOKUP(P347,'护理记录单文书字典(数据)'!B$4:C$99,2,0)</f>
        <v>B750B8340CFAB2112E84DCC7EA528475</v>
      </c>
      <c r="C347" s="178" t="s">
        <v>4251</v>
      </c>
      <c r="D347" s="177" t="s">
        <v>4252</v>
      </c>
      <c r="E347" s="178" t="s">
        <v>2052</v>
      </c>
      <c r="F347" s="178">
        <v>1</v>
      </c>
      <c r="G347" s="178">
        <v>1</v>
      </c>
      <c r="H347" s="177" t="s">
        <v>963</v>
      </c>
      <c r="I347" s="177"/>
      <c r="J347" s="177">
        <v>1</v>
      </c>
      <c r="K347" s="177" t="s">
        <v>162</v>
      </c>
      <c r="L347" s="177" t="s">
        <v>509</v>
      </c>
      <c r="M347" s="177" t="s">
        <v>535</v>
      </c>
      <c r="N347" s="177" t="s">
        <v>509</v>
      </c>
      <c r="O347" s="177" t="s">
        <v>535</v>
      </c>
      <c r="P347" s="177" t="s">
        <v>1005</v>
      </c>
    </row>
    <row r="348" spans="1:16" s="179" customFormat="1">
      <c r="A348" s="63" t="s">
        <v>4282</v>
      </c>
      <c r="B348" s="14" t="str">
        <f>VLOOKUP(P348,'护理记录单文书字典(数据)'!B$4:C$99,2,0)</f>
        <v>B750B8340CFAB2112E84DCC7EA528475</v>
      </c>
      <c r="C348" s="178" t="s">
        <v>2310</v>
      </c>
      <c r="D348" s="177" t="s">
        <v>2311</v>
      </c>
      <c r="E348" s="178" t="s">
        <v>2048</v>
      </c>
      <c r="F348" s="178">
        <v>1</v>
      </c>
      <c r="G348" s="178">
        <v>1</v>
      </c>
      <c r="H348" s="177"/>
      <c r="I348" s="177"/>
      <c r="J348" s="177">
        <v>1</v>
      </c>
      <c r="K348" s="177" t="s">
        <v>162</v>
      </c>
      <c r="L348" s="177" t="s">
        <v>509</v>
      </c>
      <c r="M348" s="177" t="s">
        <v>535</v>
      </c>
      <c r="N348" s="177" t="s">
        <v>509</v>
      </c>
      <c r="O348" s="177" t="s">
        <v>535</v>
      </c>
      <c r="P348" s="177" t="s">
        <v>1005</v>
      </c>
    </row>
    <row r="349" spans="1:16" s="179" customFormat="1">
      <c r="A349" s="63" t="s">
        <v>4282</v>
      </c>
      <c r="B349" s="14" t="str">
        <f>VLOOKUP(P349,'护理记录单文书字典(数据)'!B$4:C$99,2,0)</f>
        <v>B750B8340CFAB2112E84DCC7EA528475</v>
      </c>
      <c r="C349" s="178" t="s">
        <v>2312</v>
      </c>
      <c r="D349" s="177" t="s">
        <v>2313</v>
      </c>
      <c r="E349" s="178" t="s">
        <v>2048</v>
      </c>
      <c r="F349" s="178">
        <v>1</v>
      </c>
      <c r="G349" s="178">
        <v>1</v>
      </c>
      <c r="H349" s="177"/>
      <c r="I349" s="177"/>
      <c r="J349" s="177">
        <v>1</v>
      </c>
      <c r="K349" s="177" t="s">
        <v>162</v>
      </c>
      <c r="L349" s="177" t="s">
        <v>509</v>
      </c>
      <c r="M349" s="177" t="s">
        <v>535</v>
      </c>
      <c r="N349" s="177" t="s">
        <v>509</v>
      </c>
      <c r="O349" s="177" t="s">
        <v>535</v>
      </c>
      <c r="P349" s="177" t="s">
        <v>1005</v>
      </c>
    </row>
    <row r="350" spans="1:16" s="179" customFormat="1">
      <c r="A350" s="63" t="s">
        <v>4282</v>
      </c>
      <c r="B350" s="14" t="str">
        <f>VLOOKUP(P350,'护理记录单文书字典(数据)'!B$4:C$99,2,0)</f>
        <v>B750B8340CFAB2112E84DCC7EA528475</v>
      </c>
      <c r="C350" s="178" t="s">
        <v>2314</v>
      </c>
      <c r="D350" s="177" t="s">
        <v>2315</v>
      </c>
      <c r="E350" s="178" t="s">
        <v>2104</v>
      </c>
      <c r="F350" s="178">
        <v>1</v>
      </c>
      <c r="G350" s="178">
        <v>1</v>
      </c>
      <c r="H350" s="177"/>
      <c r="I350" s="177"/>
      <c r="J350" s="177">
        <v>1</v>
      </c>
      <c r="K350" s="177" t="s">
        <v>162</v>
      </c>
      <c r="L350" s="177" t="s">
        <v>509</v>
      </c>
      <c r="M350" s="177" t="s">
        <v>535</v>
      </c>
      <c r="N350" s="177" t="s">
        <v>509</v>
      </c>
      <c r="O350" s="177" t="s">
        <v>535</v>
      </c>
      <c r="P350" s="177" t="s">
        <v>1005</v>
      </c>
    </row>
    <row r="351" spans="1:16" s="179" customFormat="1">
      <c r="A351" s="63" t="s">
        <v>4282</v>
      </c>
      <c r="B351" s="14" t="str">
        <f>VLOOKUP(P351,'护理记录单文书字典(数据)'!B$4:C$99,2,0)</f>
        <v>B750B8340CFAB2112E84DCC7EA528475</v>
      </c>
      <c r="C351" s="178" t="s">
        <v>2316</v>
      </c>
      <c r="D351" s="177" t="s">
        <v>4253</v>
      </c>
      <c r="E351" s="178" t="s">
        <v>2104</v>
      </c>
      <c r="F351" s="178">
        <v>1</v>
      </c>
      <c r="G351" s="178">
        <v>1</v>
      </c>
      <c r="H351" s="177"/>
      <c r="I351" s="177"/>
      <c r="J351" s="177">
        <v>1</v>
      </c>
      <c r="K351" s="177" t="s">
        <v>162</v>
      </c>
      <c r="L351" s="177" t="s">
        <v>509</v>
      </c>
      <c r="M351" s="177" t="s">
        <v>535</v>
      </c>
      <c r="N351" s="177" t="s">
        <v>509</v>
      </c>
      <c r="O351" s="177" t="s">
        <v>535</v>
      </c>
      <c r="P351" s="177" t="s">
        <v>1005</v>
      </c>
    </row>
    <row r="352" spans="1:16" s="179" customFormat="1">
      <c r="A352" s="63" t="s">
        <v>4282</v>
      </c>
      <c r="B352" s="14" t="str">
        <f>VLOOKUP(P352,'护理记录单文书字典(数据)'!B$4:C$99,2,0)</f>
        <v>B750B8340CFAB2112E84DCC7EA528475</v>
      </c>
      <c r="C352" s="178" t="s">
        <v>2317</v>
      </c>
      <c r="D352" s="177" t="s">
        <v>2318</v>
      </c>
      <c r="E352" s="178" t="s">
        <v>2048</v>
      </c>
      <c r="F352" s="178">
        <v>1</v>
      </c>
      <c r="G352" s="178">
        <v>1</v>
      </c>
      <c r="H352" s="177"/>
      <c r="I352" s="177"/>
      <c r="J352" s="177">
        <v>1</v>
      </c>
      <c r="K352" s="177" t="s">
        <v>162</v>
      </c>
      <c r="L352" s="177" t="s">
        <v>509</v>
      </c>
      <c r="M352" s="177" t="s">
        <v>535</v>
      </c>
      <c r="N352" s="177" t="s">
        <v>509</v>
      </c>
      <c r="O352" s="177" t="s">
        <v>535</v>
      </c>
      <c r="P352" s="177" t="s">
        <v>1005</v>
      </c>
    </row>
    <row r="353" spans="1:16" s="179" customFormat="1">
      <c r="A353" s="63" t="s">
        <v>4282</v>
      </c>
      <c r="B353" s="14" t="str">
        <f>VLOOKUP(P353,'护理记录单文书字典(数据)'!B$4:C$99,2,0)</f>
        <v>B750B8340CFAB2112E84DCC7EA528475</v>
      </c>
      <c r="C353" s="178" t="s">
        <v>4254</v>
      </c>
      <c r="D353" s="177" t="s">
        <v>4255</v>
      </c>
      <c r="E353" s="178" t="s">
        <v>2052</v>
      </c>
      <c r="F353" s="178">
        <v>0</v>
      </c>
      <c r="G353" s="178">
        <v>1</v>
      </c>
      <c r="H353" s="177" t="s">
        <v>4535</v>
      </c>
      <c r="I353" s="177"/>
      <c r="J353" s="177">
        <v>1</v>
      </c>
      <c r="K353" s="177" t="s">
        <v>162</v>
      </c>
      <c r="L353" s="177" t="s">
        <v>509</v>
      </c>
      <c r="M353" s="177" t="s">
        <v>535</v>
      </c>
      <c r="N353" s="177" t="s">
        <v>509</v>
      </c>
      <c r="O353" s="177" t="s">
        <v>535</v>
      </c>
      <c r="P353" s="177" t="s">
        <v>1005</v>
      </c>
    </row>
    <row r="354" spans="1:16" s="179" customFormat="1">
      <c r="A354" s="63" t="s">
        <v>4282</v>
      </c>
      <c r="B354" s="14" t="str">
        <f>VLOOKUP(P354,'护理记录单文书字典(数据)'!B$4:C$99,2,0)</f>
        <v>B750B8340CFAB2112E84DCC7EA528475</v>
      </c>
      <c r="C354" s="178" t="s">
        <v>4256</v>
      </c>
      <c r="D354" s="177" t="s">
        <v>4257</v>
      </c>
      <c r="E354" s="178" t="s">
        <v>2052</v>
      </c>
      <c r="F354" s="178">
        <v>1</v>
      </c>
      <c r="G354" s="178">
        <v>1</v>
      </c>
      <c r="H354" s="177" t="s">
        <v>963</v>
      </c>
      <c r="I354" s="177"/>
      <c r="J354" s="177">
        <v>1</v>
      </c>
      <c r="K354" s="177" t="s">
        <v>162</v>
      </c>
      <c r="L354" s="177" t="s">
        <v>509</v>
      </c>
      <c r="M354" s="177" t="s">
        <v>535</v>
      </c>
      <c r="N354" s="177" t="s">
        <v>509</v>
      </c>
      <c r="O354" s="177" t="s">
        <v>535</v>
      </c>
      <c r="P354" s="177" t="s">
        <v>1005</v>
      </c>
    </row>
    <row r="355" spans="1:16" s="179" customFormat="1">
      <c r="A355" s="63" t="s">
        <v>4282</v>
      </c>
      <c r="B355" s="14" t="str">
        <f>VLOOKUP(P355,'护理记录单文书字典(数据)'!B$4:C$99,2,0)</f>
        <v>B750B8340CFAB2112E84DCC7EA528475</v>
      </c>
      <c r="C355" s="178" t="s">
        <v>2341</v>
      </c>
      <c r="D355" s="177" t="s">
        <v>2342</v>
      </c>
      <c r="E355" s="178" t="s">
        <v>2048</v>
      </c>
      <c r="F355" s="178">
        <v>1</v>
      </c>
      <c r="G355" s="178">
        <v>1</v>
      </c>
      <c r="H355" s="177"/>
      <c r="I355" s="177"/>
      <c r="J355" s="177">
        <v>1</v>
      </c>
      <c r="K355" s="177" t="s">
        <v>162</v>
      </c>
      <c r="L355" s="177" t="s">
        <v>509</v>
      </c>
      <c r="M355" s="177" t="s">
        <v>535</v>
      </c>
      <c r="N355" s="177" t="s">
        <v>509</v>
      </c>
      <c r="O355" s="177" t="s">
        <v>535</v>
      </c>
      <c r="P355" s="177" t="s">
        <v>1005</v>
      </c>
    </row>
    <row r="356" spans="1:16" s="179" customFormat="1">
      <c r="A356" s="63" t="s">
        <v>4282</v>
      </c>
      <c r="B356" s="14" t="str">
        <f>VLOOKUP(P356,'护理记录单文书字典(数据)'!B$4:C$99,2,0)</f>
        <v>B750B8340CFAB2112E84DCC7EA528475</v>
      </c>
      <c r="C356" s="178" t="s">
        <v>2343</v>
      </c>
      <c r="D356" s="177" t="s">
        <v>2344</v>
      </c>
      <c r="E356" s="178" t="s">
        <v>2048</v>
      </c>
      <c r="F356" s="178">
        <v>1</v>
      </c>
      <c r="G356" s="178">
        <v>1</v>
      </c>
      <c r="H356" s="177"/>
      <c r="I356" s="177"/>
      <c r="J356" s="177">
        <v>1</v>
      </c>
      <c r="K356" s="177" t="s">
        <v>162</v>
      </c>
      <c r="L356" s="177" t="s">
        <v>509</v>
      </c>
      <c r="M356" s="177" t="s">
        <v>535</v>
      </c>
      <c r="N356" s="177" t="s">
        <v>509</v>
      </c>
      <c r="O356" s="177" t="s">
        <v>535</v>
      </c>
      <c r="P356" s="177" t="s">
        <v>1005</v>
      </c>
    </row>
    <row r="357" spans="1:16" s="179" customFormat="1">
      <c r="A357" s="63" t="s">
        <v>4282</v>
      </c>
      <c r="B357" s="14" t="str">
        <f>VLOOKUP(P357,'护理记录单文书字典(数据)'!B$4:C$99,2,0)</f>
        <v>B750B8340CFAB2112E84DCC7EA528475</v>
      </c>
      <c r="C357" s="178" t="s">
        <v>2345</v>
      </c>
      <c r="D357" s="177" t="s">
        <v>2346</v>
      </c>
      <c r="E357" s="178" t="s">
        <v>2104</v>
      </c>
      <c r="F357" s="178">
        <v>1</v>
      </c>
      <c r="G357" s="178">
        <v>1</v>
      </c>
      <c r="H357" s="177"/>
      <c r="I357" s="177"/>
      <c r="J357" s="177">
        <v>1</v>
      </c>
      <c r="K357" s="177" t="s">
        <v>162</v>
      </c>
      <c r="L357" s="177" t="s">
        <v>509</v>
      </c>
      <c r="M357" s="177" t="s">
        <v>535</v>
      </c>
      <c r="N357" s="177" t="s">
        <v>509</v>
      </c>
      <c r="O357" s="177" t="s">
        <v>535</v>
      </c>
      <c r="P357" s="177" t="s">
        <v>1005</v>
      </c>
    </row>
    <row r="358" spans="1:16" s="179" customFormat="1">
      <c r="A358" s="63" t="s">
        <v>4282</v>
      </c>
      <c r="B358" s="14" t="str">
        <f>VLOOKUP(P358,'护理记录单文书字典(数据)'!B$4:C$99,2,0)</f>
        <v>B750B8340CFAB2112E84DCC7EA528475</v>
      </c>
      <c r="C358" s="178" t="s">
        <v>2347</v>
      </c>
      <c r="D358" s="177" t="s">
        <v>4258</v>
      </c>
      <c r="E358" s="178" t="s">
        <v>2104</v>
      </c>
      <c r="F358" s="178">
        <v>1</v>
      </c>
      <c r="G358" s="178">
        <v>1</v>
      </c>
      <c r="H358" s="177"/>
      <c r="I358" s="177"/>
      <c r="J358" s="177">
        <v>1</v>
      </c>
      <c r="K358" s="177" t="s">
        <v>162</v>
      </c>
      <c r="L358" s="177" t="s">
        <v>509</v>
      </c>
      <c r="M358" s="177" t="s">
        <v>535</v>
      </c>
      <c r="N358" s="177" t="s">
        <v>509</v>
      </c>
      <c r="O358" s="177" t="s">
        <v>535</v>
      </c>
      <c r="P358" s="177" t="s">
        <v>1005</v>
      </c>
    </row>
    <row r="359" spans="1:16" s="179" customFormat="1">
      <c r="A359" s="63" t="s">
        <v>4282</v>
      </c>
      <c r="B359" s="14" t="str">
        <f>VLOOKUP(P359,'护理记录单文书字典(数据)'!B$4:C$99,2,0)</f>
        <v>B750B8340CFAB2112E84DCC7EA528475</v>
      </c>
      <c r="C359" s="178" t="s">
        <v>2348</v>
      </c>
      <c r="D359" s="177" t="s">
        <v>2349</v>
      </c>
      <c r="E359" s="178" t="s">
        <v>2048</v>
      </c>
      <c r="F359" s="178">
        <v>1</v>
      </c>
      <c r="G359" s="178">
        <v>1</v>
      </c>
      <c r="H359" s="177"/>
      <c r="I359" s="177"/>
      <c r="J359" s="177">
        <v>1</v>
      </c>
      <c r="K359" s="177" t="s">
        <v>162</v>
      </c>
      <c r="L359" s="177" t="s">
        <v>509</v>
      </c>
      <c r="M359" s="177" t="s">
        <v>535</v>
      </c>
      <c r="N359" s="177" t="s">
        <v>509</v>
      </c>
      <c r="O359" s="177" t="s">
        <v>535</v>
      </c>
      <c r="P359" s="177" t="s">
        <v>1005</v>
      </c>
    </row>
    <row r="360" spans="1:16" s="179" customFormat="1">
      <c r="A360" s="63" t="s">
        <v>4282</v>
      </c>
      <c r="B360" s="14" t="str">
        <f>VLOOKUP(P360,'护理记录单文书字典(数据)'!B$4:C$99,2,0)</f>
        <v>B750B8340CFAB2112E84DCC7EA528475</v>
      </c>
      <c r="C360" s="178" t="s">
        <v>4259</v>
      </c>
      <c r="D360" s="177" t="s">
        <v>4260</v>
      </c>
      <c r="E360" s="178" t="s">
        <v>2052</v>
      </c>
      <c r="F360" s="178">
        <v>0</v>
      </c>
      <c r="G360" s="178">
        <v>1</v>
      </c>
      <c r="H360" s="177" t="s">
        <v>4535</v>
      </c>
      <c r="I360" s="177"/>
      <c r="J360" s="177">
        <v>1</v>
      </c>
      <c r="K360" s="177" t="s">
        <v>162</v>
      </c>
      <c r="L360" s="177" t="s">
        <v>509</v>
      </c>
      <c r="M360" s="177" t="s">
        <v>535</v>
      </c>
      <c r="N360" s="177" t="s">
        <v>509</v>
      </c>
      <c r="O360" s="177" t="s">
        <v>535</v>
      </c>
      <c r="P360" s="177" t="s">
        <v>1005</v>
      </c>
    </row>
    <row r="361" spans="1:16" s="179" customFormat="1">
      <c r="A361" s="63" t="s">
        <v>4282</v>
      </c>
      <c r="B361" s="14" t="str">
        <f>VLOOKUP(P361,'护理记录单文书字典(数据)'!B$4:C$99,2,0)</f>
        <v>B750B8340CFAB2112E84DCC7EA528475</v>
      </c>
      <c r="C361" s="178" t="s">
        <v>4261</v>
      </c>
      <c r="D361" s="177" t="s">
        <v>4262</v>
      </c>
      <c r="E361" s="178" t="s">
        <v>2052</v>
      </c>
      <c r="F361" s="178">
        <v>1</v>
      </c>
      <c r="G361" s="178">
        <v>1</v>
      </c>
      <c r="H361" s="177" t="s">
        <v>963</v>
      </c>
      <c r="I361" s="177"/>
      <c r="J361" s="177">
        <v>1</v>
      </c>
      <c r="K361" s="177" t="s">
        <v>162</v>
      </c>
      <c r="L361" s="177" t="s">
        <v>509</v>
      </c>
      <c r="M361" s="177" t="s">
        <v>535</v>
      </c>
      <c r="N361" s="177" t="s">
        <v>509</v>
      </c>
      <c r="O361" s="177" t="s">
        <v>535</v>
      </c>
      <c r="P361" s="177" t="s">
        <v>1005</v>
      </c>
    </row>
    <row r="362" spans="1:16" s="179" customFormat="1">
      <c r="A362" s="63" t="s">
        <v>4282</v>
      </c>
      <c r="B362" s="14" t="str">
        <f>VLOOKUP(P362,'护理记录单文书字典(数据)'!B$4:C$99,2,0)</f>
        <v>B750B8340CFAB2112E84DCC7EA528475</v>
      </c>
      <c r="C362" s="178" t="s">
        <v>2372</v>
      </c>
      <c r="D362" s="177" t="s">
        <v>2373</v>
      </c>
      <c r="E362" s="178" t="s">
        <v>2048</v>
      </c>
      <c r="F362" s="178">
        <v>1</v>
      </c>
      <c r="G362" s="178">
        <v>1</v>
      </c>
      <c r="H362" s="177"/>
      <c r="I362" s="177"/>
      <c r="J362" s="177">
        <v>1</v>
      </c>
      <c r="K362" s="177" t="s">
        <v>162</v>
      </c>
      <c r="L362" s="177" t="s">
        <v>509</v>
      </c>
      <c r="M362" s="177" t="s">
        <v>535</v>
      </c>
      <c r="N362" s="177" t="s">
        <v>509</v>
      </c>
      <c r="O362" s="177" t="s">
        <v>535</v>
      </c>
      <c r="P362" s="177" t="s">
        <v>1005</v>
      </c>
    </row>
    <row r="363" spans="1:16" s="179" customFormat="1">
      <c r="A363" s="63" t="s">
        <v>4282</v>
      </c>
      <c r="B363" s="14" t="str">
        <f>VLOOKUP(P363,'护理记录单文书字典(数据)'!B$4:C$99,2,0)</f>
        <v>B750B8340CFAB2112E84DCC7EA528475</v>
      </c>
      <c r="C363" s="178" t="s">
        <v>2374</v>
      </c>
      <c r="D363" s="177" t="s">
        <v>2375</v>
      </c>
      <c r="E363" s="178" t="s">
        <v>2048</v>
      </c>
      <c r="F363" s="178">
        <v>1</v>
      </c>
      <c r="G363" s="178">
        <v>1</v>
      </c>
      <c r="H363" s="177"/>
      <c r="I363" s="177"/>
      <c r="J363" s="177">
        <v>1</v>
      </c>
      <c r="K363" s="177" t="s">
        <v>162</v>
      </c>
      <c r="L363" s="177" t="s">
        <v>509</v>
      </c>
      <c r="M363" s="177" t="s">
        <v>535</v>
      </c>
      <c r="N363" s="177" t="s">
        <v>509</v>
      </c>
      <c r="O363" s="177" t="s">
        <v>535</v>
      </c>
      <c r="P363" s="177" t="s">
        <v>1005</v>
      </c>
    </row>
    <row r="364" spans="1:16" s="179" customFormat="1">
      <c r="A364" s="63" t="s">
        <v>4282</v>
      </c>
      <c r="B364" s="14" t="str">
        <f>VLOOKUP(P364,'护理记录单文书字典(数据)'!B$4:C$99,2,0)</f>
        <v>B750B8340CFAB2112E84DCC7EA528475</v>
      </c>
      <c r="C364" s="178" t="s">
        <v>2376</v>
      </c>
      <c r="D364" s="177" t="s">
        <v>2377</v>
      </c>
      <c r="E364" s="178" t="s">
        <v>2104</v>
      </c>
      <c r="F364" s="178">
        <v>1</v>
      </c>
      <c r="G364" s="178">
        <v>1</v>
      </c>
      <c r="H364" s="177"/>
      <c r="I364" s="177"/>
      <c r="J364" s="177">
        <v>1</v>
      </c>
      <c r="K364" s="177" t="s">
        <v>162</v>
      </c>
      <c r="L364" s="177" t="s">
        <v>509</v>
      </c>
      <c r="M364" s="177" t="s">
        <v>535</v>
      </c>
      <c r="N364" s="177" t="s">
        <v>509</v>
      </c>
      <c r="O364" s="177" t="s">
        <v>535</v>
      </c>
      <c r="P364" s="177" t="s">
        <v>1005</v>
      </c>
    </row>
    <row r="365" spans="1:16" s="179" customFormat="1">
      <c r="A365" s="63" t="s">
        <v>4282</v>
      </c>
      <c r="B365" s="14" t="str">
        <f>VLOOKUP(P365,'护理记录单文书字典(数据)'!B$4:C$99,2,0)</f>
        <v>B750B8340CFAB2112E84DCC7EA528475</v>
      </c>
      <c r="C365" s="178" t="s">
        <v>2378</v>
      </c>
      <c r="D365" s="177" t="s">
        <v>4263</v>
      </c>
      <c r="E365" s="178" t="s">
        <v>2104</v>
      </c>
      <c r="F365" s="178">
        <v>1</v>
      </c>
      <c r="G365" s="178">
        <v>1</v>
      </c>
      <c r="H365" s="177"/>
      <c r="I365" s="177"/>
      <c r="J365" s="177">
        <v>1</v>
      </c>
      <c r="K365" s="177" t="s">
        <v>162</v>
      </c>
      <c r="L365" s="177" t="s">
        <v>509</v>
      </c>
      <c r="M365" s="177" t="s">
        <v>535</v>
      </c>
      <c r="N365" s="177" t="s">
        <v>509</v>
      </c>
      <c r="O365" s="177" t="s">
        <v>535</v>
      </c>
      <c r="P365" s="177" t="s">
        <v>1005</v>
      </c>
    </row>
    <row r="366" spans="1:16" s="179" customFormat="1">
      <c r="A366" s="63" t="s">
        <v>4282</v>
      </c>
      <c r="B366" s="14" t="str">
        <f>VLOOKUP(P366,'护理记录单文书字典(数据)'!B$4:C$99,2,0)</f>
        <v>B750B8340CFAB2112E84DCC7EA528475</v>
      </c>
      <c r="C366" s="178" t="s">
        <v>2379</v>
      </c>
      <c r="D366" s="177" t="s">
        <v>2380</v>
      </c>
      <c r="E366" s="178" t="s">
        <v>2048</v>
      </c>
      <c r="F366" s="178">
        <v>1</v>
      </c>
      <c r="G366" s="178">
        <v>1</v>
      </c>
      <c r="H366" s="177"/>
      <c r="I366" s="177"/>
      <c r="J366" s="177">
        <v>1</v>
      </c>
      <c r="K366" s="177" t="s">
        <v>162</v>
      </c>
      <c r="L366" s="177" t="s">
        <v>509</v>
      </c>
      <c r="M366" s="177" t="s">
        <v>535</v>
      </c>
      <c r="N366" s="177" t="s">
        <v>509</v>
      </c>
      <c r="O366" s="177" t="s">
        <v>535</v>
      </c>
      <c r="P366" s="177" t="s">
        <v>1005</v>
      </c>
    </row>
    <row r="367" spans="1:16" s="179" customFormat="1">
      <c r="A367" s="63" t="s">
        <v>4282</v>
      </c>
      <c r="B367" s="14" t="str">
        <f>VLOOKUP(P367,'护理记录单文书字典(数据)'!B$4:C$99,2,0)</f>
        <v>B750B8340CFAB2112E84DCC7EA528475</v>
      </c>
      <c r="C367" s="178" t="s">
        <v>4264</v>
      </c>
      <c r="D367" s="177" t="s">
        <v>4265</v>
      </c>
      <c r="E367" s="178" t="s">
        <v>2052</v>
      </c>
      <c r="F367" s="178">
        <v>0</v>
      </c>
      <c r="G367" s="178">
        <v>1</v>
      </c>
      <c r="H367" s="177" t="s">
        <v>4535</v>
      </c>
      <c r="I367" s="177"/>
      <c r="J367" s="177">
        <v>1</v>
      </c>
      <c r="K367" s="177" t="s">
        <v>162</v>
      </c>
      <c r="L367" s="177" t="s">
        <v>509</v>
      </c>
      <c r="M367" s="177" t="s">
        <v>535</v>
      </c>
      <c r="N367" s="177" t="s">
        <v>509</v>
      </c>
      <c r="O367" s="177" t="s">
        <v>535</v>
      </c>
      <c r="P367" s="177" t="s">
        <v>1005</v>
      </c>
    </row>
    <row r="368" spans="1:16" s="179" customFormat="1">
      <c r="A368" s="63" t="s">
        <v>4282</v>
      </c>
      <c r="B368" s="14" t="str">
        <f>VLOOKUP(P368,'护理记录单文书字典(数据)'!B$4:C$99,2,0)</f>
        <v>B750B8340CFAB2112E84DCC7EA528475</v>
      </c>
      <c r="C368" s="178" t="s">
        <v>4266</v>
      </c>
      <c r="D368" s="177" t="s">
        <v>4267</v>
      </c>
      <c r="E368" s="178" t="s">
        <v>2052</v>
      </c>
      <c r="F368" s="178">
        <v>1</v>
      </c>
      <c r="G368" s="178">
        <v>1</v>
      </c>
      <c r="H368" s="177" t="s">
        <v>963</v>
      </c>
      <c r="I368" s="177"/>
      <c r="J368" s="177">
        <v>1</v>
      </c>
      <c r="K368" s="177" t="s">
        <v>162</v>
      </c>
      <c r="L368" s="177" t="s">
        <v>509</v>
      </c>
      <c r="M368" s="177" t="s">
        <v>535</v>
      </c>
      <c r="N368" s="177" t="s">
        <v>509</v>
      </c>
      <c r="O368" s="177" t="s">
        <v>535</v>
      </c>
      <c r="P368" s="177" t="s">
        <v>1005</v>
      </c>
    </row>
    <row r="369" spans="1:16" s="179" customFormat="1">
      <c r="A369" s="63" t="s">
        <v>4282</v>
      </c>
      <c r="B369" s="14" t="str">
        <f>VLOOKUP(P369,'护理记录单文书字典(数据)'!B$4:C$99,2,0)</f>
        <v>B750B8340CFAB2112E84DCC7EA528475</v>
      </c>
      <c r="C369" s="178" t="s">
        <v>2403</v>
      </c>
      <c r="D369" s="177" t="s">
        <v>2404</v>
      </c>
      <c r="E369" s="178" t="s">
        <v>2048</v>
      </c>
      <c r="F369" s="178">
        <v>1</v>
      </c>
      <c r="G369" s="178">
        <v>1</v>
      </c>
      <c r="H369" s="177"/>
      <c r="I369" s="177"/>
      <c r="J369" s="177">
        <v>1</v>
      </c>
      <c r="K369" s="177" t="s">
        <v>162</v>
      </c>
      <c r="L369" s="177" t="s">
        <v>509</v>
      </c>
      <c r="M369" s="177" t="s">
        <v>535</v>
      </c>
      <c r="N369" s="177" t="s">
        <v>509</v>
      </c>
      <c r="O369" s="177" t="s">
        <v>535</v>
      </c>
      <c r="P369" s="177" t="s">
        <v>1005</v>
      </c>
    </row>
    <row r="370" spans="1:16" s="179" customFormat="1">
      <c r="A370" s="63" t="s">
        <v>4282</v>
      </c>
      <c r="B370" s="14" t="str">
        <f>VLOOKUP(P370,'护理记录单文书字典(数据)'!B$4:C$99,2,0)</f>
        <v>B750B8340CFAB2112E84DCC7EA528475</v>
      </c>
      <c r="C370" s="178" t="s">
        <v>2405</v>
      </c>
      <c r="D370" s="177" t="s">
        <v>2406</v>
      </c>
      <c r="E370" s="178" t="s">
        <v>2048</v>
      </c>
      <c r="F370" s="178">
        <v>1</v>
      </c>
      <c r="G370" s="178">
        <v>1</v>
      </c>
      <c r="H370" s="177"/>
      <c r="I370" s="177"/>
      <c r="J370" s="177">
        <v>1</v>
      </c>
      <c r="K370" s="177" t="s">
        <v>162</v>
      </c>
      <c r="L370" s="177" t="s">
        <v>509</v>
      </c>
      <c r="M370" s="177" t="s">
        <v>535</v>
      </c>
      <c r="N370" s="177" t="s">
        <v>509</v>
      </c>
      <c r="O370" s="177" t="s">
        <v>535</v>
      </c>
      <c r="P370" s="177" t="s">
        <v>1005</v>
      </c>
    </row>
    <row r="371" spans="1:16" s="179" customFormat="1">
      <c r="A371" s="63" t="s">
        <v>4282</v>
      </c>
      <c r="B371" s="14" t="str">
        <f>VLOOKUP(P371,'护理记录单文书字典(数据)'!B$4:C$99,2,0)</f>
        <v>B750B8340CFAB2112E84DCC7EA528475</v>
      </c>
      <c r="C371" s="178" t="s">
        <v>2407</v>
      </c>
      <c r="D371" s="177" t="s">
        <v>2408</v>
      </c>
      <c r="E371" s="178" t="s">
        <v>2104</v>
      </c>
      <c r="F371" s="178">
        <v>1</v>
      </c>
      <c r="G371" s="178">
        <v>1</v>
      </c>
      <c r="H371" s="177"/>
      <c r="I371" s="177"/>
      <c r="J371" s="177">
        <v>1</v>
      </c>
      <c r="K371" s="177" t="s">
        <v>162</v>
      </c>
      <c r="L371" s="177" t="s">
        <v>509</v>
      </c>
      <c r="M371" s="177" t="s">
        <v>535</v>
      </c>
      <c r="N371" s="177" t="s">
        <v>509</v>
      </c>
      <c r="O371" s="177" t="s">
        <v>535</v>
      </c>
      <c r="P371" s="177" t="s">
        <v>1005</v>
      </c>
    </row>
    <row r="372" spans="1:16" s="179" customFormat="1">
      <c r="A372" s="63" t="s">
        <v>4282</v>
      </c>
      <c r="B372" s="14" t="str">
        <f>VLOOKUP(P372,'护理记录单文书字典(数据)'!B$4:C$99,2,0)</f>
        <v>B750B8340CFAB2112E84DCC7EA528475</v>
      </c>
      <c r="C372" s="178" t="s">
        <v>2409</v>
      </c>
      <c r="D372" s="177" t="s">
        <v>4532</v>
      </c>
      <c r="E372" s="178" t="s">
        <v>2104</v>
      </c>
      <c r="F372" s="178">
        <v>1</v>
      </c>
      <c r="G372" s="178">
        <v>1</v>
      </c>
      <c r="H372" s="177"/>
      <c r="I372" s="177"/>
      <c r="J372" s="177">
        <v>1</v>
      </c>
      <c r="K372" s="177" t="s">
        <v>162</v>
      </c>
      <c r="L372" s="177" t="s">
        <v>509</v>
      </c>
      <c r="M372" s="177" t="s">
        <v>535</v>
      </c>
      <c r="N372" s="177" t="s">
        <v>509</v>
      </c>
      <c r="O372" s="177" t="s">
        <v>535</v>
      </c>
      <c r="P372" s="177" t="s">
        <v>1005</v>
      </c>
    </row>
    <row r="373" spans="1:16">
      <c r="A373" s="63" t="s">
        <v>4282</v>
      </c>
      <c r="B373" s="14" t="str">
        <f>VLOOKUP(P373,'护理记录单文书字典(数据)'!B$4:C$99,2,0)</f>
        <v>3547BF340CFAB21102B2C30A1C60773E</v>
      </c>
      <c r="C373" s="87" t="s">
        <v>4540</v>
      </c>
      <c r="D373" s="14" t="s">
        <v>4541</v>
      </c>
      <c r="E373" s="87" t="s">
        <v>2048</v>
      </c>
      <c r="F373" s="87">
        <v>1</v>
      </c>
      <c r="G373" s="87">
        <v>1</v>
      </c>
      <c r="H373" s="14"/>
      <c r="I373" s="75"/>
      <c r="J373" s="75">
        <v>1</v>
      </c>
      <c r="K373" s="75" t="s">
        <v>162</v>
      </c>
      <c r="L373" s="75" t="s">
        <v>509</v>
      </c>
      <c r="M373" s="75" t="s">
        <v>535</v>
      </c>
      <c r="N373" s="75" t="s">
        <v>509</v>
      </c>
      <c r="O373" s="75" t="s">
        <v>535</v>
      </c>
      <c r="P373" s="75" t="s">
        <v>2410</v>
      </c>
    </row>
    <row r="374" spans="1:16">
      <c r="A374" s="63" t="s">
        <v>4282</v>
      </c>
      <c r="B374" s="14" t="str">
        <f>VLOOKUP(P374,'护理记录单文书字典(数据)'!B$4:C$99,2,0)</f>
        <v>3547BF340CFAB21102B2C30A1C60773E</v>
      </c>
      <c r="C374" s="87" t="s">
        <v>4542</v>
      </c>
      <c r="D374" s="14" t="s">
        <v>4543</v>
      </c>
      <c r="E374" s="87" t="s">
        <v>2048</v>
      </c>
      <c r="F374" s="87">
        <v>1</v>
      </c>
      <c r="G374" s="87">
        <v>1</v>
      </c>
      <c r="H374" s="14"/>
      <c r="I374" s="75"/>
      <c r="J374" s="75">
        <v>1</v>
      </c>
      <c r="K374" s="75" t="s">
        <v>162</v>
      </c>
      <c r="L374" s="75" t="s">
        <v>509</v>
      </c>
      <c r="M374" s="75" t="s">
        <v>535</v>
      </c>
      <c r="N374" s="75" t="s">
        <v>509</v>
      </c>
      <c r="O374" s="75" t="s">
        <v>535</v>
      </c>
      <c r="P374" s="75" t="s">
        <v>2410</v>
      </c>
    </row>
    <row r="375" spans="1:16">
      <c r="A375" s="63" t="s">
        <v>4282</v>
      </c>
      <c r="B375" s="14" t="str">
        <f>VLOOKUP(P375,'护理记录单文书字典(数据)'!B$4:C$99,2,0)</f>
        <v>3547BF340CFAB21102B2C30A1C60773E</v>
      </c>
      <c r="C375" s="87" t="s">
        <v>4544</v>
      </c>
      <c r="D375" s="14" t="s">
        <v>4545</v>
      </c>
      <c r="E375" s="87" t="s">
        <v>2048</v>
      </c>
      <c r="F375" s="87">
        <v>1</v>
      </c>
      <c r="G375" s="87">
        <v>1</v>
      </c>
      <c r="H375" s="14"/>
      <c r="I375" s="75"/>
      <c r="J375" s="75">
        <v>1</v>
      </c>
      <c r="K375" s="75" t="s">
        <v>162</v>
      </c>
      <c r="L375" s="75" t="s">
        <v>509</v>
      </c>
      <c r="M375" s="75" t="s">
        <v>535</v>
      </c>
      <c r="N375" s="75" t="s">
        <v>509</v>
      </c>
      <c r="O375" s="75" t="s">
        <v>535</v>
      </c>
      <c r="P375" s="75" t="s">
        <v>2410</v>
      </c>
    </row>
    <row r="376" spans="1:16">
      <c r="A376" s="63" t="s">
        <v>4282</v>
      </c>
      <c r="B376" s="14" t="str">
        <f>VLOOKUP(P376,'护理记录单文书字典(数据)'!B$4:C$99,2,0)</f>
        <v>3547BF340CFAB21102B2C30A1C60773E</v>
      </c>
      <c r="C376" s="87" t="s">
        <v>4546</v>
      </c>
      <c r="D376" s="14" t="s">
        <v>4547</v>
      </c>
      <c r="E376" s="87" t="s">
        <v>2048</v>
      </c>
      <c r="F376" s="87">
        <v>1</v>
      </c>
      <c r="G376" s="87">
        <v>1</v>
      </c>
      <c r="H376" s="14"/>
      <c r="I376" s="75"/>
      <c r="J376" s="75">
        <v>1</v>
      </c>
      <c r="K376" s="75" t="s">
        <v>162</v>
      </c>
      <c r="L376" s="75" t="s">
        <v>509</v>
      </c>
      <c r="M376" s="75" t="s">
        <v>535</v>
      </c>
      <c r="N376" s="75" t="s">
        <v>509</v>
      </c>
      <c r="O376" s="75" t="s">
        <v>535</v>
      </c>
      <c r="P376" s="75" t="s">
        <v>2410</v>
      </c>
    </row>
    <row r="377" spans="1:16">
      <c r="A377" s="63" t="s">
        <v>4282</v>
      </c>
      <c r="B377" s="14" t="str">
        <f>VLOOKUP(P377,'护理记录单文书字典(数据)'!B$4:C$99,2,0)</f>
        <v>3547BF340CFAB21102B2C30A1C60773E</v>
      </c>
      <c r="C377" s="87" t="s">
        <v>4548</v>
      </c>
      <c r="D377" s="14" t="s">
        <v>4549</v>
      </c>
      <c r="E377" s="87" t="s">
        <v>2048</v>
      </c>
      <c r="F377" s="87">
        <v>1</v>
      </c>
      <c r="G377" s="87">
        <v>1</v>
      </c>
      <c r="H377" s="14"/>
      <c r="I377" s="75"/>
      <c r="J377" s="75">
        <v>1</v>
      </c>
      <c r="K377" s="75" t="s">
        <v>162</v>
      </c>
      <c r="L377" s="75" t="s">
        <v>509</v>
      </c>
      <c r="M377" s="75" t="s">
        <v>535</v>
      </c>
      <c r="N377" s="75" t="s">
        <v>509</v>
      </c>
      <c r="O377" s="75" t="s">
        <v>535</v>
      </c>
      <c r="P377" s="75" t="s">
        <v>2410</v>
      </c>
    </row>
    <row r="378" spans="1:16">
      <c r="A378" s="63" t="s">
        <v>4282</v>
      </c>
      <c r="B378" s="14" t="str">
        <f>VLOOKUP(P378,'护理记录单文书字典(数据)'!B$4:C$99,2,0)</f>
        <v>3547BF340CFAB21102B2C30A1C60773E</v>
      </c>
      <c r="C378" s="87" t="s">
        <v>4550</v>
      </c>
      <c r="D378" s="14" t="s">
        <v>4551</v>
      </c>
      <c r="E378" s="87" t="s">
        <v>2048</v>
      </c>
      <c r="F378" s="87">
        <v>1</v>
      </c>
      <c r="G378" s="87">
        <v>1</v>
      </c>
      <c r="H378" s="14"/>
      <c r="I378" s="75"/>
      <c r="J378" s="75">
        <v>1</v>
      </c>
      <c r="K378" s="75" t="s">
        <v>162</v>
      </c>
      <c r="L378" s="75" t="s">
        <v>509</v>
      </c>
      <c r="M378" s="75" t="s">
        <v>535</v>
      </c>
      <c r="N378" s="75" t="s">
        <v>509</v>
      </c>
      <c r="O378" s="75" t="s">
        <v>535</v>
      </c>
      <c r="P378" s="75" t="s">
        <v>2410</v>
      </c>
    </row>
    <row r="379" spans="1:16">
      <c r="A379" s="63" t="s">
        <v>4282</v>
      </c>
      <c r="B379" s="14" t="str">
        <f>VLOOKUP(P379,'护理记录单文书字典(数据)'!B$4:C$99,2,0)</f>
        <v>3547BF340CFAB21102B2C30A1C60773E</v>
      </c>
      <c r="C379" s="87" t="s">
        <v>4552</v>
      </c>
      <c r="D379" s="14" t="s">
        <v>4553</v>
      </c>
      <c r="E379" s="87" t="s">
        <v>2048</v>
      </c>
      <c r="F379" s="87">
        <v>1</v>
      </c>
      <c r="G379" s="87">
        <v>1</v>
      </c>
      <c r="H379" s="14"/>
      <c r="I379" s="75"/>
      <c r="J379" s="75">
        <v>1</v>
      </c>
      <c r="K379" s="75" t="s">
        <v>162</v>
      </c>
      <c r="L379" s="75" t="s">
        <v>509</v>
      </c>
      <c r="M379" s="75" t="s">
        <v>535</v>
      </c>
      <c r="N379" s="75" t="s">
        <v>509</v>
      </c>
      <c r="O379" s="75" t="s">
        <v>535</v>
      </c>
      <c r="P379" s="75" t="s">
        <v>2410</v>
      </c>
    </row>
    <row r="380" spans="1:16">
      <c r="A380" s="63" t="s">
        <v>4282</v>
      </c>
      <c r="B380" s="14" t="str">
        <f>VLOOKUP(P380,'护理记录单文书字典(数据)'!B$4:C$99,2,0)</f>
        <v>3547BF340CFAB21102B2C30A1C60773E</v>
      </c>
      <c r="C380" s="87" t="s">
        <v>4554</v>
      </c>
      <c r="D380" s="14" t="s">
        <v>4555</v>
      </c>
      <c r="E380" s="87" t="s">
        <v>2048</v>
      </c>
      <c r="F380" s="87">
        <v>1</v>
      </c>
      <c r="G380" s="87">
        <v>1</v>
      </c>
      <c r="H380" s="14"/>
      <c r="I380" s="75"/>
      <c r="J380" s="75">
        <v>1</v>
      </c>
      <c r="K380" s="75" t="s">
        <v>162</v>
      </c>
      <c r="L380" s="75" t="s">
        <v>509</v>
      </c>
      <c r="M380" s="75" t="s">
        <v>535</v>
      </c>
      <c r="N380" s="75" t="s">
        <v>509</v>
      </c>
      <c r="O380" s="75" t="s">
        <v>535</v>
      </c>
      <c r="P380" s="75" t="s">
        <v>2410</v>
      </c>
    </row>
    <row r="381" spans="1:16">
      <c r="A381" s="63" t="s">
        <v>4282</v>
      </c>
      <c r="B381" s="14" t="str">
        <f>VLOOKUP(P381,'护理记录单文书字典(数据)'!B$4:C$99,2,0)</f>
        <v>3547BF340CFAB21102B2C30A1C60773E</v>
      </c>
      <c r="C381" s="87" t="s">
        <v>4556</v>
      </c>
      <c r="D381" s="14" t="s">
        <v>4557</v>
      </c>
      <c r="E381" s="87" t="s">
        <v>2048</v>
      </c>
      <c r="F381" s="87">
        <v>1</v>
      </c>
      <c r="G381" s="87">
        <v>1</v>
      </c>
      <c r="H381" s="14"/>
      <c r="I381" s="75"/>
      <c r="J381" s="75">
        <v>1</v>
      </c>
      <c r="K381" s="75" t="s">
        <v>162</v>
      </c>
      <c r="L381" s="75" t="s">
        <v>509</v>
      </c>
      <c r="M381" s="75" t="s">
        <v>535</v>
      </c>
      <c r="N381" s="75" t="s">
        <v>509</v>
      </c>
      <c r="O381" s="75" t="s">
        <v>535</v>
      </c>
      <c r="P381" s="75" t="s">
        <v>2410</v>
      </c>
    </row>
    <row r="382" spans="1:16">
      <c r="A382" s="63" t="s">
        <v>4282</v>
      </c>
      <c r="B382" s="14" t="str">
        <f>VLOOKUP(P382,'护理记录单文书字典(数据)'!B$4:C$99,2,0)</f>
        <v>3547BF340CFAB21102B2C30A1C60773E</v>
      </c>
      <c r="C382" s="87" t="s">
        <v>4558</v>
      </c>
      <c r="D382" s="14" t="s">
        <v>4559</v>
      </c>
      <c r="E382" s="87" t="s">
        <v>2048</v>
      </c>
      <c r="F382" s="87">
        <v>1</v>
      </c>
      <c r="G382" s="87">
        <v>1</v>
      </c>
      <c r="H382" s="14"/>
      <c r="I382" s="75"/>
      <c r="J382" s="75">
        <v>1</v>
      </c>
      <c r="K382" s="75" t="s">
        <v>162</v>
      </c>
      <c r="L382" s="75" t="s">
        <v>509</v>
      </c>
      <c r="M382" s="75" t="s">
        <v>535</v>
      </c>
      <c r="N382" s="75" t="s">
        <v>509</v>
      </c>
      <c r="O382" s="75" t="s">
        <v>535</v>
      </c>
      <c r="P382" s="75" t="s">
        <v>2410</v>
      </c>
    </row>
    <row r="383" spans="1:16">
      <c r="A383" s="63" t="s">
        <v>4282</v>
      </c>
      <c r="B383" s="14" t="str">
        <f>VLOOKUP(P383,'护理记录单文书字典(数据)'!B$4:C$99,2,0)</f>
        <v>3547BF340CFAB21102B2C30A1C60773E</v>
      </c>
      <c r="C383" s="87" t="s">
        <v>4560</v>
      </c>
      <c r="D383" s="14" t="s">
        <v>4561</v>
      </c>
      <c r="E383" s="87" t="s">
        <v>2048</v>
      </c>
      <c r="F383" s="87">
        <v>1</v>
      </c>
      <c r="G383" s="87">
        <v>1</v>
      </c>
      <c r="H383" s="14"/>
      <c r="I383" s="75"/>
      <c r="J383" s="75">
        <v>1</v>
      </c>
      <c r="K383" s="75" t="s">
        <v>162</v>
      </c>
      <c r="L383" s="75" t="s">
        <v>509</v>
      </c>
      <c r="M383" s="75" t="s">
        <v>535</v>
      </c>
      <c r="N383" s="75" t="s">
        <v>509</v>
      </c>
      <c r="O383" s="75" t="s">
        <v>535</v>
      </c>
      <c r="P383" s="75" t="s">
        <v>2410</v>
      </c>
    </row>
    <row r="384" spans="1:16">
      <c r="A384" s="63" t="s">
        <v>4282</v>
      </c>
      <c r="B384" s="14" t="str">
        <f>VLOOKUP(P384,'护理记录单文书字典(数据)'!B$4:C$99,2,0)</f>
        <v>3547BF340CFAB21102B2C30A1C60773E</v>
      </c>
      <c r="C384" s="87" t="s">
        <v>4562</v>
      </c>
      <c r="D384" s="14" t="s">
        <v>4563</v>
      </c>
      <c r="E384" s="87" t="s">
        <v>2048</v>
      </c>
      <c r="F384" s="87">
        <v>1</v>
      </c>
      <c r="G384" s="87">
        <v>1</v>
      </c>
      <c r="H384" s="14"/>
      <c r="I384" s="75"/>
      <c r="J384" s="75">
        <v>1</v>
      </c>
      <c r="K384" s="75" t="s">
        <v>162</v>
      </c>
      <c r="L384" s="75" t="s">
        <v>509</v>
      </c>
      <c r="M384" s="75" t="s">
        <v>535</v>
      </c>
      <c r="N384" s="75" t="s">
        <v>509</v>
      </c>
      <c r="O384" s="75" t="s">
        <v>535</v>
      </c>
      <c r="P384" s="75" t="s">
        <v>2410</v>
      </c>
    </row>
    <row r="385" spans="1:16">
      <c r="A385" s="63" t="s">
        <v>4282</v>
      </c>
      <c r="B385" s="14" t="str">
        <f>VLOOKUP(P385,'护理记录单文书字典(数据)'!B$4:C$99,2,0)</f>
        <v>3547BF340CFAB21102B2C30A1C60773E</v>
      </c>
      <c r="C385" s="87" t="s">
        <v>4564</v>
      </c>
      <c r="D385" s="14" t="s">
        <v>4565</v>
      </c>
      <c r="E385" s="87" t="s">
        <v>2048</v>
      </c>
      <c r="F385" s="87">
        <v>1</v>
      </c>
      <c r="G385" s="87">
        <v>1</v>
      </c>
      <c r="H385" s="14"/>
      <c r="I385" s="75"/>
      <c r="J385" s="75">
        <v>1</v>
      </c>
      <c r="K385" s="75" t="s">
        <v>162</v>
      </c>
      <c r="L385" s="75" t="s">
        <v>509</v>
      </c>
      <c r="M385" s="75" t="s">
        <v>535</v>
      </c>
      <c r="N385" s="75" t="s">
        <v>509</v>
      </c>
      <c r="O385" s="75" t="s">
        <v>535</v>
      </c>
      <c r="P385" s="75" t="s">
        <v>2410</v>
      </c>
    </row>
    <row r="386" spans="1:16">
      <c r="A386" s="63" t="s">
        <v>4282</v>
      </c>
      <c r="B386" s="14" t="str">
        <f>VLOOKUP(P386,'护理记录单文书字典(数据)'!B$4:C$99,2,0)</f>
        <v>3547BF340CFAB21102B2C30A1C60773E</v>
      </c>
      <c r="C386" s="87" t="s">
        <v>4566</v>
      </c>
      <c r="D386" s="14" t="s">
        <v>4567</v>
      </c>
      <c r="E386" s="87" t="s">
        <v>2048</v>
      </c>
      <c r="F386" s="87">
        <v>1</v>
      </c>
      <c r="G386" s="87">
        <v>1</v>
      </c>
      <c r="H386" s="14"/>
      <c r="I386" s="75"/>
      <c r="J386" s="75">
        <v>1</v>
      </c>
      <c r="K386" s="75" t="s">
        <v>162</v>
      </c>
      <c r="L386" s="75" t="s">
        <v>509</v>
      </c>
      <c r="M386" s="75" t="s">
        <v>535</v>
      </c>
      <c r="N386" s="75" t="s">
        <v>509</v>
      </c>
      <c r="O386" s="75" t="s">
        <v>535</v>
      </c>
      <c r="P386" s="75" t="s">
        <v>2410</v>
      </c>
    </row>
    <row r="387" spans="1:16">
      <c r="A387" s="63" t="s">
        <v>4282</v>
      </c>
      <c r="B387" s="14" t="str">
        <f>VLOOKUP(P387,'护理记录单文书字典(数据)'!B$4:C$99,2,0)</f>
        <v>3547BF340CFAB21102B2C30A1C60773E</v>
      </c>
      <c r="C387" s="87" t="s">
        <v>4568</v>
      </c>
      <c r="D387" s="14" t="s">
        <v>4569</v>
      </c>
      <c r="E387" s="87" t="s">
        <v>2048</v>
      </c>
      <c r="F387" s="87">
        <v>1</v>
      </c>
      <c r="G387" s="87">
        <v>1</v>
      </c>
      <c r="H387" s="14"/>
      <c r="I387" s="75"/>
      <c r="J387" s="75">
        <v>1</v>
      </c>
      <c r="K387" s="75" t="s">
        <v>162</v>
      </c>
      <c r="L387" s="75" t="s">
        <v>509</v>
      </c>
      <c r="M387" s="75" t="s">
        <v>535</v>
      </c>
      <c r="N387" s="75" t="s">
        <v>509</v>
      </c>
      <c r="O387" s="75" t="s">
        <v>535</v>
      </c>
      <c r="P387" s="75" t="s">
        <v>2410</v>
      </c>
    </row>
    <row r="388" spans="1:16">
      <c r="A388" s="63" t="s">
        <v>4282</v>
      </c>
      <c r="B388" s="14" t="str">
        <f>VLOOKUP(P388,'护理记录单文书字典(数据)'!B$4:C$99,2,0)</f>
        <v>3547BF340CFAB21102B2C30A1C60773E</v>
      </c>
      <c r="C388" s="87" t="s">
        <v>4570</v>
      </c>
      <c r="D388" s="14" t="s">
        <v>4571</v>
      </c>
      <c r="E388" s="87" t="s">
        <v>2048</v>
      </c>
      <c r="F388" s="87">
        <v>1</v>
      </c>
      <c r="G388" s="87">
        <v>1</v>
      </c>
      <c r="H388" s="14"/>
      <c r="I388" s="75"/>
      <c r="J388" s="75">
        <v>1</v>
      </c>
      <c r="K388" s="75" t="s">
        <v>162</v>
      </c>
      <c r="L388" s="75" t="s">
        <v>509</v>
      </c>
      <c r="M388" s="75" t="s">
        <v>535</v>
      </c>
      <c r="N388" s="75" t="s">
        <v>509</v>
      </c>
      <c r="O388" s="75" t="s">
        <v>535</v>
      </c>
      <c r="P388" s="75" t="s">
        <v>2410</v>
      </c>
    </row>
    <row r="389" spans="1:16">
      <c r="A389" s="63" t="s">
        <v>4282</v>
      </c>
      <c r="B389" s="14" t="str">
        <f>VLOOKUP(P389,'护理记录单文书字典(数据)'!B$4:C$99,2,0)</f>
        <v>3547BF340CFAB21102B2C30A1C60773E</v>
      </c>
      <c r="C389" s="87" t="s">
        <v>4572</v>
      </c>
      <c r="D389" s="14" t="s">
        <v>4573</v>
      </c>
      <c r="E389" s="87" t="s">
        <v>2048</v>
      </c>
      <c r="F389" s="87">
        <v>1</v>
      </c>
      <c r="G389" s="87">
        <v>1</v>
      </c>
      <c r="H389" s="14"/>
      <c r="I389" s="75"/>
      <c r="J389" s="75">
        <v>1</v>
      </c>
      <c r="K389" s="75" t="s">
        <v>162</v>
      </c>
      <c r="L389" s="75" t="s">
        <v>509</v>
      </c>
      <c r="M389" s="75" t="s">
        <v>535</v>
      </c>
      <c r="N389" s="75" t="s">
        <v>509</v>
      </c>
      <c r="O389" s="75" t="s">
        <v>535</v>
      </c>
      <c r="P389" s="75" t="s">
        <v>2410</v>
      </c>
    </row>
    <row r="390" spans="1:16">
      <c r="A390" s="63" t="s">
        <v>4282</v>
      </c>
      <c r="B390" s="14" t="str">
        <f>VLOOKUP(P390,'护理记录单文书字典(数据)'!B$4:C$99,2,0)</f>
        <v>3547BF340CFAB21102B2C30A1C60773E</v>
      </c>
      <c r="C390" s="87" t="s">
        <v>4574</v>
      </c>
      <c r="D390" s="14" t="s">
        <v>4575</v>
      </c>
      <c r="E390" s="87" t="s">
        <v>2048</v>
      </c>
      <c r="F390" s="87">
        <v>1</v>
      </c>
      <c r="G390" s="87">
        <v>1</v>
      </c>
      <c r="H390" s="14"/>
      <c r="I390" s="75"/>
      <c r="J390" s="75">
        <v>1</v>
      </c>
      <c r="K390" s="75" t="s">
        <v>162</v>
      </c>
      <c r="L390" s="75" t="s">
        <v>509</v>
      </c>
      <c r="M390" s="75" t="s">
        <v>535</v>
      </c>
      <c r="N390" s="75" t="s">
        <v>509</v>
      </c>
      <c r="O390" s="75" t="s">
        <v>535</v>
      </c>
      <c r="P390" s="75" t="s">
        <v>2410</v>
      </c>
    </row>
    <row r="391" spans="1:16">
      <c r="A391" s="63" t="s">
        <v>4282</v>
      </c>
      <c r="B391" s="14" t="str">
        <f>VLOOKUP(P391,'护理记录单文书字典(数据)'!B$4:C$99,2,0)</f>
        <v>3547BF340CFAB21102B2C30A1C60773E</v>
      </c>
      <c r="C391" s="87" t="s">
        <v>4576</v>
      </c>
      <c r="D391" s="14" t="s">
        <v>4577</v>
      </c>
      <c r="E391" s="87" t="s">
        <v>2048</v>
      </c>
      <c r="F391" s="87">
        <v>1</v>
      </c>
      <c r="G391" s="87">
        <v>1</v>
      </c>
      <c r="H391" s="14"/>
      <c r="I391" s="75"/>
      <c r="J391" s="75">
        <v>1</v>
      </c>
      <c r="K391" s="75" t="s">
        <v>162</v>
      </c>
      <c r="L391" s="75" t="s">
        <v>509</v>
      </c>
      <c r="M391" s="75" t="s">
        <v>535</v>
      </c>
      <c r="N391" s="75" t="s">
        <v>509</v>
      </c>
      <c r="O391" s="75" t="s">
        <v>535</v>
      </c>
      <c r="P391" s="75" t="s">
        <v>2410</v>
      </c>
    </row>
    <row r="392" spans="1:16">
      <c r="A392" s="63" t="s">
        <v>4282</v>
      </c>
      <c r="B392" s="14" t="str">
        <f>VLOOKUP(P392,'护理记录单文书字典(数据)'!B$4:C$99,2,0)</f>
        <v>3547BF340CFAB21102B2C30A1C60773E</v>
      </c>
      <c r="C392" s="87" t="s">
        <v>4578</v>
      </c>
      <c r="D392" s="14" t="s">
        <v>4579</v>
      </c>
      <c r="E392" s="87" t="s">
        <v>2048</v>
      </c>
      <c r="F392" s="87">
        <v>1</v>
      </c>
      <c r="G392" s="87">
        <v>1</v>
      </c>
      <c r="H392" s="14"/>
      <c r="I392" s="75"/>
      <c r="J392" s="75">
        <v>1</v>
      </c>
      <c r="K392" s="75" t="s">
        <v>162</v>
      </c>
      <c r="L392" s="75" t="s">
        <v>509</v>
      </c>
      <c r="M392" s="75" t="s">
        <v>535</v>
      </c>
      <c r="N392" s="75" t="s">
        <v>509</v>
      </c>
      <c r="O392" s="75" t="s">
        <v>535</v>
      </c>
      <c r="P392" s="75" t="s">
        <v>2410</v>
      </c>
    </row>
    <row r="393" spans="1:16">
      <c r="A393" s="63" t="s">
        <v>4282</v>
      </c>
      <c r="B393" s="14" t="str">
        <f>VLOOKUP(P393,'护理记录单文书字典(数据)'!B$4:C$99,2,0)</f>
        <v>3547BF340CFAB21102B2C30A1C60773E</v>
      </c>
      <c r="C393" s="87" t="s">
        <v>4580</v>
      </c>
      <c r="D393" s="14" t="s">
        <v>4581</v>
      </c>
      <c r="E393" s="87" t="s">
        <v>2048</v>
      </c>
      <c r="F393" s="87">
        <v>1</v>
      </c>
      <c r="G393" s="87">
        <v>1</v>
      </c>
      <c r="H393" s="14"/>
      <c r="I393" s="75"/>
      <c r="J393" s="75">
        <v>1</v>
      </c>
      <c r="K393" s="75" t="s">
        <v>162</v>
      </c>
      <c r="L393" s="75" t="s">
        <v>509</v>
      </c>
      <c r="M393" s="75" t="s">
        <v>535</v>
      </c>
      <c r="N393" s="75" t="s">
        <v>509</v>
      </c>
      <c r="O393" s="75" t="s">
        <v>535</v>
      </c>
      <c r="P393" s="75" t="s">
        <v>2410</v>
      </c>
    </row>
    <row r="394" spans="1:16">
      <c r="A394" s="63" t="s">
        <v>4282</v>
      </c>
      <c r="B394" s="14" t="str">
        <f>VLOOKUP(P394,'护理记录单文书字典(数据)'!B$4:C$99,2,0)</f>
        <v>3547BF340CFAB21102B2C30A1C60773E</v>
      </c>
      <c r="C394" s="87" t="s">
        <v>4582</v>
      </c>
      <c r="D394" s="14" t="s">
        <v>4583</v>
      </c>
      <c r="E394" s="87" t="s">
        <v>2104</v>
      </c>
      <c r="F394" s="87">
        <v>1</v>
      </c>
      <c r="G394" s="87">
        <v>1</v>
      </c>
      <c r="H394" s="14"/>
      <c r="I394" s="75"/>
      <c r="J394" s="75">
        <v>1</v>
      </c>
      <c r="K394" s="75" t="s">
        <v>162</v>
      </c>
      <c r="L394" s="75" t="s">
        <v>509</v>
      </c>
      <c r="M394" s="75" t="s">
        <v>535</v>
      </c>
      <c r="N394" s="75" t="s">
        <v>509</v>
      </c>
      <c r="O394" s="75" t="s">
        <v>535</v>
      </c>
      <c r="P394" s="75" t="s">
        <v>2410</v>
      </c>
    </row>
    <row r="395" spans="1:16">
      <c r="A395" s="63" t="s">
        <v>4282</v>
      </c>
      <c r="B395" s="14" t="str">
        <f>VLOOKUP(P395,'护理记录单文书字典(数据)'!B$4:C$99,2,0)</f>
        <v>3547BF340CFAB21102B2C30A1C60773E</v>
      </c>
      <c r="C395" s="87" t="s">
        <v>4526</v>
      </c>
      <c r="D395" s="14" t="s">
        <v>2408</v>
      </c>
      <c r="E395" s="87" t="s">
        <v>2104</v>
      </c>
      <c r="F395" s="87">
        <v>1</v>
      </c>
      <c r="G395" s="87">
        <v>1</v>
      </c>
      <c r="H395" s="14"/>
      <c r="I395" s="75"/>
      <c r="J395" s="75">
        <v>1</v>
      </c>
      <c r="K395" s="75" t="s">
        <v>162</v>
      </c>
      <c r="L395" s="75" t="s">
        <v>509</v>
      </c>
      <c r="M395" s="75" t="s">
        <v>535</v>
      </c>
      <c r="N395" s="75" t="s">
        <v>509</v>
      </c>
      <c r="O395" s="75" t="s">
        <v>535</v>
      </c>
      <c r="P395" s="75" t="s">
        <v>2410</v>
      </c>
    </row>
    <row r="396" spans="1:16">
      <c r="A396" s="63" t="s">
        <v>4282</v>
      </c>
      <c r="B396" s="14" t="str">
        <f>VLOOKUP(P396,'护理记录单文书字典(数据)'!B$4:C$99,2,0)</f>
        <v>3547BF340CFAB21102B2C30A1C60773E</v>
      </c>
      <c r="C396" s="87" t="s">
        <v>2412</v>
      </c>
      <c r="D396" s="14" t="s">
        <v>2413</v>
      </c>
      <c r="E396" s="87" t="s">
        <v>2048</v>
      </c>
      <c r="F396" s="87">
        <v>1</v>
      </c>
      <c r="G396" s="87">
        <v>1</v>
      </c>
      <c r="H396" s="14"/>
      <c r="I396" s="75"/>
      <c r="J396" s="75">
        <v>1</v>
      </c>
      <c r="K396" s="75" t="s">
        <v>162</v>
      </c>
      <c r="L396" s="75" t="s">
        <v>509</v>
      </c>
      <c r="M396" s="75" t="s">
        <v>535</v>
      </c>
      <c r="N396" s="75" t="s">
        <v>509</v>
      </c>
      <c r="O396" s="75" t="s">
        <v>535</v>
      </c>
      <c r="P396" s="75" t="s">
        <v>2410</v>
      </c>
    </row>
    <row r="397" spans="1:16">
      <c r="A397" s="63" t="s">
        <v>4282</v>
      </c>
      <c r="B397" s="14" t="str">
        <f>VLOOKUP(P397,'护理记录单文书字典(数据)'!B$4:C$99,2,0)</f>
        <v>3547BF340CFAB21102B2C30A1C60773E</v>
      </c>
      <c r="C397" s="87" t="s">
        <v>2414</v>
      </c>
      <c r="D397" s="14" t="s">
        <v>2415</v>
      </c>
      <c r="E397" s="87" t="s">
        <v>2048</v>
      </c>
      <c r="F397" s="87">
        <v>1</v>
      </c>
      <c r="G397" s="87">
        <v>1</v>
      </c>
      <c r="H397" s="14"/>
      <c r="I397" s="75"/>
      <c r="J397" s="75">
        <v>1</v>
      </c>
      <c r="K397" s="75" t="s">
        <v>162</v>
      </c>
      <c r="L397" s="75" t="s">
        <v>509</v>
      </c>
      <c r="M397" s="75" t="s">
        <v>535</v>
      </c>
      <c r="N397" s="75" t="s">
        <v>509</v>
      </c>
      <c r="O397" s="75" t="s">
        <v>535</v>
      </c>
      <c r="P397" s="75" t="s">
        <v>2410</v>
      </c>
    </row>
    <row r="398" spans="1:16">
      <c r="A398" s="63" t="s">
        <v>4282</v>
      </c>
      <c r="B398" s="14" t="str">
        <f>VLOOKUP(P398,'护理记录单文书字典(数据)'!B$4:C$99,2,0)</f>
        <v>3547BF340CFAB21102B2C30A1C60773E</v>
      </c>
      <c r="C398" s="87" t="s">
        <v>2416</v>
      </c>
      <c r="D398" s="14" t="s">
        <v>2417</v>
      </c>
      <c r="E398" s="87" t="s">
        <v>2048</v>
      </c>
      <c r="F398" s="87">
        <v>1</v>
      </c>
      <c r="G398" s="87">
        <v>1</v>
      </c>
      <c r="H398" s="14"/>
      <c r="I398" s="75"/>
      <c r="J398" s="75">
        <v>1</v>
      </c>
      <c r="K398" s="75" t="s">
        <v>162</v>
      </c>
      <c r="L398" s="75" t="s">
        <v>509</v>
      </c>
      <c r="M398" s="75" t="s">
        <v>535</v>
      </c>
      <c r="N398" s="75" t="s">
        <v>509</v>
      </c>
      <c r="O398" s="75" t="s">
        <v>535</v>
      </c>
      <c r="P398" s="75" t="s">
        <v>2410</v>
      </c>
    </row>
    <row r="399" spans="1:16">
      <c r="A399" s="63" t="s">
        <v>4282</v>
      </c>
      <c r="B399" s="14" t="str">
        <f>VLOOKUP(P399,'护理记录单文书字典(数据)'!B$4:C$99,2,0)</f>
        <v>3547BF340CFAB21102B2C30A1C60773E</v>
      </c>
      <c r="C399" s="87" t="s">
        <v>2418</v>
      </c>
      <c r="D399" s="14" t="s">
        <v>2419</v>
      </c>
      <c r="E399" s="87" t="s">
        <v>2048</v>
      </c>
      <c r="F399" s="87">
        <v>1</v>
      </c>
      <c r="G399" s="87">
        <v>1</v>
      </c>
      <c r="H399" s="14"/>
      <c r="I399" s="75"/>
      <c r="J399" s="75">
        <v>1</v>
      </c>
      <c r="K399" s="75" t="s">
        <v>162</v>
      </c>
      <c r="L399" s="75" t="s">
        <v>509</v>
      </c>
      <c r="M399" s="75" t="s">
        <v>535</v>
      </c>
      <c r="N399" s="75" t="s">
        <v>509</v>
      </c>
      <c r="O399" s="75" t="s">
        <v>535</v>
      </c>
      <c r="P399" s="75" t="s">
        <v>2410</v>
      </c>
    </row>
    <row r="400" spans="1:16">
      <c r="A400" s="63" t="s">
        <v>4282</v>
      </c>
      <c r="B400" s="14" t="str">
        <f>VLOOKUP(P400,'护理记录单文书字典(数据)'!B$4:C$99,2,0)</f>
        <v>3547BF340CFAB21102B2C30A1C60773E</v>
      </c>
      <c r="C400" s="87" t="s">
        <v>2420</v>
      </c>
      <c r="D400" s="14" t="s">
        <v>2421</v>
      </c>
      <c r="E400" s="87" t="s">
        <v>2048</v>
      </c>
      <c r="F400" s="87">
        <v>1</v>
      </c>
      <c r="G400" s="87">
        <v>1</v>
      </c>
      <c r="H400" s="14"/>
      <c r="I400" s="75"/>
      <c r="J400" s="75">
        <v>1</v>
      </c>
      <c r="K400" s="75" t="s">
        <v>162</v>
      </c>
      <c r="L400" s="75" t="s">
        <v>509</v>
      </c>
      <c r="M400" s="75" t="s">
        <v>535</v>
      </c>
      <c r="N400" s="75" t="s">
        <v>509</v>
      </c>
      <c r="O400" s="75" t="s">
        <v>535</v>
      </c>
      <c r="P400" s="75" t="s">
        <v>2410</v>
      </c>
    </row>
    <row r="401" spans="1:16">
      <c r="A401" s="63" t="s">
        <v>4282</v>
      </c>
      <c r="B401" s="14" t="str">
        <f>VLOOKUP(P401,'护理记录单文书字典(数据)'!B$4:C$99,2,0)</f>
        <v>3547BF340CFAB21102B2C30A1C60773E</v>
      </c>
      <c r="C401" s="87" t="s">
        <v>2422</v>
      </c>
      <c r="D401" s="14" t="s">
        <v>2423</v>
      </c>
      <c r="E401" s="87" t="s">
        <v>2048</v>
      </c>
      <c r="F401" s="87">
        <v>1</v>
      </c>
      <c r="G401" s="87">
        <v>1</v>
      </c>
      <c r="H401" s="14"/>
      <c r="I401" s="75"/>
      <c r="J401" s="75">
        <v>1</v>
      </c>
      <c r="K401" s="75" t="s">
        <v>162</v>
      </c>
      <c r="L401" s="75" t="s">
        <v>509</v>
      </c>
      <c r="M401" s="75" t="s">
        <v>535</v>
      </c>
      <c r="N401" s="75" t="s">
        <v>509</v>
      </c>
      <c r="O401" s="75" t="s">
        <v>535</v>
      </c>
      <c r="P401" s="75" t="s">
        <v>2410</v>
      </c>
    </row>
    <row r="402" spans="1:16">
      <c r="A402" s="63" t="s">
        <v>4282</v>
      </c>
      <c r="B402" s="14" t="str">
        <f>VLOOKUP(P402,'护理记录单文书字典(数据)'!B$4:C$99,2,0)</f>
        <v>3547BF340CFAB21102B2C30A1C60773E</v>
      </c>
      <c r="C402" s="87" t="s">
        <v>2424</v>
      </c>
      <c r="D402" s="14" t="s">
        <v>2425</v>
      </c>
      <c r="E402" s="87" t="s">
        <v>2048</v>
      </c>
      <c r="F402" s="87">
        <v>1</v>
      </c>
      <c r="G402" s="87">
        <v>1</v>
      </c>
      <c r="H402" s="14"/>
      <c r="I402" s="75"/>
      <c r="J402" s="75">
        <v>1</v>
      </c>
      <c r="K402" s="75" t="s">
        <v>162</v>
      </c>
      <c r="L402" s="75" t="s">
        <v>509</v>
      </c>
      <c r="M402" s="75" t="s">
        <v>535</v>
      </c>
      <c r="N402" s="75" t="s">
        <v>509</v>
      </c>
      <c r="O402" s="75" t="s">
        <v>535</v>
      </c>
      <c r="P402" s="75" t="s">
        <v>2410</v>
      </c>
    </row>
    <row r="403" spans="1:16">
      <c r="A403" s="63" t="s">
        <v>4282</v>
      </c>
      <c r="B403" s="14" t="str">
        <f>VLOOKUP(P403,'护理记录单文书字典(数据)'!B$4:C$99,2,0)</f>
        <v>3547BF340CFAB21102B2C30A1C60773E</v>
      </c>
      <c r="C403" s="87" t="s">
        <v>2426</v>
      </c>
      <c r="D403" s="14" t="s">
        <v>2427</v>
      </c>
      <c r="E403" s="87" t="s">
        <v>2048</v>
      </c>
      <c r="F403" s="87">
        <v>1</v>
      </c>
      <c r="G403" s="87">
        <v>1</v>
      </c>
      <c r="H403" s="14"/>
      <c r="I403" s="75"/>
      <c r="J403" s="75">
        <v>1</v>
      </c>
      <c r="K403" s="75" t="s">
        <v>162</v>
      </c>
      <c r="L403" s="75" t="s">
        <v>509</v>
      </c>
      <c r="M403" s="75" t="s">
        <v>535</v>
      </c>
      <c r="N403" s="75" t="s">
        <v>509</v>
      </c>
      <c r="O403" s="75" t="s">
        <v>535</v>
      </c>
      <c r="P403" s="75" t="s">
        <v>2410</v>
      </c>
    </row>
    <row r="404" spans="1:16">
      <c r="A404" s="63" t="s">
        <v>4282</v>
      </c>
      <c r="B404" s="14" t="str">
        <f>VLOOKUP(P404,'护理记录单文书字典(数据)'!B$4:C$99,2,0)</f>
        <v>3547BF340CFAB21102B2C30A1C60773E</v>
      </c>
      <c r="C404" s="87" t="s">
        <v>2428</v>
      </c>
      <c r="D404" s="14" t="s">
        <v>2429</v>
      </c>
      <c r="E404" s="87" t="s">
        <v>2048</v>
      </c>
      <c r="F404" s="87">
        <v>1</v>
      </c>
      <c r="G404" s="87">
        <v>1</v>
      </c>
      <c r="H404" s="14"/>
      <c r="I404" s="75"/>
      <c r="J404" s="75">
        <v>1</v>
      </c>
      <c r="K404" s="75" t="s">
        <v>162</v>
      </c>
      <c r="L404" s="75" t="s">
        <v>509</v>
      </c>
      <c r="M404" s="75" t="s">
        <v>535</v>
      </c>
      <c r="N404" s="75" t="s">
        <v>509</v>
      </c>
      <c r="O404" s="75" t="s">
        <v>535</v>
      </c>
      <c r="P404" s="75" t="s">
        <v>2410</v>
      </c>
    </row>
    <row r="405" spans="1:16">
      <c r="A405" s="63" t="s">
        <v>4282</v>
      </c>
      <c r="B405" s="14" t="str">
        <f>VLOOKUP(P405,'护理记录单文书字典(数据)'!B$4:C$99,2,0)</f>
        <v>3547BF340CFAB21102B2C30A1C60773E</v>
      </c>
      <c r="C405" s="87" t="s">
        <v>2430</v>
      </c>
      <c r="D405" s="14" t="s">
        <v>2431</v>
      </c>
      <c r="E405" s="87" t="s">
        <v>2048</v>
      </c>
      <c r="F405" s="87">
        <v>1</v>
      </c>
      <c r="G405" s="87">
        <v>1</v>
      </c>
      <c r="H405" s="14"/>
      <c r="I405" s="75"/>
      <c r="J405" s="75">
        <v>1</v>
      </c>
      <c r="K405" s="75" t="s">
        <v>162</v>
      </c>
      <c r="L405" s="75" t="s">
        <v>509</v>
      </c>
      <c r="M405" s="75" t="s">
        <v>535</v>
      </c>
      <c r="N405" s="75" t="s">
        <v>509</v>
      </c>
      <c r="O405" s="75" t="s">
        <v>535</v>
      </c>
      <c r="P405" s="75" t="s">
        <v>2410</v>
      </c>
    </row>
    <row r="406" spans="1:16">
      <c r="A406" s="63" t="s">
        <v>4282</v>
      </c>
      <c r="B406" s="14" t="str">
        <f>VLOOKUP(P406,'护理记录单文书字典(数据)'!B$4:C$99,2,0)</f>
        <v>3547BF340CFAB21102B2C30A1C60773E</v>
      </c>
      <c r="C406" s="87" t="s">
        <v>2432</v>
      </c>
      <c r="D406" s="14" t="s">
        <v>2433</v>
      </c>
      <c r="E406" s="87" t="s">
        <v>2048</v>
      </c>
      <c r="F406" s="87">
        <v>1</v>
      </c>
      <c r="G406" s="87">
        <v>1</v>
      </c>
      <c r="H406" s="14"/>
      <c r="I406" s="75"/>
      <c r="J406" s="75">
        <v>1</v>
      </c>
      <c r="K406" s="75" t="s">
        <v>162</v>
      </c>
      <c r="L406" s="75" t="s">
        <v>509</v>
      </c>
      <c r="M406" s="75" t="s">
        <v>535</v>
      </c>
      <c r="N406" s="75" t="s">
        <v>509</v>
      </c>
      <c r="O406" s="75" t="s">
        <v>535</v>
      </c>
      <c r="P406" s="75" t="s">
        <v>2410</v>
      </c>
    </row>
    <row r="407" spans="1:16">
      <c r="A407" s="63" t="s">
        <v>4282</v>
      </c>
      <c r="B407" s="14" t="str">
        <f>VLOOKUP(P407,'护理记录单文书字典(数据)'!B$4:C$99,2,0)</f>
        <v>3547BF340CFAB21102B2C30A1C60773E</v>
      </c>
      <c r="C407" s="87" t="s">
        <v>2434</v>
      </c>
      <c r="D407" s="14" t="s">
        <v>2435</v>
      </c>
      <c r="E407" s="87" t="s">
        <v>2048</v>
      </c>
      <c r="F407" s="87">
        <v>1</v>
      </c>
      <c r="G407" s="87">
        <v>1</v>
      </c>
      <c r="H407" s="14"/>
      <c r="I407" s="75"/>
      <c r="J407" s="75">
        <v>1</v>
      </c>
      <c r="K407" s="75" t="s">
        <v>162</v>
      </c>
      <c r="L407" s="75" t="s">
        <v>509</v>
      </c>
      <c r="M407" s="75" t="s">
        <v>535</v>
      </c>
      <c r="N407" s="75" t="s">
        <v>509</v>
      </c>
      <c r="O407" s="75" t="s">
        <v>535</v>
      </c>
      <c r="P407" s="75" t="s">
        <v>2410</v>
      </c>
    </row>
    <row r="408" spans="1:16">
      <c r="A408" s="63" t="s">
        <v>4282</v>
      </c>
      <c r="B408" s="14" t="str">
        <f>VLOOKUP(P408,'护理记录单文书字典(数据)'!B$4:C$99,2,0)</f>
        <v>3547BF340CFAB21102B2C30A1C60773E</v>
      </c>
      <c r="C408" s="87" t="s">
        <v>2436</v>
      </c>
      <c r="D408" s="14" t="s">
        <v>2437</v>
      </c>
      <c r="E408" s="87" t="s">
        <v>2048</v>
      </c>
      <c r="F408" s="87">
        <v>1</v>
      </c>
      <c r="G408" s="87">
        <v>1</v>
      </c>
      <c r="H408" s="14"/>
      <c r="I408" s="75"/>
      <c r="J408" s="75">
        <v>1</v>
      </c>
      <c r="K408" s="75" t="s">
        <v>162</v>
      </c>
      <c r="L408" s="75" t="s">
        <v>509</v>
      </c>
      <c r="M408" s="75" t="s">
        <v>535</v>
      </c>
      <c r="N408" s="75" t="s">
        <v>509</v>
      </c>
      <c r="O408" s="75" t="s">
        <v>535</v>
      </c>
      <c r="P408" s="75" t="s">
        <v>2410</v>
      </c>
    </row>
    <row r="409" spans="1:16">
      <c r="A409" s="63" t="s">
        <v>4282</v>
      </c>
      <c r="B409" s="14" t="str">
        <f>VLOOKUP(P409,'护理记录单文书字典(数据)'!B$4:C$99,2,0)</f>
        <v>3547BF340CFAB21102B2C30A1C60773E</v>
      </c>
      <c r="C409" s="87" t="s">
        <v>2438</v>
      </c>
      <c r="D409" s="14" t="s">
        <v>2439</v>
      </c>
      <c r="E409" s="87" t="s">
        <v>2048</v>
      </c>
      <c r="F409" s="87">
        <v>1</v>
      </c>
      <c r="G409" s="87">
        <v>1</v>
      </c>
      <c r="H409" s="14"/>
      <c r="I409" s="75"/>
      <c r="J409" s="75">
        <v>1</v>
      </c>
      <c r="K409" s="75" t="s">
        <v>162</v>
      </c>
      <c r="L409" s="75" t="s">
        <v>509</v>
      </c>
      <c r="M409" s="75" t="s">
        <v>535</v>
      </c>
      <c r="N409" s="75" t="s">
        <v>509</v>
      </c>
      <c r="O409" s="75" t="s">
        <v>535</v>
      </c>
      <c r="P409" s="75" t="s">
        <v>2410</v>
      </c>
    </row>
    <row r="410" spans="1:16">
      <c r="A410" s="63" t="s">
        <v>4282</v>
      </c>
      <c r="B410" s="14" t="str">
        <f>VLOOKUP(P410,'护理记录单文书字典(数据)'!B$4:C$99,2,0)</f>
        <v>3547BF340CFAB21102B2C30A1C60773E</v>
      </c>
      <c r="C410" s="87" t="s">
        <v>2440</v>
      </c>
      <c r="D410" s="14" t="s">
        <v>2441</v>
      </c>
      <c r="E410" s="87" t="s">
        <v>2048</v>
      </c>
      <c r="F410" s="87">
        <v>1</v>
      </c>
      <c r="G410" s="87">
        <v>1</v>
      </c>
      <c r="H410" s="14"/>
      <c r="I410" s="75"/>
      <c r="J410" s="75">
        <v>1</v>
      </c>
      <c r="K410" s="75" t="s">
        <v>162</v>
      </c>
      <c r="L410" s="75" t="s">
        <v>509</v>
      </c>
      <c r="M410" s="75" t="s">
        <v>535</v>
      </c>
      <c r="N410" s="75" t="s">
        <v>509</v>
      </c>
      <c r="O410" s="75" t="s">
        <v>535</v>
      </c>
      <c r="P410" s="75" t="s">
        <v>2410</v>
      </c>
    </row>
    <row r="411" spans="1:16">
      <c r="A411" s="63" t="s">
        <v>4282</v>
      </c>
      <c r="B411" s="14" t="str">
        <f>VLOOKUP(P411,'护理记录单文书字典(数据)'!B$4:C$99,2,0)</f>
        <v>3547BF340CFAB21102B2C30A1C60773E</v>
      </c>
      <c r="C411" s="87" t="s">
        <v>2442</v>
      </c>
      <c r="D411" s="14" t="s">
        <v>2443</v>
      </c>
      <c r="E411" s="87" t="s">
        <v>2048</v>
      </c>
      <c r="F411" s="87">
        <v>1</v>
      </c>
      <c r="G411" s="87">
        <v>1</v>
      </c>
      <c r="H411" s="14"/>
      <c r="I411" s="75"/>
      <c r="J411" s="75">
        <v>1</v>
      </c>
      <c r="K411" s="75" t="s">
        <v>162</v>
      </c>
      <c r="L411" s="75" t="s">
        <v>509</v>
      </c>
      <c r="M411" s="75" t="s">
        <v>535</v>
      </c>
      <c r="N411" s="75" t="s">
        <v>509</v>
      </c>
      <c r="O411" s="75" t="s">
        <v>535</v>
      </c>
      <c r="P411" s="75" t="s">
        <v>2410</v>
      </c>
    </row>
    <row r="412" spans="1:16">
      <c r="A412" s="63" t="s">
        <v>4282</v>
      </c>
      <c r="B412" s="14" t="str">
        <f>VLOOKUP(P412,'护理记录单文书字典(数据)'!B$4:C$99,2,0)</f>
        <v>3547BF340CFAB21102B2C30A1C60773E</v>
      </c>
      <c r="C412" s="87" t="s">
        <v>2444</v>
      </c>
      <c r="D412" s="14" t="s">
        <v>2445</v>
      </c>
      <c r="E412" s="87" t="s">
        <v>2048</v>
      </c>
      <c r="F412" s="87">
        <v>1</v>
      </c>
      <c r="G412" s="87">
        <v>1</v>
      </c>
      <c r="H412" s="14"/>
      <c r="I412" s="75"/>
      <c r="J412" s="75">
        <v>1</v>
      </c>
      <c r="K412" s="75" t="s">
        <v>162</v>
      </c>
      <c r="L412" s="75" t="s">
        <v>509</v>
      </c>
      <c r="M412" s="75" t="s">
        <v>535</v>
      </c>
      <c r="N412" s="75" t="s">
        <v>509</v>
      </c>
      <c r="O412" s="75" t="s">
        <v>535</v>
      </c>
      <c r="P412" s="75" t="s">
        <v>2410</v>
      </c>
    </row>
    <row r="413" spans="1:16">
      <c r="A413" s="63" t="s">
        <v>4282</v>
      </c>
      <c r="B413" s="14" t="str">
        <f>VLOOKUP(P413,'护理记录单文书字典(数据)'!B$4:C$99,2,0)</f>
        <v>3547BF340CFAB21102B2C30A1C60773E</v>
      </c>
      <c r="C413" s="87" t="s">
        <v>2446</v>
      </c>
      <c r="D413" s="14" t="s">
        <v>2447</v>
      </c>
      <c r="E413" s="87" t="s">
        <v>2048</v>
      </c>
      <c r="F413" s="87">
        <v>1</v>
      </c>
      <c r="G413" s="87">
        <v>1</v>
      </c>
      <c r="H413" s="14"/>
      <c r="I413" s="75"/>
      <c r="J413" s="75">
        <v>1</v>
      </c>
      <c r="K413" s="75" t="s">
        <v>162</v>
      </c>
      <c r="L413" s="75" t="s">
        <v>509</v>
      </c>
      <c r="M413" s="75" t="s">
        <v>535</v>
      </c>
      <c r="N413" s="75" t="s">
        <v>509</v>
      </c>
      <c r="O413" s="75" t="s">
        <v>535</v>
      </c>
      <c r="P413" s="75" t="s">
        <v>2410</v>
      </c>
    </row>
    <row r="414" spans="1:16">
      <c r="A414" s="63" t="s">
        <v>4282</v>
      </c>
      <c r="B414" s="14" t="str">
        <f>VLOOKUP(P414,'护理记录单文书字典(数据)'!B$4:C$99,2,0)</f>
        <v>3547BF340CFAB21102B2C30A1C60773E</v>
      </c>
      <c r="C414" s="87" t="s">
        <v>2448</v>
      </c>
      <c r="D414" s="14" t="s">
        <v>2449</v>
      </c>
      <c r="E414" s="87" t="s">
        <v>2048</v>
      </c>
      <c r="F414" s="87">
        <v>1</v>
      </c>
      <c r="G414" s="87">
        <v>1</v>
      </c>
      <c r="H414" s="14"/>
      <c r="I414" s="75"/>
      <c r="J414" s="75">
        <v>1</v>
      </c>
      <c r="K414" s="75" t="s">
        <v>162</v>
      </c>
      <c r="L414" s="75" t="s">
        <v>509</v>
      </c>
      <c r="M414" s="75" t="s">
        <v>535</v>
      </c>
      <c r="N414" s="75" t="s">
        <v>509</v>
      </c>
      <c r="O414" s="75" t="s">
        <v>535</v>
      </c>
      <c r="P414" s="75" t="s">
        <v>2410</v>
      </c>
    </row>
    <row r="415" spans="1:16">
      <c r="A415" s="63" t="s">
        <v>4282</v>
      </c>
      <c r="B415" s="14" t="str">
        <f>VLOOKUP(P415,'护理记录单文书字典(数据)'!B$4:C$99,2,0)</f>
        <v>3547BF340CFAB21102B2C30A1C60773E</v>
      </c>
      <c r="C415" s="87" t="s">
        <v>2450</v>
      </c>
      <c r="D415" s="14" t="s">
        <v>2451</v>
      </c>
      <c r="E415" s="87" t="s">
        <v>2048</v>
      </c>
      <c r="F415" s="87">
        <v>1</v>
      </c>
      <c r="G415" s="87">
        <v>1</v>
      </c>
      <c r="H415" s="14"/>
      <c r="I415" s="75"/>
      <c r="J415" s="75">
        <v>1</v>
      </c>
      <c r="K415" s="75" t="s">
        <v>162</v>
      </c>
      <c r="L415" s="75" t="s">
        <v>509</v>
      </c>
      <c r="M415" s="75" t="s">
        <v>535</v>
      </c>
      <c r="N415" s="75" t="s">
        <v>509</v>
      </c>
      <c r="O415" s="75" t="s">
        <v>535</v>
      </c>
      <c r="P415" s="75" t="s">
        <v>2410</v>
      </c>
    </row>
    <row r="416" spans="1:16">
      <c r="A416" s="63" t="s">
        <v>4282</v>
      </c>
      <c r="B416" s="14" t="str">
        <f>VLOOKUP(P416,'护理记录单文书字典(数据)'!B$4:C$99,2,0)</f>
        <v>3547BF340CFAB21102B2C30A1C60773E</v>
      </c>
      <c r="C416" s="87" t="s">
        <v>2452</v>
      </c>
      <c r="D416" s="14" t="s">
        <v>2453</v>
      </c>
      <c r="E416" s="87" t="s">
        <v>2048</v>
      </c>
      <c r="F416" s="87">
        <v>1</v>
      </c>
      <c r="G416" s="87">
        <v>1</v>
      </c>
      <c r="H416" s="14"/>
      <c r="I416" s="75"/>
      <c r="J416" s="75">
        <v>1</v>
      </c>
      <c r="K416" s="75" t="s">
        <v>162</v>
      </c>
      <c r="L416" s="75" t="s">
        <v>509</v>
      </c>
      <c r="M416" s="75" t="s">
        <v>535</v>
      </c>
      <c r="N416" s="75" t="s">
        <v>509</v>
      </c>
      <c r="O416" s="75" t="s">
        <v>535</v>
      </c>
      <c r="P416" s="75" t="s">
        <v>2410</v>
      </c>
    </row>
    <row r="417" spans="1:16">
      <c r="A417" s="63" t="s">
        <v>4282</v>
      </c>
      <c r="B417" s="14" t="str">
        <f>VLOOKUP(P417,'护理记录单文书字典(数据)'!B$4:C$99,2,0)</f>
        <v>3547BF340CFAB21102B2C30A1C60773E</v>
      </c>
      <c r="C417" s="87" t="s">
        <v>2454</v>
      </c>
      <c r="D417" s="14" t="s">
        <v>2455</v>
      </c>
      <c r="E417" s="87" t="s">
        <v>2104</v>
      </c>
      <c r="F417" s="87">
        <v>1</v>
      </c>
      <c r="G417" s="87">
        <v>1</v>
      </c>
      <c r="H417" s="14"/>
      <c r="I417" s="75"/>
      <c r="J417" s="75">
        <v>1</v>
      </c>
      <c r="K417" s="75" t="s">
        <v>162</v>
      </c>
      <c r="L417" s="75" t="s">
        <v>509</v>
      </c>
      <c r="M417" s="75" t="s">
        <v>535</v>
      </c>
      <c r="N417" s="75" t="s">
        <v>509</v>
      </c>
      <c r="O417" s="75" t="s">
        <v>535</v>
      </c>
      <c r="P417" s="75" t="s">
        <v>2410</v>
      </c>
    </row>
    <row r="418" spans="1:16">
      <c r="A418" s="63" t="s">
        <v>4282</v>
      </c>
      <c r="B418" s="14" t="str">
        <f>VLOOKUP(P418,'护理记录单文书字典(数据)'!B$4:C$99,2,0)</f>
        <v>3547BF340CFAB21102B2C30A1C60773E</v>
      </c>
      <c r="C418" s="87" t="s">
        <v>2158</v>
      </c>
      <c r="D418" s="14" t="s">
        <v>4230</v>
      </c>
      <c r="E418" s="87" t="s">
        <v>2104</v>
      </c>
      <c r="F418" s="87">
        <v>1</v>
      </c>
      <c r="G418" s="87">
        <v>1</v>
      </c>
      <c r="H418" s="14"/>
      <c r="I418" s="75"/>
      <c r="J418" s="75">
        <v>1</v>
      </c>
      <c r="K418" s="75" t="s">
        <v>162</v>
      </c>
      <c r="L418" s="75" t="s">
        <v>509</v>
      </c>
      <c r="M418" s="75" t="s">
        <v>535</v>
      </c>
      <c r="N418" s="75" t="s">
        <v>509</v>
      </c>
      <c r="O418" s="75" t="s">
        <v>535</v>
      </c>
      <c r="P418" s="75" t="s">
        <v>2410</v>
      </c>
    </row>
    <row r="419" spans="1:16">
      <c r="A419" s="63" t="s">
        <v>4282</v>
      </c>
      <c r="B419" s="14" t="str">
        <f>VLOOKUP(P419,'护理记录单文书字典(数据)'!B$4:C$99,2,0)</f>
        <v>3547BF340CFAB21102B2C30A1C60773E</v>
      </c>
      <c r="C419" s="87" t="s">
        <v>2456</v>
      </c>
      <c r="D419" s="14" t="s">
        <v>2457</v>
      </c>
      <c r="E419" s="87" t="s">
        <v>2048</v>
      </c>
      <c r="F419" s="87">
        <v>1</v>
      </c>
      <c r="G419" s="87">
        <v>1</v>
      </c>
      <c r="H419" s="14"/>
      <c r="I419" s="75"/>
      <c r="J419" s="75">
        <v>1</v>
      </c>
      <c r="K419" s="75" t="s">
        <v>162</v>
      </c>
      <c r="L419" s="75" t="s">
        <v>509</v>
      </c>
      <c r="M419" s="75" t="s">
        <v>535</v>
      </c>
      <c r="N419" s="75" t="s">
        <v>509</v>
      </c>
      <c r="O419" s="75" t="s">
        <v>535</v>
      </c>
      <c r="P419" s="75" t="s">
        <v>2410</v>
      </c>
    </row>
    <row r="420" spans="1:16">
      <c r="A420" s="63" t="s">
        <v>4282</v>
      </c>
      <c r="B420" s="14" t="str">
        <f>VLOOKUP(P420,'护理记录单文书字典(数据)'!B$4:C$99,2,0)</f>
        <v>3547BF340CFAB21102B2C30A1C60773E</v>
      </c>
      <c r="C420" s="87" t="s">
        <v>2458</v>
      </c>
      <c r="D420" s="14" t="s">
        <v>2459</v>
      </c>
      <c r="E420" s="87" t="s">
        <v>2048</v>
      </c>
      <c r="F420" s="87">
        <v>1</v>
      </c>
      <c r="G420" s="87">
        <v>1</v>
      </c>
      <c r="H420" s="14"/>
      <c r="I420" s="75"/>
      <c r="J420" s="75">
        <v>1</v>
      </c>
      <c r="K420" s="75" t="s">
        <v>162</v>
      </c>
      <c r="L420" s="75" t="s">
        <v>509</v>
      </c>
      <c r="M420" s="75" t="s">
        <v>535</v>
      </c>
      <c r="N420" s="75" t="s">
        <v>509</v>
      </c>
      <c r="O420" s="75" t="s">
        <v>535</v>
      </c>
      <c r="P420" s="75" t="s">
        <v>2410</v>
      </c>
    </row>
    <row r="421" spans="1:16">
      <c r="A421" s="63" t="s">
        <v>4282</v>
      </c>
      <c r="B421" s="14" t="str">
        <f>VLOOKUP(P421,'护理记录单文书字典(数据)'!B$4:C$99,2,0)</f>
        <v>3547BF340CFAB21102B2C30A1C60773E</v>
      </c>
      <c r="C421" s="87" t="s">
        <v>2460</v>
      </c>
      <c r="D421" s="14" t="s">
        <v>2461</v>
      </c>
      <c r="E421" s="87" t="s">
        <v>2048</v>
      </c>
      <c r="F421" s="87">
        <v>1</v>
      </c>
      <c r="G421" s="87">
        <v>1</v>
      </c>
      <c r="H421" s="14"/>
      <c r="I421" s="75"/>
      <c r="J421" s="75">
        <v>1</v>
      </c>
      <c r="K421" s="75" t="s">
        <v>162</v>
      </c>
      <c r="L421" s="75" t="s">
        <v>509</v>
      </c>
      <c r="M421" s="75" t="s">
        <v>535</v>
      </c>
      <c r="N421" s="75" t="s">
        <v>509</v>
      </c>
      <c r="O421" s="75" t="s">
        <v>535</v>
      </c>
      <c r="P421" s="75" t="s">
        <v>2410</v>
      </c>
    </row>
    <row r="422" spans="1:16">
      <c r="A422" s="63" t="s">
        <v>4282</v>
      </c>
      <c r="B422" s="14" t="str">
        <f>VLOOKUP(P422,'护理记录单文书字典(数据)'!B$4:C$99,2,0)</f>
        <v>3547BF340CFAB21102B2C30A1C60773E</v>
      </c>
      <c r="C422" s="87" t="s">
        <v>2462</v>
      </c>
      <c r="D422" s="14" t="s">
        <v>2463</v>
      </c>
      <c r="E422" s="87" t="s">
        <v>2048</v>
      </c>
      <c r="F422" s="87">
        <v>1</v>
      </c>
      <c r="G422" s="87">
        <v>1</v>
      </c>
      <c r="H422" s="14"/>
      <c r="I422" s="75"/>
      <c r="J422" s="75">
        <v>1</v>
      </c>
      <c r="K422" s="75" t="s">
        <v>162</v>
      </c>
      <c r="L422" s="75" t="s">
        <v>509</v>
      </c>
      <c r="M422" s="75" t="s">
        <v>535</v>
      </c>
      <c r="N422" s="75" t="s">
        <v>509</v>
      </c>
      <c r="O422" s="75" t="s">
        <v>535</v>
      </c>
      <c r="P422" s="75" t="s">
        <v>2410</v>
      </c>
    </row>
    <row r="423" spans="1:16">
      <c r="A423" s="63" t="s">
        <v>4282</v>
      </c>
      <c r="B423" s="14" t="str">
        <f>VLOOKUP(P423,'护理记录单文书字典(数据)'!B$4:C$99,2,0)</f>
        <v>3547BF340CFAB21102B2C30A1C60773E</v>
      </c>
      <c r="C423" s="87" t="s">
        <v>2464</v>
      </c>
      <c r="D423" s="14" t="s">
        <v>2465</v>
      </c>
      <c r="E423" s="87" t="s">
        <v>2048</v>
      </c>
      <c r="F423" s="87">
        <v>1</v>
      </c>
      <c r="G423" s="87">
        <v>1</v>
      </c>
      <c r="H423" s="14"/>
      <c r="I423" s="75"/>
      <c r="J423" s="75">
        <v>1</v>
      </c>
      <c r="K423" s="75" t="s">
        <v>162</v>
      </c>
      <c r="L423" s="75" t="s">
        <v>509</v>
      </c>
      <c r="M423" s="75" t="s">
        <v>535</v>
      </c>
      <c r="N423" s="75" t="s">
        <v>509</v>
      </c>
      <c r="O423" s="75" t="s">
        <v>535</v>
      </c>
      <c r="P423" s="75" t="s">
        <v>2410</v>
      </c>
    </row>
    <row r="424" spans="1:16">
      <c r="A424" s="63" t="s">
        <v>4282</v>
      </c>
      <c r="B424" s="14" t="str">
        <f>VLOOKUP(P424,'护理记录单文书字典(数据)'!B$4:C$99,2,0)</f>
        <v>3547BF340CFAB21102B2C30A1C60773E</v>
      </c>
      <c r="C424" s="87" t="s">
        <v>2466</v>
      </c>
      <c r="D424" s="14" t="s">
        <v>2467</v>
      </c>
      <c r="E424" s="87" t="s">
        <v>2048</v>
      </c>
      <c r="F424" s="87">
        <v>1</v>
      </c>
      <c r="G424" s="87">
        <v>1</v>
      </c>
      <c r="H424" s="14"/>
      <c r="I424" s="75"/>
      <c r="J424" s="75">
        <v>1</v>
      </c>
      <c r="K424" s="75" t="s">
        <v>162</v>
      </c>
      <c r="L424" s="75" t="s">
        <v>509</v>
      </c>
      <c r="M424" s="75" t="s">
        <v>535</v>
      </c>
      <c r="N424" s="75" t="s">
        <v>509</v>
      </c>
      <c r="O424" s="75" t="s">
        <v>535</v>
      </c>
      <c r="P424" s="75" t="s">
        <v>2410</v>
      </c>
    </row>
    <row r="425" spans="1:16">
      <c r="A425" s="63" t="s">
        <v>4282</v>
      </c>
      <c r="B425" s="14" t="str">
        <f>VLOOKUP(P425,'护理记录单文书字典(数据)'!B$4:C$99,2,0)</f>
        <v>3547BF340CFAB21102B2C30A1C60773E</v>
      </c>
      <c r="C425" s="87" t="s">
        <v>2468</v>
      </c>
      <c r="D425" s="14" t="s">
        <v>2469</v>
      </c>
      <c r="E425" s="87" t="s">
        <v>2048</v>
      </c>
      <c r="F425" s="87">
        <v>1</v>
      </c>
      <c r="G425" s="87">
        <v>1</v>
      </c>
      <c r="H425" s="14"/>
      <c r="I425" s="75"/>
      <c r="J425" s="75">
        <v>1</v>
      </c>
      <c r="K425" s="75" t="s">
        <v>162</v>
      </c>
      <c r="L425" s="75" t="s">
        <v>509</v>
      </c>
      <c r="M425" s="75" t="s">
        <v>535</v>
      </c>
      <c r="N425" s="75" t="s">
        <v>509</v>
      </c>
      <c r="O425" s="75" t="s">
        <v>535</v>
      </c>
      <c r="P425" s="75" t="s">
        <v>2410</v>
      </c>
    </row>
    <row r="426" spans="1:16">
      <c r="A426" s="63" t="s">
        <v>4282</v>
      </c>
      <c r="B426" s="14" t="str">
        <f>VLOOKUP(P426,'护理记录单文书字典(数据)'!B$4:C$99,2,0)</f>
        <v>3547BF340CFAB21102B2C30A1C60773E</v>
      </c>
      <c r="C426" s="87" t="s">
        <v>2470</v>
      </c>
      <c r="D426" s="14" t="s">
        <v>2471</v>
      </c>
      <c r="E426" s="87" t="s">
        <v>2048</v>
      </c>
      <c r="F426" s="87">
        <v>1</v>
      </c>
      <c r="G426" s="87">
        <v>1</v>
      </c>
      <c r="H426" s="14"/>
      <c r="I426" s="75"/>
      <c r="J426" s="75">
        <v>1</v>
      </c>
      <c r="K426" s="75" t="s">
        <v>162</v>
      </c>
      <c r="L426" s="75" t="s">
        <v>509</v>
      </c>
      <c r="M426" s="75" t="s">
        <v>535</v>
      </c>
      <c r="N426" s="75" t="s">
        <v>509</v>
      </c>
      <c r="O426" s="75" t="s">
        <v>535</v>
      </c>
      <c r="P426" s="75" t="s">
        <v>2410</v>
      </c>
    </row>
    <row r="427" spans="1:16">
      <c r="A427" s="63" t="s">
        <v>4282</v>
      </c>
      <c r="B427" s="14" t="str">
        <f>VLOOKUP(P427,'护理记录单文书字典(数据)'!B$4:C$99,2,0)</f>
        <v>3547BF340CFAB21102B2C30A1C60773E</v>
      </c>
      <c r="C427" s="87" t="s">
        <v>2472</v>
      </c>
      <c r="D427" s="14" t="s">
        <v>2473</v>
      </c>
      <c r="E427" s="87" t="s">
        <v>2048</v>
      </c>
      <c r="F427" s="87">
        <v>1</v>
      </c>
      <c r="G427" s="87">
        <v>1</v>
      </c>
      <c r="H427" s="14"/>
      <c r="I427" s="75"/>
      <c r="J427" s="75">
        <v>1</v>
      </c>
      <c r="K427" s="75" t="s">
        <v>162</v>
      </c>
      <c r="L427" s="75" t="s">
        <v>509</v>
      </c>
      <c r="M427" s="75" t="s">
        <v>535</v>
      </c>
      <c r="N427" s="75" t="s">
        <v>509</v>
      </c>
      <c r="O427" s="75" t="s">
        <v>535</v>
      </c>
      <c r="P427" s="75" t="s">
        <v>2410</v>
      </c>
    </row>
    <row r="428" spans="1:16">
      <c r="A428" s="63" t="s">
        <v>4282</v>
      </c>
      <c r="B428" s="14" t="str">
        <f>VLOOKUP(P428,'护理记录单文书字典(数据)'!B$4:C$99,2,0)</f>
        <v>3547BF340CFAB21102B2C30A1C60773E</v>
      </c>
      <c r="C428" s="87" t="s">
        <v>2474</v>
      </c>
      <c r="D428" s="14" t="s">
        <v>2475</v>
      </c>
      <c r="E428" s="87" t="s">
        <v>2048</v>
      </c>
      <c r="F428" s="87">
        <v>1</v>
      </c>
      <c r="G428" s="87">
        <v>1</v>
      </c>
      <c r="H428" s="14"/>
      <c r="I428" s="75"/>
      <c r="J428" s="75">
        <v>1</v>
      </c>
      <c r="K428" s="75" t="s">
        <v>162</v>
      </c>
      <c r="L428" s="75" t="s">
        <v>509</v>
      </c>
      <c r="M428" s="75" t="s">
        <v>535</v>
      </c>
      <c r="N428" s="75" t="s">
        <v>509</v>
      </c>
      <c r="O428" s="75" t="s">
        <v>535</v>
      </c>
      <c r="P428" s="75" t="s">
        <v>2410</v>
      </c>
    </row>
    <row r="429" spans="1:16">
      <c r="A429" s="63" t="s">
        <v>4282</v>
      </c>
      <c r="B429" s="14" t="str">
        <f>VLOOKUP(P429,'护理记录单文书字典(数据)'!B$4:C$99,2,0)</f>
        <v>3547BF340CFAB21102B2C30A1C60773E</v>
      </c>
      <c r="C429" s="87" t="s">
        <v>2476</v>
      </c>
      <c r="D429" s="14" t="s">
        <v>2477</v>
      </c>
      <c r="E429" s="87" t="s">
        <v>2048</v>
      </c>
      <c r="F429" s="87">
        <v>1</v>
      </c>
      <c r="G429" s="87">
        <v>1</v>
      </c>
      <c r="H429" s="14"/>
      <c r="I429" s="75"/>
      <c r="J429" s="75">
        <v>1</v>
      </c>
      <c r="K429" s="75" t="s">
        <v>162</v>
      </c>
      <c r="L429" s="75" t="s">
        <v>509</v>
      </c>
      <c r="M429" s="75" t="s">
        <v>535</v>
      </c>
      <c r="N429" s="75" t="s">
        <v>509</v>
      </c>
      <c r="O429" s="75" t="s">
        <v>535</v>
      </c>
      <c r="P429" s="75" t="s">
        <v>2410</v>
      </c>
    </row>
    <row r="430" spans="1:16">
      <c r="A430" s="63" t="s">
        <v>4282</v>
      </c>
      <c r="B430" s="14" t="str">
        <f>VLOOKUP(P430,'护理记录单文书字典(数据)'!B$4:C$99,2,0)</f>
        <v>3547BF340CFAB21102B2C30A1C60773E</v>
      </c>
      <c r="C430" s="87" t="s">
        <v>2478</v>
      </c>
      <c r="D430" s="14" t="s">
        <v>2479</v>
      </c>
      <c r="E430" s="87" t="s">
        <v>2048</v>
      </c>
      <c r="F430" s="87">
        <v>1</v>
      </c>
      <c r="G430" s="87">
        <v>1</v>
      </c>
      <c r="H430" s="14"/>
      <c r="I430" s="75"/>
      <c r="J430" s="75">
        <v>1</v>
      </c>
      <c r="K430" s="75" t="s">
        <v>162</v>
      </c>
      <c r="L430" s="75" t="s">
        <v>509</v>
      </c>
      <c r="M430" s="75" t="s">
        <v>535</v>
      </c>
      <c r="N430" s="75" t="s">
        <v>509</v>
      </c>
      <c r="O430" s="75" t="s">
        <v>535</v>
      </c>
      <c r="P430" s="75" t="s">
        <v>2410</v>
      </c>
    </row>
    <row r="431" spans="1:16">
      <c r="A431" s="63" t="s">
        <v>4282</v>
      </c>
      <c r="B431" s="14" t="str">
        <f>VLOOKUP(P431,'护理记录单文书字典(数据)'!B$4:C$99,2,0)</f>
        <v>3547BF340CFAB21102B2C30A1C60773E</v>
      </c>
      <c r="C431" s="87" t="s">
        <v>2480</v>
      </c>
      <c r="D431" s="14" t="s">
        <v>2481</v>
      </c>
      <c r="E431" s="87" t="s">
        <v>2048</v>
      </c>
      <c r="F431" s="87">
        <v>1</v>
      </c>
      <c r="G431" s="87">
        <v>1</v>
      </c>
      <c r="H431" s="14"/>
      <c r="I431" s="75"/>
      <c r="J431" s="75">
        <v>1</v>
      </c>
      <c r="K431" s="75" t="s">
        <v>162</v>
      </c>
      <c r="L431" s="75" t="s">
        <v>509</v>
      </c>
      <c r="M431" s="75" t="s">
        <v>535</v>
      </c>
      <c r="N431" s="75" t="s">
        <v>509</v>
      </c>
      <c r="O431" s="75" t="s">
        <v>535</v>
      </c>
      <c r="P431" s="75" t="s">
        <v>2410</v>
      </c>
    </row>
    <row r="432" spans="1:16">
      <c r="A432" s="63" t="s">
        <v>4282</v>
      </c>
      <c r="B432" s="14" t="str">
        <f>VLOOKUP(P432,'护理记录单文书字典(数据)'!B$4:C$99,2,0)</f>
        <v>3547BF340CFAB21102B2C30A1C60773E</v>
      </c>
      <c r="C432" s="87" t="s">
        <v>2482</v>
      </c>
      <c r="D432" s="14" t="s">
        <v>2483</v>
      </c>
      <c r="E432" s="87" t="s">
        <v>2048</v>
      </c>
      <c r="F432" s="87">
        <v>1</v>
      </c>
      <c r="G432" s="87">
        <v>1</v>
      </c>
      <c r="H432" s="14"/>
      <c r="I432" s="75"/>
      <c r="J432" s="75">
        <v>1</v>
      </c>
      <c r="K432" s="75" t="s">
        <v>162</v>
      </c>
      <c r="L432" s="75" t="s">
        <v>509</v>
      </c>
      <c r="M432" s="75" t="s">
        <v>535</v>
      </c>
      <c r="N432" s="75" t="s">
        <v>509</v>
      </c>
      <c r="O432" s="75" t="s">
        <v>535</v>
      </c>
      <c r="P432" s="75" t="s">
        <v>2410</v>
      </c>
    </row>
    <row r="433" spans="1:16">
      <c r="A433" s="63" t="s">
        <v>4282</v>
      </c>
      <c r="B433" s="14" t="str">
        <f>VLOOKUP(P433,'护理记录单文书字典(数据)'!B$4:C$99,2,0)</f>
        <v>3547BF340CFAB21102B2C30A1C60773E</v>
      </c>
      <c r="C433" s="87" t="s">
        <v>2484</v>
      </c>
      <c r="D433" s="14" t="s">
        <v>2485</v>
      </c>
      <c r="E433" s="87" t="s">
        <v>2048</v>
      </c>
      <c r="F433" s="87">
        <v>1</v>
      </c>
      <c r="G433" s="87">
        <v>1</v>
      </c>
      <c r="H433" s="14"/>
      <c r="I433" s="75"/>
      <c r="J433" s="75">
        <v>1</v>
      </c>
      <c r="K433" s="75" t="s">
        <v>162</v>
      </c>
      <c r="L433" s="75" t="s">
        <v>509</v>
      </c>
      <c r="M433" s="75" t="s">
        <v>535</v>
      </c>
      <c r="N433" s="75" t="s">
        <v>509</v>
      </c>
      <c r="O433" s="75" t="s">
        <v>535</v>
      </c>
      <c r="P433" s="75" t="s">
        <v>2410</v>
      </c>
    </row>
    <row r="434" spans="1:16">
      <c r="A434" s="63" t="s">
        <v>4282</v>
      </c>
      <c r="B434" s="14" t="str">
        <f>VLOOKUP(P434,'护理记录单文书字典(数据)'!B$4:C$99,2,0)</f>
        <v>3547BF340CFAB21102B2C30A1C60773E</v>
      </c>
      <c r="C434" s="87" t="s">
        <v>2486</v>
      </c>
      <c r="D434" s="14" t="s">
        <v>2487</v>
      </c>
      <c r="E434" s="87" t="s">
        <v>2048</v>
      </c>
      <c r="F434" s="87">
        <v>1</v>
      </c>
      <c r="G434" s="87">
        <v>1</v>
      </c>
      <c r="H434" s="14"/>
      <c r="I434" s="75"/>
      <c r="J434" s="75">
        <v>1</v>
      </c>
      <c r="K434" s="75" t="s">
        <v>162</v>
      </c>
      <c r="L434" s="75" t="s">
        <v>509</v>
      </c>
      <c r="M434" s="75" t="s">
        <v>535</v>
      </c>
      <c r="N434" s="75" t="s">
        <v>509</v>
      </c>
      <c r="O434" s="75" t="s">
        <v>535</v>
      </c>
      <c r="P434" s="75" t="s">
        <v>2410</v>
      </c>
    </row>
    <row r="435" spans="1:16">
      <c r="A435" s="63" t="s">
        <v>4282</v>
      </c>
      <c r="B435" s="14" t="str">
        <f>VLOOKUP(P435,'护理记录单文书字典(数据)'!B$4:C$99,2,0)</f>
        <v>3547BF340CFAB21102B2C30A1C60773E</v>
      </c>
      <c r="C435" s="87" t="s">
        <v>2488</v>
      </c>
      <c r="D435" s="14" t="s">
        <v>2489</v>
      </c>
      <c r="E435" s="87" t="s">
        <v>2048</v>
      </c>
      <c r="F435" s="87">
        <v>1</v>
      </c>
      <c r="G435" s="87">
        <v>1</v>
      </c>
      <c r="H435" s="14"/>
      <c r="I435" s="75"/>
      <c r="J435" s="75">
        <v>1</v>
      </c>
      <c r="K435" s="75" t="s">
        <v>162</v>
      </c>
      <c r="L435" s="75" t="s">
        <v>509</v>
      </c>
      <c r="M435" s="75" t="s">
        <v>535</v>
      </c>
      <c r="N435" s="75" t="s">
        <v>509</v>
      </c>
      <c r="O435" s="75" t="s">
        <v>535</v>
      </c>
      <c r="P435" s="75" t="s">
        <v>2410</v>
      </c>
    </row>
    <row r="436" spans="1:16">
      <c r="A436" s="63" t="s">
        <v>4282</v>
      </c>
      <c r="B436" s="14" t="str">
        <f>VLOOKUP(P436,'护理记录单文书字典(数据)'!B$4:C$99,2,0)</f>
        <v>3547BF340CFAB21102B2C30A1C60773E</v>
      </c>
      <c r="C436" s="87" t="s">
        <v>2490</v>
      </c>
      <c r="D436" s="14" t="s">
        <v>2491</v>
      </c>
      <c r="E436" s="87" t="s">
        <v>2048</v>
      </c>
      <c r="F436" s="87">
        <v>1</v>
      </c>
      <c r="G436" s="87">
        <v>1</v>
      </c>
      <c r="H436" s="14"/>
      <c r="I436" s="75"/>
      <c r="J436" s="75">
        <v>1</v>
      </c>
      <c r="K436" s="75" t="s">
        <v>162</v>
      </c>
      <c r="L436" s="75" t="s">
        <v>509</v>
      </c>
      <c r="M436" s="75" t="s">
        <v>535</v>
      </c>
      <c r="N436" s="75" t="s">
        <v>509</v>
      </c>
      <c r="O436" s="75" t="s">
        <v>535</v>
      </c>
      <c r="P436" s="75" t="s">
        <v>2410</v>
      </c>
    </row>
    <row r="437" spans="1:16">
      <c r="A437" s="63" t="s">
        <v>4282</v>
      </c>
      <c r="B437" s="14" t="str">
        <f>VLOOKUP(P437,'护理记录单文书字典(数据)'!B$4:C$99,2,0)</f>
        <v>3547BF340CFAB21102B2C30A1C60773E</v>
      </c>
      <c r="C437" s="87" t="s">
        <v>2492</v>
      </c>
      <c r="D437" s="14" t="s">
        <v>2493</v>
      </c>
      <c r="E437" s="87" t="s">
        <v>2048</v>
      </c>
      <c r="F437" s="87">
        <v>1</v>
      </c>
      <c r="G437" s="87">
        <v>1</v>
      </c>
      <c r="H437" s="14"/>
      <c r="I437" s="75"/>
      <c r="J437" s="75">
        <v>1</v>
      </c>
      <c r="K437" s="75" t="s">
        <v>162</v>
      </c>
      <c r="L437" s="75" t="s">
        <v>509</v>
      </c>
      <c r="M437" s="75" t="s">
        <v>535</v>
      </c>
      <c r="N437" s="75" t="s">
        <v>509</v>
      </c>
      <c r="O437" s="75" t="s">
        <v>535</v>
      </c>
      <c r="P437" s="75" t="s">
        <v>2410</v>
      </c>
    </row>
    <row r="438" spans="1:16">
      <c r="A438" s="63" t="s">
        <v>4282</v>
      </c>
      <c r="B438" s="14" t="str">
        <f>VLOOKUP(P438,'护理记录单文书字典(数据)'!B$4:C$99,2,0)</f>
        <v>3547BF340CFAB21102B2C30A1C60773E</v>
      </c>
      <c r="C438" s="87" t="s">
        <v>2494</v>
      </c>
      <c r="D438" s="14" t="s">
        <v>2495</v>
      </c>
      <c r="E438" s="87" t="s">
        <v>2048</v>
      </c>
      <c r="F438" s="87">
        <v>1</v>
      </c>
      <c r="G438" s="87">
        <v>1</v>
      </c>
      <c r="H438" s="14"/>
      <c r="I438" s="75"/>
      <c r="J438" s="75">
        <v>1</v>
      </c>
      <c r="K438" s="75" t="s">
        <v>162</v>
      </c>
      <c r="L438" s="75" t="s">
        <v>509</v>
      </c>
      <c r="M438" s="75" t="s">
        <v>535</v>
      </c>
      <c r="N438" s="75" t="s">
        <v>509</v>
      </c>
      <c r="O438" s="75" t="s">
        <v>535</v>
      </c>
      <c r="P438" s="75" t="s">
        <v>2410</v>
      </c>
    </row>
    <row r="439" spans="1:16">
      <c r="A439" s="63" t="s">
        <v>4282</v>
      </c>
      <c r="B439" s="14" t="str">
        <f>VLOOKUP(P439,'护理记录单文书字典(数据)'!B$4:C$99,2,0)</f>
        <v>3547BF340CFAB21102B2C30A1C60773E</v>
      </c>
      <c r="C439" s="87" t="s">
        <v>2496</v>
      </c>
      <c r="D439" s="14" t="s">
        <v>2497</v>
      </c>
      <c r="E439" s="87" t="s">
        <v>2048</v>
      </c>
      <c r="F439" s="87">
        <v>1</v>
      </c>
      <c r="G439" s="87">
        <v>1</v>
      </c>
      <c r="H439" s="14"/>
      <c r="I439" s="75"/>
      <c r="J439" s="75">
        <v>1</v>
      </c>
      <c r="K439" s="75" t="s">
        <v>162</v>
      </c>
      <c r="L439" s="75" t="s">
        <v>509</v>
      </c>
      <c r="M439" s="75" t="s">
        <v>535</v>
      </c>
      <c r="N439" s="75" t="s">
        <v>509</v>
      </c>
      <c r="O439" s="75" t="s">
        <v>535</v>
      </c>
      <c r="P439" s="75" t="s">
        <v>2410</v>
      </c>
    </row>
    <row r="440" spans="1:16">
      <c r="A440" s="63" t="s">
        <v>4282</v>
      </c>
      <c r="B440" s="14" t="str">
        <f>VLOOKUP(P440,'护理记录单文书字典(数据)'!B$4:C$99,2,0)</f>
        <v>3547BF340CFAB21102B2C30A1C60773E</v>
      </c>
      <c r="C440" s="87" t="s">
        <v>2498</v>
      </c>
      <c r="D440" s="14" t="s">
        <v>2499</v>
      </c>
      <c r="E440" s="87" t="s">
        <v>2104</v>
      </c>
      <c r="F440" s="87">
        <v>1</v>
      </c>
      <c r="G440" s="87">
        <v>1</v>
      </c>
      <c r="H440" s="14"/>
      <c r="I440" s="75"/>
      <c r="J440" s="75">
        <v>1</v>
      </c>
      <c r="K440" s="75" t="s">
        <v>162</v>
      </c>
      <c r="L440" s="75" t="s">
        <v>509</v>
      </c>
      <c r="M440" s="75" t="s">
        <v>535</v>
      </c>
      <c r="N440" s="75" t="s">
        <v>509</v>
      </c>
      <c r="O440" s="75" t="s">
        <v>535</v>
      </c>
      <c r="P440" s="75" t="s">
        <v>2410</v>
      </c>
    </row>
    <row r="441" spans="1:16">
      <c r="A441" s="63" t="s">
        <v>4282</v>
      </c>
      <c r="B441" s="14" t="str">
        <f>VLOOKUP(P441,'护理记录单文书字典(数据)'!B$4:C$99,2,0)</f>
        <v>3547BF340CFAB21102B2C30A1C60773E</v>
      </c>
      <c r="C441" s="87" t="s">
        <v>2187</v>
      </c>
      <c r="D441" s="14" t="s">
        <v>2188</v>
      </c>
      <c r="E441" s="87" t="s">
        <v>2104</v>
      </c>
      <c r="F441" s="87">
        <v>1</v>
      </c>
      <c r="G441" s="87">
        <v>1</v>
      </c>
      <c r="H441" s="14"/>
      <c r="I441" s="75"/>
      <c r="J441" s="75">
        <v>1</v>
      </c>
      <c r="K441" s="75" t="s">
        <v>162</v>
      </c>
      <c r="L441" s="75" t="s">
        <v>509</v>
      </c>
      <c r="M441" s="75" t="s">
        <v>535</v>
      </c>
      <c r="N441" s="75" t="s">
        <v>509</v>
      </c>
      <c r="O441" s="75" t="s">
        <v>535</v>
      </c>
      <c r="P441" s="75" t="s">
        <v>2410</v>
      </c>
    </row>
    <row r="442" spans="1:16">
      <c r="A442" s="63" t="s">
        <v>4282</v>
      </c>
      <c r="B442" s="14" t="str">
        <f>VLOOKUP(P442,'护理记录单文书字典(数据)'!B$4:C$99,2,0)</f>
        <v>3547BF340CFAB21102B2C30A1C60773E</v>
      </c>
      <c r="C442" s="87" t="s">
        <v>2500</v>
      </c>
      <c r="D442" s="14" t="s">
        <v>2501</v>
      </c>
      <c r="E442" s="87" t="s">
        <v>2048</v>
      </c>
      <c r="F442" s="87">
        <v>1</v>
      </c>
      <c r="G442" s="87">
        <v>1</v>
      </c>
      <c r="H442" s="14"/>
      <c r="I442" s="75"/>
      <c r="J442" s="75">
        <v>1</v>
      </c>
      <c r="K442" s="75" t="s">
        <v>162</v>
      </c>
      <c r="L442" s="75" t="s">
        <v>509</v>
      </c>
      <c r="M442" s="75" t="s">
        <v>535</v>
      </c>
      <c r="N442" s="75" t="s">
        <v>509</v>
      </c>
      <c r="O442" s="75" t="s">
        <v>535</v>
      </c>
      <c r="P442" s="75" t="s">
        <v>2410</v>
      </c>
    </row>
    <row r="443" spans="1:16">
      <c r="A443" s="63" t="s">
        <v>4282</v>
      </c>
      <c r="B443" s="14" t="str">
        <f>VLOOKUP(P443,'护理记录单文书字典(数据)'!B$4:C$99,2,0)</f>
        <v>3547BF340CFAB21102B2C30A1C60773E</v>
      </c>
      <c r="C443" s="87" t="s">
        <v>2502</v>
      </c>
      <c r="D443" s="14" t="s">
        <v>2503</v>
      </c>
      <c r="E443" s="87" t="s">
        <v>2048</v>
      </c>
      <c r="F443" s="87">
        <v>1</v>
      </c>
      <c r="G443" s="87">
        <v>1</v>
      </c>
      <c r="H443" s="14"/>
      <c r="I443" s="75"/>
      <c r="J443" s="75">
        <v>1</v>
      </c>
      <c r="K443" s="75" t="s">
        <v>162</v>
      </c>
      <c r="L443" s="75" t="s">
        <v>509</v>
      </c>
      <c r="M443" s="75" t="s">
        <v>535</v>
      </c>
      <c r="N443" s="75" t="s">
        <v>509</v>
      </c>
      <c r="O443" s="75" t="s">
        <v>535</v>
      </c>
      <c r="P443" s="75" t="s">
        <v>2410</v>
      </c>
    </row>
    <row r="444" spans="1:16">
      <c r="A444" s="63" t="s">
        <v>4282</v>
      </c>
      <c r="B444" s="14" t="str">
        <f>VLOOKUP(P444,'护理记录单文书字典(数据)'!B$4:C$99,2,0)</f>
        <v>3547BF340CFAB21102B2C30A1C60773E</v>
      </c>
      <c r="C444" s="87" t="s">
        <v>2504</v>
      </c>
      <c r="D444" s="14" t="s">
        <v>2505</v>
      </c>
      <c r="E444" s="87" t="s">
        <v>2048</v>
      </c>
      <c r="F444" s="87">
        <v>1</v>
      </c>
      <c r="G444" s="87">
        <v>1</v>
      </c>
      <c r="H444" s="14"/>
      <c r="I444" s="75"/>
      <c r="J444" s="75">
        <v>1</v>
      </c>
      <c r="K444" s="75" t="s">
        <v>162</v>
      </c>
      <c r="L444" s="75" t="s">
        <v>509</v>
      </c>
      <c r="M444" s="75" t="s">
        <v>535</v>
      </c>
      <c r="N444" s="75" t="s">
        <v>509</v>
      </c>
      <c r="O444" s="75" t="s">
        <v>535</v>
      </c>
      <c r="P444" s="75" t="s">
        <v>2410</v>
      </c>
    </row>
    <row r="445" spans="1:16">
      <c r="A445" s="63" t="s">
        <v>4282</v>
      </c>
      <c r="B445" s="14" t="str">
        <f>VLOOKUP(P445,'护理记录单文书字典(数据)'!B$4:C$99,2,0)</f>
        <v>3547BF340CFAB21102B2C30A1C60773E</v>
      </c>
      <c r="C445" s="87" t="s">
        <v>2506</v>
      </c>
      <c r="D445" s="14" t="s">
        <v>2507</v>
      </c>
      <c r="E445" s="87" t="s">
        <v>2048</v>
      </c>
      <c r="F445" s="87">
        <v>1</v>
      </c>
      <c r="G445" s="87">
        <v>1</v>
      </c>
      <c r="H445" s="14"/>
      <c r="I445" s="75"/>
      <c r="J445" s="75">
        <v>1</v>
      </c>
      <c r="K445" s="75" t="s">
        <v>162</v>
      </c>
      <c r="L445" s="75" t="s">
        <v>509</v>
      </c>
      <c r="M445" s="75" t="s">
        <v>535</v>
      </c>
      <c r="N445" s="75" t="s">
        <v>509</v>
      </c>
      <c r="O445" s="75" t="s">
        <v>535</v>
      </c>
      <c r="P445" s="75" t="s">
        <v>2410</v>
      </c>
    </row>
    <row r="446" spans="1:16">
      <c r="A446" s="63" t="s">
        <v>4282</v>
      </c>
      <c r="B446" s="14" t="str">
        <f>VLOOKUP(P446,'护理记录单文书字典(数据)'!B$4:C$99,2,0)</f>
        <v>3547BF340CFAB21102B2C30A1C60773E</v>
      </c>
      <c r="C446" s="87" t="s">
        <v>2508</v>
      </c>
      <c r="D446" s="14" t="s">
        <v>2509</v>
      </c>
      <c r="E446" s="87" t="s">
        <v>2048</v>
      </c>
      <c r="F446" s="87">
        <v>1</v>
      </c>
      <c r="G446" s="87">
        <v>1</v>
      </c>
      <c r="H446" s="14"/>
      <c r="I446" s="75"/>
      <c r="J446" s="75">
        <v>1</v>
      </c>
      <c r="K446" s="75" t="s">
        <v>162</v>
      </c>
      <c r="L446" s="75" t="s">
        <v>509</v>
      </c>
      <c r="M446" s="75" t="s">
        <v>535</v>
      </c>
      <c r="N446" s="75" t="s">
        <v>509</v>
      </c>
      <c r="O446" s="75" t="s">
        <v>535</v>
      </c>
      <c r="P446" s="75" t="s">
        <v>2410</v>
      </c>
    </row>
    <row r="447" spans="1:16">
      <c r="A447" s="63" t="s">
        <v>4282</v>
      </c>
      <c r="B447" s="14" t="str">
        <f>VLOOKUP(P447,'护理记录单文书字典(数据)'!B$4:C$99,2,0)</f>
        <v>3547BF340CFAB21102B2C30A1C60773E</v>
      </c>
      <c r="C447" s="87" t="s">
        <v>2510</v>
      </c>
      <c r="D447" s="14" t="s">
        <v>2511</v>
      </c>
      <c r="E447" s="87" t="s">
        <v>2048</v>
      </c>
      <c r="F447" s="87">
        <v>1</v>
      </c>
      <c r="G447" s="87">
        <v>1</v>
      </c>
      <c r="H447" s="14"/>
      <c r="I447" s="75"/>
      <c r="J447" s="75">
        <v>1</v>
      </c>
      <c r="K447" s="75" t="s">
        <v>162</v>
      </c>
      <c r="L447" s="75" t="s">
        <v>509</v>
      </c>
      <c r="M447" s="75" t="s">
        <v>535</v>
      </c>
      <c r="N447" s="75" t="s">
        <v>509</v>
      </c>
      <c r="O447" s="75" t="s">
        <v>535</v>
      </c>
      <c r="P447" s="75" t="s">
        <v>2410</v>
      </c>
    </row>
    <row r="448" spans="1:16">
      <c r="A448" s="63" t="s">
        <v>4282</v>
      </c>
      <c r="B448" s="14" t="str">
        <f>VLOOKUP(P448,'护理记录单文书字典(数据)'!B$4:C$99,2,0)</f>
        <v>3547BF340CFAB21102B2C30A1C60773E</v>
      </c>
      <c r="C448" s="87" t="s">
        <v>2512</v>
      </c>
      <c r="D448" s="14" t="s">
        <v>2513</v>
      </c>
      <c r="E448" s="87" t="s">
        <v>2048</v>
      </c>
      <c r="F448" s="87">
        <v>1</v>
      </c>
      <c r="G448" s="87">
        <v>1</v>
      </c>
      <c r="H448" s="14"/>
      <c r="I448" s="75"/>
      <c r="J448" s="75">
        <v>1</v>
      </c>
      <c r="K448" s="75" t="s">
        <v>162</v>
      </c>
      <c r="L448" s="75" t="s">
        <v>509</v>
      </c>
      <c r="M448" s="75" t="s">
        <v>535</v>
      </c>
      <c r="N448" s="75" t="s">
        <v>509</v>
      </c>
      <c r="O448" s="75" t="s">
        <v>535</v>
      </c>
      <c r="P448" s="75" t="s">
        <v>2410</v>
      </c>
    </row>
    <row r="449" spans="1:16">
      <c r="A449" s="63" t="s">
        <v>4282</v>
      </c>
      <c r="B449" s="14" t="str">
        <f>VLOOKUP(P449,'护理记录单文书字典(数据)'!B$4:C$99,2,0)</f>
        <v>3547BF340CFAB21102B2C30A1C60773E</v>
      </c>
      <c r="C449" s="87" t="s">
        <v>2514</v>
      </c>
      <c r="D449" s="14" t="s">
        <v>2515</v>
      </c>
      <c r="E449" s="87" t="s">
        <v>2048</v>
      </c>
      <c r="F449" s="87">
        <v>1</v>
      </c>
      <c r="G449" s="87">
        <v>1</v>
      </c>
      <c r="H449" s="14"/>
      <c r="I449" s="75"/>
      <c r="J449" s="75">
        <v>1</v>
      </c>
      <c r="K449" s="75" t="s">
        <v>162</v>
      </c>
      <c r="L449" s="75" t="s">
        <v>509</v>
      </c>
      <c r="M449" s="75" t="s">
        <v>535</v>
      </c>
      <c r="N449" s="75" t="s">
        <v>509</v>
      </c>
      <c r="O449" s="75" t="s">
        <v>535</v>
      </c>
      <c r="P449" s="75" t="s">
        <v>2410</v>
      </c>
    </row>
    <row r="450" spans="1:16">
      <c r="A450" s="63" t="s">
        <v>4282</v>
      </c>
      <c r="B450" s="14" t="str">
        <f>VLOOKUP(P450,'护理记录单文书字典(数据)'!B$4:C$99,2,0)</f>
        <v>3547BF340CFAB21102B2C30A1C60773E</v>
      </c>
      <c r="C450" s="87" t="s">
        <v>2516</v>
      </c>
      <c r="D450" s="14" t="s">
        <v>2517</v>
      </c>
      <c r="E450" s="87" t="s">
        <v>2048</v>
      </c>
      <c r="F450" s="87">
        <v>1</v>
      </c>
      <c r="G450" s="87">
        <v>1</v>
      </c>
      <c r="H450" s="14"/>
      <c r="I450" s="75"/>
      <c r="J450" s="75">
        <v>1</v>
      </c>
      <c r="K450" s="75" t="s">
        <v>162</v>
      </c>
      <c r="L450" s="75" t="s">
        <v>509</v>
      </c>
      <c r="M450" s="75" t="s">
        <v>535</v>
      </c>
      <c r="N450" s="75" t="s">
        <v>509</v>
      </c>
      <c r="O450" s="75" t="s">
        <v>535</v>
      </c>
      <c r="P450" s="75" t="s">
        <v>2410</v>
      </c>
    </row>
    <row r="451" spans="1:16">
      <c r="A451" s="63" t="s">
        <v>4282</v>
      </c>
      <c r="B451" s="14" t="str">
        <f>VLOOKUP(P451,'护理记录单文书字典(数据)'!B$4:C$99,2,0)</f>
        <v>3547BF340CFAB21102B2C30A1C60773E</v>
      </c>
      <c r="C451" s="87" t="s">
        <v>2518</v>
      </c>
      <c r="D451" s="14" t="s">
        <v>2519</v>
      </c>
      <c r="E451" s="87" t="s">
        <v>2048</v>
      </c>
      <c r="F451" s="87">
        <v>1</v>
      </c>
      <c r="G451" s="87">
        <v>1</v>
      </c>
      <c r="H451" s="14"/>
      <c r="I451" s="75"/>
      <c r="J451" s="75">
        <v>1</v>
      </c>
      <c r="K451" s="75" t="s">
        <v>162</v>
      </c>
      <c r="L451" s="75" t="s">
        <v>509</v>
      </c>
      <c r="M451" s="75" t="s">
        <v>535</v>
      </c>
      <c r="N451" s="75" t="s">
        <v>509</v>
      </c>
      <c r="O451" s="75" t="s">
        <v>535</v>
      </c>
      <c r="P451" s="75" t="s">
        <v>2410</v>
      </c>
    </row>
    <row r="452" spans="1:16">
      <c r="A452" s="63" t="s">
        <v>4282</v>
      </c>
      <c r="B452" s="14" t="str">
        <f>VLOOKUP(P452,'护理记录单文书字典(数据)'!B$4:C$99,2,0)</f>
        <v>3547BF340CFAB21102B2C30A1C60773E</v>
      </c>
      <c r="C452" s="87" t="s">
        <v>2520</v>
      </c>
      <c r="D452" s="14" t="s">
        <v>2521</v>
      </c>
      <c r="E452" s="87" t="s">
        <v>2048</v>
      </c>
      <c r="F452" s="87">
        <v>1</v>
      </c>
      <c r="G452" s="87">
        <v>1</v>
      </c>
      <c r="H452" s="14"/>
      <c r="I452" s="75"/>
      <c r="J452" s="75">
        <v>1</v>
      </c>
      <c r="K452" s="75" t="s">
        <v>162</v>
      </c>
      <c r="L452" s="75" t="s">
        <v>509</v>
      </c>
      <c r="M452" s="75" t="s">
        <v>535</v>
      </c>
      <c r="N452" s="75" t="s">
        <v>509</v>
      </c>
      <c r="O452" s="75" t="s">
        <v>535</v>
      </c>
      <c r="P452" s="75" t="s">
        <v>2410</v>
      </c>
    </row>
    <row r="453" spans="1:16">
      <c r="A453" s="63" t="s">
        <v>4282</v>
      </c>
      <c r="B453" s="14" t="str">
        <f>VLOOKUP(P453,'护理记录单文书字典(数据)'!B$4:C$99,2,0)</f>
        <v>3547BF340CFAB21102B2C30A1C60773E</v>
      </c>
      <c r="C453" s="87" t="s">
        <v>2522</v>
      </c>
      <c r="D453" s="14" t="s">
        <v>2523</v>
      </c>
      <c r="E453" s="87" t="s">
        <v>2048</v>
      </c>
      <c r="F453" s="87">
        <v>1</v>
      </c>
      <c r="G453" s="87">
        <v>1</v>
      </c>
      <c r="H453" s="14"/>
      <c r="I453" s="75"/>
      <c r="J453" s="75">
        <v>1</v>
      </c>
      <c r="K453" s="75" t="s">
        <v>162</v>
      </c>
      <c r="L453" s="75" t="s">
        <v>509</v>
      </c>
      <c r="M453" s="75" t="s">
        <v>535</v>
      </c>
      <c r="N453" s="75" t="s">
        <v>509</v>
      </c>
      <c r="O453" s="75" t="s">
        <v>535</v>
      </c>
      <c r="P453" s="75" t="s">
        <v>2410</v>
      </c>
    </row>
    <row r="454" spans="1:16">
      <c r="A454" s="63" t="s">
        <v>4282</v>
      </c>
      <c r="B454" s="14" t="str">
        <f>VLOOKUP(P454,'护理记录单文书字典(数据)'!B$4:C$99,2,0)</f>
        <v>3547BF340CFAB21102B2C30A1C60773E</v>
      </c>
      <c r="C454" s="87" t="s">
        <v>2524</v>
      </c>
      <c r="D454" s="14" t="s">
        <v>2525</v>
      </c>
      <c r="E454" s="87" t="s">
        <v>2048</v>
      </c>
      <c r="F454" s="87">
        <v>1</v>
      </c>
      <c r="G454" s="87">
        <v>1</v>
      </c>
      <c r="H454" s="14"/>
      <c r="I454" s="75"/>
      <c r="J454" s="75">
        <v>1</v>
      </c>
      <c r="K454" s="75" t="s">
        <v>162</v>
      </c>
      <c r="L454" s="75" t="s">
        <v>509</v>
      </c>
      <c r="M454" s="75" t="s">
        <v>535</v>
      </c>
      <c r="N454" s="75" t="s">
        <v>509</v>
      </c>
      <c r="O454" s="75" t="s">
        <v>535</v>
      </c>
      <c r="P454" s="75" t="s">
        <v>2410</v>
      </c>
    </row>
    <row r="455" spans="1:16">
      <c r="A455" s="63" t="s">
        <v>4282</v>
      </c>
      <c r="B455" s="14" t="str">
        <f>VLOOKUP(P455,'护理记录单文书字典(数据)'!B$4:C$99,2,0)</f>
        <v>3547BF340CFAB21102B2C30A1C60773E</v>
      </c>
      <c r="C455" s="87" t="s">
        <v>2526</v>
      </c>
      <c r="D455" s="14" t="s">
        <v>2527</v>
      </c>
      <c r="E455" s="87" t="s">
        <v>2048</v>
      </c>
      <c r="F455" s="87">
        <v>1</v>
      </c>
      <c r="G455" s="87">
        <v>1</v>
      </c>
      <c r="H455" s="14"/>
      <c r="I455" s="75"/>
      <c r="J455" s="75">
        <v>1</v>
      </c>
      <c r="K455" s="75" t="s">
        <v>162</v>
      </c>
      <c r="L455" s="75" t="s">
        <v>509</v>
      </c>
      <c r="M455" s="75" t="s">
        <v>535</v>
      </c>
      <c r="N455" s="75" t="s">
        <v>509</v>
      </c>
      <c r="O455" s="75" t="s">
        <v>535</v>
      </c>
      <c r="P455" s="75" t="s">
        <v>2410</v>
      </c>
    </row>
    <row r="456" spans="1:16">
      <c r="A456" s="63" t="s">
        <v>4282</v>
      </c>
      <c r="B456" s="14" t="str">
        <f>VLOOKUP(P456,'护理记录单文书字典(数据)'!B$4:C$99,2,0)</f>
        <v>3547BF340CFAB21102B2C30A1C60773E</v>
      </c>
      <c r="C456" s="87" t="s">
        <v>2528</v>
      </c>
      <c r="D456" s="14" t="s">
        <v>2529</v>
      </c>
      <c r="E456" s="87" t="s">
        <v>2048</v>
      </c>
      <c r="F456" s="87">
        <v>1</v>
      </c>
      <c r="G456" s="87">
        <v>1</v>
      </c>
      <c r="H456" s="14"/>
      <c r="I456" s="75"/>
      <c r="J456" s="75">
        <v>1</v>
      </c>
      <c r="K456" s="75" t="s">
        <v>162</v>
      </c>
      <c r="L456" s="75" t="s">
        <v>509</v>
      </c>
      <c r="M456" s="75" t="s">
        <v>535</v>
      </c>
      <c r="N456" s="75" t="s">
        <v>509</v>
      </c>
      <c r="O456" s="75" t="s">
        <v>535</v>
      </c>
      <c r="P456" s="75" t="s">
        <v>2410</v>
      </c>
    </row>
    <row r="457" spans="1:16">
      <c r="A457" s="63" t="s">
        <v>4282</v>
      </c>
      <c r="B457" s="14" t="str">
        <f>VLOOKUP(P457,'护理记录单文书字典(数据)'!B$4:C$99,2,0)</f>
        <v>3547BF340CFAB21102B2C30A1C60773E</v>
      </c>
      <c r="C457" s="87" t="s">
        <v>2530</v>
      </c>
      <c r="D457" s="14" t="s">
        <v>2531</v>
      </c>
      <c r="E457" s="87" t="s">
        <v>2048</v>
      </c>
      <c r="F457" s="87">
        <v>1</v>
      </c>
      <c r="G457" s="87">
        <v>1</v>
      </c>
      <c r="H457" s="14"/>
      <c r="I457" s="75"/>
      <c r="J457" s="75">
        <v>1</v>
      </c>
      <c r="K457" s="75" t="s">
        <v>162</v>
      </c>
      <c r="L457" s="75" t="s">
        <v>509</v>
      </c>
      <c r="M457" s="75" t="s">
        <v>535</v>
      </c>
      <c r="N457" s="75" t="s">
        <v>509</v>
      </c>
      <c r="O457" s="75" t="s">
        <v>535</v>
      </c>
      <c r="P457" s="75" t="s">
        <v>2410</v>
      </c>
    </row>
    <row r="458" spans="1:16">
      <c r="A458" s="63" t="s">
        <v>4282</v>
      </c>
      <c r="B458" s="14" t="str">
        <f>VLOOKUP(P458,'护理记录单文书字典(数据)'!B$4:C$99,2,0)</f>
        <v>3547BF340CFAB21102B2C30A1C60773E</v>
      </c>
      <c r="C458" s="87" t="s">
        <v>2532</v>
      </c>
      <c r="D458" s="14" t="s">
        <v>2533</v>
      </c>
      <c r="E458" s="87" t="s">
        <v>2048</v>
      </c>
      <c r="F458" s="87">
        <v>1</v>
      </c>
      <c r="G458" s="87">
        <v>1</v>
      </c>
      <c r="H458" s="14"/>
      <c r="I458" s="75"/>
      <c r="J458" s="75">
        <v>1</v>
      </c>
      <c r="K458" s="75" t="s">
        <v>162</v>
      </c>
      <c r="L458" s="75" t="s">
        <v>509</v>
      </c>
      <c r="M458" s="75" t="s">
        <v>535</v>
      </c>
      <c r="N458" s="75" t="s">
        <v>509</v>
      </c>
      <c r="O458" s="75" t="s">
        <v>535</v>
      </c>
      <c r="P458" s="75" t="s">
        <v>2410</v>
      </c>
    </row>
    <row r="459" spans="1:16">
      <c r="A459" s="63" t="s">
        <v>4282</v>
      </c>
      <c r="B459" s="14" t="str">
        <f>VLOOKUP(P459,'护理记录单文书字典(数据)'!B$4:C$99,2,0)</f>
        <v>3547BF340CFAB21102B2C30A1C60773E</v>
      </c>
      <c r="C459" s="87" t="s">
        <v>2534</v>
      </c>
      <c r="D459" s="14" t="s">
        <v>2535</v>
      </c>
      <c r="E459" s="87" t="s">
        <v>2048</v>
      </c>
      <c r="F459" s="87">
        <v>1</v>
      </c>
      <c r="G459" s="87">
        <v>1</v>
      </c>
      <c r="H459" s="14"/>
      <c r="I459" s="75"/>
      <c r="J459" s="75">
        <v>1</v>
      </c>
      <c r="K459" s="75" t="s">
        <v>162</v>
      </c>
      <c r="L459" s="75" t="s">
        <v>509</v>
      </c>
      <c r="M459" s="75" t="s">
        <v>535</v>
      </c>
      <c r="N459" s="75" t="s">
        <v>509</v>
      </c>
      <c r="O459" s="75" t="s">
        <v>535</v>
      </c>
      <c r="P459" s="75" t="s">
        <v>2410</v>
      </c>
    </row>
    <row r="460" spans="1:16">
      <c r="A460" s="63" t="s">
        <v>4282</v>
      </c>
      <c r="B460" s="14" t="str">
        <f>VLOOKUP(P460,'护理记录单文书字典(数据)'!B$4:C$99,2,0)</f>
        <v>3547BF340CFAB21102B2C30A1C60773E</v>
      </c>
      <c r="C460" s="87" t="s">
        <v>2536</v>
      </c>
      <c r="D460" s="14" t="s">
        <v>2537</v>
      </c>
      <c r="E460" s="87" t="s">
        <v>2048</v>
      </c>
      <c r="F460" s="87">
        <v>1</v>
      </c>
      <c r="G460" s="87">
        <v>1</v>
      </c>
      <c r="H460" s="14"/>
      <c r="I460" s="75"/>
      <c r="J460" s="75">
        <v>1</v>
      </c>
      <c r="K460" s="75" t="s">
        <v>162</v>
      </c>
      <c r="L460" s="75" t="s">
        <v>509</v>
      </c>
      <c r="M460" s="75" t="s">
        <v>535</v>
      </c>
      <c r="N460" s="75" t="s">
        <v>509</v>
      </c>
      <c r="O460" s="75" t="s">
        <v>535</v>
      </c>
      <c r="P460" s="75" t="s">
        <v>2410</v>
      </c>
    </row>
    <row r="461" spans="1:16">
      <c r="A461" s="63" t="s">
        <v>4282</v>
      </c>
      <c r="B461" s="14" t="str">
        <f>VLOOKUP(P461,'护理记录单文书字典(数据)'!B$4:C$99,2,0)</f>
        <v>3547BF340CFAB21102B2C30A1C60773E</v>
      </c>
      <c r="C461" s="87" t="s">
        <v>2538</v>
      </c>
      <c r="D461" s="14" t="s">
        <v>2539</v>
      </c>
      <c r="E461" s="87" t="s">
        <v>2048</v>
      </c>
      <c r="F461" s="87">
        <v>1</v>
      </c>
      <c r="G461" s="87">
        <v>1</v>
      </c>
      <c r="H461" s="14"/>
      <c r="I461" s="75"/>
      <c r="J461" s="75">
        <v>1</v>
      </c>
      <c r="K461" s="75" t="s">
        <v>162</v>
      </c>
      <c r="L461" s="75" t="s">
        <v>509</v>
      </c>
      <c r="M461" s="75" t="s">
        <v>535</v>
      </c>
      <c r="N461" s="75" t="s">
        <v>509</v>
      </c>
      <c r="O461" s="75" t="s">
        <v>535</v>
      </c>
      <c r="P461" s="75" t="s">
        <v>2410</v>
      </c>
    </row>
    <row r="462" spans="1:16">
      <c r="A462" s="63" t="s">
        <v>4282</v>
      </c>
      <c r="B462" s="14" t="str">
        <f>VLOOKUP(P462,'护理记录单文书字典(数据)'!B$4:C$99,2,0)</f>
        <v>3547BF340CFAB21102B2C30A1C60773E</v>
      </c>
      <c r="C462" s="87" t="s">
        <v>2540</v>
      </c>
      <c r="D462" s="14" t="s">
        <v>2541</v>
      </c>
      <c r="E462" s="87" t="s">
        <v>2048</v>
      </c>
      <c r="F462" s="87">
        <v>1</v>
      </c>
      <c r="G462" s="87">
        <v>1</v>
      </c>
      <c r="H462" s="14"/>
      <c r="I462" s="75"/>
      <c r="J462" s="75">
        <v>1</v>
      </c>
      <c r="K462" s="75" t="s">
        <v>162</v>
      </c>
      <c r="L462" s="75" t="s">
        <v>509</v>
      </c>
      <c r="M462" s="75" t="s">
        <v>535</v>
      </c>
      <c r="N462" s="75" t="s">
        <v>509</v>
      </c>
      <c r="O462" s="75" t="s">
        <v>535</v>
      </c>
      <c r="P462" s="75" t="s">
        <v>2410</v>
      </c>
    </row>
    <row r="463" spans="1:16">
      <c r="A463" s="63" t="s">
        <v>4282</v>
      </c>
      <c r="B463" s="14" t="str">
        <f>VLOOKUP(P463,'护理记录单文书字典(数据)'!B$4:C$99,2,0)</f>
        <v>3547BF340CFAB21102B2C30A1C60773E</v>
      </c>
      <c r="C463" s="87" t="s">
        <v>2542</v>
      </c>
      <c r="D463" s="14" t="s">
        <v>2543</v>
      </c>
      <c r="E463" s="87" t="s">
        <v>2104</v>
      </c>
      <c r="F463" s="87">
        <v>1</v>
      </c>
      <c r="G463" s="87">
        <v>1</v>
      </c>
      <c r="H463" s="14"/>
      <c r="I463" s="75"/>
      <c r="J463" s="75">
        <v>1</v>
      </c>
      <c r="K463" s="75" t="s">
        <v>162</v>
      </c>
      <c r="L463" s="75" t="s">
        <v>509</v>
      </c>
      <c r="M463" s="75" t="s">
        <v>535</v>
      </c>
      <c r="N463" s="75" t="s">
        <v>509</v>
      </c>
      <c r="O463" s="75" t="s">
        <v>535</v>
      </c>
      <c r="P463" s="75" t="s">
        <v>2410</v>
      </c>
    </row>
    <row r="464" spans="1:16">
      <c r="A464" s="63" t="s">
        <v>4282</v>
      </c>
      <c r="B464" s="14" t="str">
        <f>VLOOKUP(P464,'护理记录单文书字典(数据)'!B$4:C$99,2,0)</f>
        <v>3547BF340CFAB21102B2C30A1C60773E</v>
      </c>
      <c r="C464" s="87" t="s">
        <v>2218</v>
      </c>
      <c r="D464" s="14" t="s">
        <v>2219</v>
      </c>
      <c r="E464" s="87" t="s">
        <v>2104</v>
      </c>
      <c r="F464" s="87">
        <v>1</v>
      </c>
      <c r="G464" s="87">
        <v>1</v>
      </c>
      <c r="H464" s="14"/>
      <c r="I464" s="75"/>
      <c r="J464" s="75">
        <v>1</v>
      </c>
      <c r="K464" s="75" t="s">
        <v>162</v>
      </c>
      <c r="L464" s="75" t="s">
        <v>509</v>
      </c>
      <c r="M464" s="75" t="s">
        <v>535</v>
      </c>
      <c r="N464" s="75" t="s">
        <v>509</v>
      </c>
      <c r="O464" s="75" t="s">
        <v>535</v>
      </c>
      <c r="P464" s="75" t="s">
        <v>2410</v>
      </c>
    </row>
    <row r="465" spans="1:16">
      <c r="A465" s="63" t="s">
        <v>4282</v>
      </c>
      <c r="B465" s="14" t="str">
        <f>VLOOKUP(P465,'护理记录单文书字典(数据)'!B$4:C$99,2,0)</f>
        <v>C0D246706900B31108B48E5B8EBB6830</v>
      </c>
      <c r="C465" s="87" t="s">
        <v>2573</v>
      </c>
      <c r="D465" s="14" t="s">
        <v>2572</v>
      </c>
      <c r="E465" s="87" t="s">
        <v>2048</v>
      </c>
      <c r="F465" s="87">
        <v>1</v>
      </c>
      <c r="G465" s="87">
        <v>1</v>
      </c>
      <c r="H465" s="14"/>
      <c r="I465" s="75"/>
      <c r="J465" s="75">
        <v>1</v>
      </c>
      <c r="K465" s="75" t="s">
        <v>162</v>
      </c>
      <c r="L465" s="75" t="s">
        <v>509</v>
      </c>
      <c r="M465" s="75" t="s">
        <v>535</v>
      </c>
      <c r="N465" s="75" t="s">
        <v>509</v>
      </c>
      <c r="O465" s="75" t="s">
        <v>535</v>
      </c>
      <c r="P465" s="159" t="s">
        <v>4584</v>
      </c>
    </row>
    <row r="466" spans="1:16">
      <c r="A466" s="63" t="s">
        <v>4282</v>
      </c>
      <c r="B466" s="14" t="str">
        <f>VLOOKUP(P466,'护理记录单文书字典(数据)'!B$4:C$99,2,0)</f>
        <v>C0D246706900B31108B48E5B8EBB6830</v>
      </c>
      <c r="C466" s="87" t="s">
        <v>4585</v>
      </c>
      <c r="D466" s="159" t="s">
        <v>4586</v>
      </c>
      <c r="E466" s="87" t="s">
        <v>2048</v>
      </c>
      <c r="F466" s="87">
        <v>1</v>
      </c>
      <c r="G466" s="87">
        <v>1</v>
      </c>
      <c r="H466" s="14"/>
      <c r="I466" s="75"/>
      <c r="J466" s="75">
        <v>1</v>
      </c>
      <c r="K466" s="75" t="s">
        <v>162</v>
      </c>
      <c r="L466" s="75" t="s">
        <v>509</v>
      </c>
      <c r="M466" s="75" t="s">
        <v>535</v>
      </c>
      <c r="N466" s="75" t="s">
        <v>509</v>
      </c>
      <c r="O466" s="75" t="s">
        <v>535</v>
      </c>
      <c r="P466" s="159" t="s">
        <v>4584</v>
      </c>
    </row>
    <row r="467" spans="1:16">
      <c r="A467" s="63" t="s">
        <v>4282</v>
      </c>
      <c r="B467" s="14" t="str">
        <f>VLOOKUP(P467,'护理记录单文书字典(数据)'!B$4:C$99,2,0)</f>
        <v>C0D246706900B31108B48E5B8EBB6830</v>
      </c>
      <c r="C467" s="87" t="s">
        <v>4587</v>
      </c>
      <c r="D467" s="159" t="s">
        <v>2574</v>
      </c>
      <c r="E467" s="87" t="s">
        <v>2052</v>
      </c>
      <c r="F467" s="87">
        <v>1</v>
      </c>
      <c r="G467" s="87">
        <v>1</v>
      </c>
      <c r="H467" s="159" t="s">
        <v>4588</v>
      </c>
      <c r="I467" s="75"/>
      <c r="J467" s="75">
        <v>1</v>
      </c>
      <c r="K467" s="75" t="s">
        <v>162</v>
      </c>
      <c r="L467" s="75" t="s">
        <v>509</v>
      </c>
      <c r="M467" s="75" t="s">
        <v>535</v>
      </c>
      <c r="N467" s="75" t="s">
        <v>509</v>
      </c>
      <c r="O467" s="75" t="s">
        <v>535</v>
      </c>
      <c r="P467" s="159" t="s">
        <v>4584</v>
      </c>
    </row>
    <row r="468" spans="1:16">
      <c r="A468" s="63" t="s">
        <v>4282</v>
      </c>
      <c r="B468" s="14" t="str">
        <f>VLOOKUP(P468,'护理记录单文书字典(数据)'!B$4:C$99,2,0)</f>
        <v>C0D246706900B31108B48E5B8EBB6830</v>
      </c>
      <c r="C468" s="87" t="s">
        <v>4589</v>
      </c>
      <c r="D468" s="159" t="s">
        <v>4590</v>
      </c>
      <c r="E468" s="87" t="s">
        <v>2048</v>
      </c>
      <c r="F468" s="87">
        <v>1</v>
      </c>
      <c r="G468" s="87">
        <v>1</v>
      </c>
      <c r="H468" s="14"/>
      <c r="I468" s="75"/>
      <c r="J468" s="75">
        <v>1</v>
      </c>
      <c r="K468" s="75" t="s">
        <v>162</v>
      </c>
      <c r="L468" s="75" t="s">
        <v>509</v>
      </c>
      <c r="M468" s="75" t="s">
        <v>535</v>
      </c>
      <c r="N468" s="75" t="s">
        <v>509</v>
      </c>
      <c r="O468" s="75" t="s">
        <v>535</v>
      </c>
      <c r="P468" s="159" t="s">
        <v>4584</v>
      </c>
    </row>
    <row r="469" spans="1:16">
      <c r="A469" s="63" t="s">
        <v>4282</v>
      </c>
      <c r="B469" s="14" t="str">
        <f>VLOOKUP(P469,'护理记录单文书字典(数据)'!B$4:C$99,2,0)</f>
        <v>C0D246706900B31108B48E5B8EBB6830</v>
      </c>
      <c r="C469" s="87" t="s">
        <v>4591</v>
      </c>
      <c r="D469" s="159" t="s">
        <v>4592</v>
      </c>
      <c r="E469" s="87" t="s">
        <v>2048</v>
      </c>
      <c r="F469" s="87">
        <v>1</v>
      </c>
      <c r="G469" s="87">
        <v>1</v>
      </c>
      <c r="H469" s="14"/>
      <c r="I469" s="75"/>
      <c r="J469" s="75">
        <v>1</v>
      </c>
      <c r="K469" s="75" t="s">
        <v>162</v>
      </c>
      <c r="L469" s="75" t="s">
        <v>509</v>
      </c>
      <c r="M469" s="75" t="s">
        <v>535</v>
      </c>
      <c r="N469" s="75" t="s">
        <v>509</v>
      </c>
      <c r="O469" s="75" t="s">
        <v>535</v>
      </c>
      <c r="P469" s="159" t="s">
        <v>4584</v>
      </c>
    </row>
    <row r="470" spans="1:16">
      <c r="A470" s="63" t="s">
        <v>4282</v>
      </c>
      <c r="B470" s="14" t="str">
        <f>VLOOKUP(P470,'护理记录单文书字典(数据)'!B$4:C$99,2,0)</f>
        <v>C0D246706900B31108B48E5B8EBB6830</v>
      </c>
      <c r="C470" s="87" t="s">
        <v>4593</v>
      </c>
      <c r="D470" s="159" t="s">
        <v>4594</v>
      </c>
      <c r="E470" s="87" t="s">
        <v>2048</v>
      </c>
      <c r="F470" s="87">
        <v>1</v>
      </c>
      <c r="G470" s="87">
        <v>1</v>
      </c>
      <c r="H470" s="14"/>
      <c r="I470" s="75"/>
      <c r="J470" s="75">
        <v>1</v>
      </c>
      <c r="K470" s="75" t="s">
        <v>162</v>
      </c>
      <c r="L470" s="75" t="s">
        <v>509</v>
      </c>
      <c r="M470" s="75" t="s">
        <v>535</v>
      </c>
      <c r="N470" s="75" t="s">
        <v>509</v>
      </c>
      <c r="O470" s="75" t="s">
        <v>535</v>
      </c>
      <c r="P470" s="159" t="s">
        <v>4584</v>
      </c>
    </row>
    <row r="471" spans="1:16">
      <c r="A471" s="63" t="s">
        <v>4282</v>
      </c>
      <c r="B471" s="14" t="str">
        <f>VLOOKUP(P471,'护理记录单文书字典(数据)'!B$4:C$99,2,0)</f>
        <v>C0D246706900B31108B48E5B8EBB6830</v>
      </c>
      <c r="C471" s="87" t="s">
        <v>2585</v>
      </c>
      <c r="D471" s="159" t="s">
        <v>285</v>
      </c>
      <c r="E471" s="87" t="s">
        <v>2048</v>
      </c>
      <c r="F471" s="87">
        <v>1</v>
      </c>
      <c r="G471" s="87">
        <v>1</v>
      </c>
      <c r="H471" s="14"/>
      <c r="I471" s="75"/>
      <c r="J471" s="75">
        <v>1</v>
      </c>
      <c r="K471" s="75" t="s">
        <v>162</v>
      </c>
      <c r="L471" s="75" t="s">
        <v>509</v>
      </c>
      <c r="M471" s="75" t="s">
        <v>535</v>
      </c>
      <c r="N471" s="75" t="s">
        <v>509</v>
      </c>
      <c r="O471" s="75" t="s">
        <v>535</v>
      </c>
      <c r="P471" s="159" t="s">
        <v>4584</v>
      </c>
    </row>
    <row r="472" spans="1:16">
      <c r="A472" s="63" t="s">
        <v>4282</v>
      </c>
      <c r="B472" s="14" t="str">
        <f>VLOOKUP(P472,'护理记录单文书字典(数据)'!B$4:C$99,2,0)</f>
        <v>C0D246706900B31108B48E5B8EBB6830</v>
      </c>
      <c r="C472" s="87" t="s">
        <v>4595</v>
      </c>
      <c r="D472" s="159" t="s">
        <v>4596</v>
      </c>
      <c r="E472" s="87" t="s">
        <v>2048</v>
      </c>
      <c r="F472" s="87">
        <v>1</v>
      </c>
      <c r="G472" s="87">
        <v>1</v>
      </c>
      <c r="H472" s="14"/>
      <c r="I472" s="75"/>
      <c r="J472" s="75">
        <v>1</v>
      </c>
      <c r="K472" s="75" t="s">
        <v>162</v>
      </c>
      <c r="L472" s="75" t="s">
        <v>509</v>
      </c>
      <c r="M472" s="75" t="s">
        <v>535</v>
      </c>
      <c r="N472" s="75" t="s">
        <v>509</v>
      </c>
      <c r="O472" s="75" t="s">
        <v>535</v>
      </c>
      <c r="P472" s="159" t="s">
        <v>4584</v>
      </c>
    </row>
    <row r="473" spans="1:16">
      <c r="A473" s="63" t="s">
        <v>4282</v>
      </c>
      <c r="B473" s="14" t="str">
        <f>VLOOKUP(P473,'护理记录单文书字典(数据)'!B$4:C$99,2,0)</f>
        <v>C0D246706900B31108B48E5B8EBB6830</v>
      </c>
      <c r="C473" s="87" t="s">
        <v>2587</v>
      </c>
      <c r="D473" s="159" t="s">
        <v>1087</v>
      </c>
      <c r="E473" s="87" t="s">
        <v>2052</v>
      </c>
      <c r="F473" s="87">
        <v>1</v>
      </c>
      <c r="G473" s="87">
        <v>1</v>
      </c>
      <c r="H473" s="159" t="s">
        <v>1086</v>
      </c>
      <c r="I473" s="75"/>
      <c r="J473" s="75">
        <v>1</v>
      </c>
      <c r="K473" s="75" t="s">
        <v>162</v>
      </c>
      <c r="L473" s="75" t="s">
        <v>509</v>
      </c>
      <c r="M473" s="75" t="s">
        <v>535</v>
      </c>
      <c r="N473" s="75" t="s">
        <v>509</v>
      </c>
      <c r="O473" s="75" t="s">
        <v>535</v>
      </c>
      <c r="P473" s="159" t="s">
        <v>4584</v>
      </c>
    </row>
    <row r="474" spans="1:16">
      <c r="A474" s="63" t="s">
        <v>4282</v>
      </c>
      <c r="B474" s="14" t="str">
        <f>VLOOKUP(P474,'护理记录单文书字典(数据)'!B$4:C$99,2,0)</f>
        <v>C0D246706900B31108B48E5B8EBB6830</v>
      </c>
      <c r="C474" s="87" t="s">
        <v>2597</v>
      </c>
      <c r="D474" s="159" t="s">
        <v>2598</v>
      </c>
      <c r="E474" s="87" t="s">
        <v>2048</v>
      </c>
      <c r="F474" s="87">
        <v>1</v>
      </c>
      <c r="G474" s="87">
        <v>1</v>
      </c>
      <c r="H474" s="14"/>
      <c r="I474" s="75"/>
      <c r="J474" s="75">
        <v>1</v>
      </c>
      <c r="K474" s="75" t="s">
        <v>162</v>
      </c>
      <c r="L474" s="75" t="s">
        <v>509</v>
      </c>
      <c r="M474" s="75" t="s">
        <v>535</v>
      </c>
      <c r="N474" s="75" t="s">
        <v>509</v>
      </c>
      <c r="O474" s="75" t="s">
        <v>535</v>
      </c>
      <c r="P474" s="159" t="s">
        <v>4584</v>
      </c>
    </row>
    <row r="475" spans="1:16">
      <c r="A475" s="63" t="s">
        <v>4282</v>
      </c>
      <c r="B475" s="14" t="str">
        <f>VLOOKUP(P475,'护理记录单文书字典(数据)'!B$4:C$99,2,0)</f>
        <v>C0D246706900B31108B48E5B8EBB6830</v>
      </c>
      <c r="C475" s="87" t="s">
        <v>4597</v>
      </c>
      <c r="D475" s="159" t="s">
        <v>4598</v>
      </c>
      <c r="E475" s="87" t="s">
        <v>2048</v>
      </c>
      <c r="F475" s="87">
        <v>1</v>
      </c>
      <c r="G475" s="87">
        <v>1</v>
      </c>
      <c r="H475" s="14"/>
      <c r="I475" s="75"/>
      <c r="J475" s="75">
        <v>1</v>
      </c>
      <c r="K475" s="75" t="s">
        <v>162</v>
      </c>
      <c r="L475" s="75" t="s">
        <v>509</v>
      </c>
      <c r="M475" s="75" t="s">
        <v>535</v>
      </c>
      <c r="N475" s="75" t="s">
        <v>509</v>
      </c>
      <c r="O475" s="75" t="s">
        <v>535</v>
      </c>
      <c r="P475" s="159" t="s">
        <v>4584</v>
      </c>
    </row>
    <row r="476" spans="1:16">
      <c r="A476" s="63" t="s">
        <v>4282</v>
      </c>
      <c r="B476" s="14" t="str">
        <f>VLOOKUP(P476,'护理记录单文书字典(数据)'!B$4:C$99,2,0)</f>
        <v>C0D246706900B31108B48E5B8EBB6830</v>
      </c>
      <c r="C476" s="87" t="s">
        <v>4599</v>
      </c>
      <c r="D476" s="159" t="s">
        <v>4600</v>
      </c>
      <c r="E476" s="87" t="s">
        <v>2048</v>
      </c>
      <c r="F476" s="87">
        <v>1</v>
      </c>
      <c r="G476" s="87">
        <v>1</v>
      </c>
      <c r="H476" s="14"/>
      <c r="I476" s="75"/>
      <c r="J476" s="75">
        <v>1</v>
      </c>
      <c r="K476" s="75" t="s">
        <v>162</v>
      </c>
      <c r="L476" s="75" t="s">
        <v>509</v>
      </c>
      <c r="M476" s="75" t="s">
        <v>535</v>
      </c>
      <c r="N476" s="75" t="s">
        <v>509</v>
      </c>
      <c r="O476" s="75" t="s">
        <v>535</v>
      </c>
      <c r="P476" s="159" t="s">
        <v>4584</v>
      </c>
    </row>
    <row r="477" spans="1:16">
      <c r="A477" s="63" t="s">
        <v>4282</v>
      </c>
      <c r="B477" s="14" t="str">
        <f>VLOOKUP(P477,'护理记录单文书字典(数据)'!B$4:C$99,2,0)</f>
        <v>C0D246706900B31108B48E5B8EBB6830</v>
      </c>
      <c r="C477" s="87" t="s">
        <v>4601</v>
      </c>
      <c r="D477" s="159" t="s">
        <v>4602</v>
      </c>
      <c r="E477" s="87" t="s">
        <v>2048</v>
      </c>
      <c r="F477" s="87">
        <v>1</v>
      </c>
      <c r="G477" s="87">
        <v>1</v>
      </c>
      <c r="H477" s="14"/>
      <c r="I477" s="75"/>
      <c r="J477" s="75">
        <v>1</v>
      </c>
      <c r="K477" s="75" t="s">
        <v>162</v>
      </c>
      <c r="L477" s="75" t="s">
        <v>509</v>
      </c>
      <c r="M477" s="75" t="s">
        <v>535</v>
      </c>
      <c r="N477" s="75" t="s">
        <v>509</v>
      </c>
      <c r="O477" s="75" t="s">
        <v>535</v>
      </c>
      <c r="P477" s="159" t="s">
        <v>4584</v>
      </c>
    </row>
    <row r="478" spans="1:16">
      <c r="A478" s="63" t="s">
        <v>4282</v>
      </c>
      <c r="B478" s="14" t="str">
        <f>VLOOKUP(P478,'护理记录单文书字典(数据)'!B$4:C$99,2,0)</f>
        <v>C0D246706900B31108B48E5B8EBB6830</v>
      </c>
      <c r="C478" s="87" t="s">
        <v>4603</v>
      </c>
      <c r="D478" s="159" t="s">
        <v>4604</v>
      </c>
      <c r="E478" s="87" t="s">
        <v>2048</v>
      </c>
      <c r="F478" s="87">
        <v>1</v>
      </c>
      <c r="G478" s="87">
        <v>1</v>
      </c>
      <c r="H478" s="14"/>
      <c r="I478" s="75"/>
      <c r="J478" s="75">
        <v>1</v>
      </c>
      <c r="K478" s="75" t="s">
        <v>162</v>
      </c>
      <c r="L478" s="75" t="s">
        <v>509</v>
      </c>
      <c r="M478" s="75" t="s">
        <v>535</v>
      </c>
      <c r="N478" s="75" t="s">
        <v>509</v>
      </c>
      <c r="O478" s="75" t="s">
        <v>535</v>
      </c>
      <c r="P478" s="159" t="s">
        <v>4584</v>
      </c>
    </row>
    <row r="479" spans="1:16">
      <c r="A479" s="63" t="s">
        <v>4282</v>
      </c>
      <c r="B479" s="14" t="str">
        <f>VLOOKUP(P479,'护理记录单文书字典(数据)'!B$4:C$99,2,0)</f>
        <v>C0D246706900B31108B48E5B8EBB6830</v>
      </c>
      <c r="C479" s="87" t="s">
        <v>2599</v>
      </c>
      <c r="D479" s="159" t="s">
        <v>4605</v>
      </c>
      <c r="E479" s="87" t="s">
        <v>2048</v>
      </c>
      <c r="F479" s="87">
        <v>1</v>
      </c>
      <c r="G479" s="87">
        <v>1</v>
      </c>
      <c r="H479" s="14"/>
      <c r="I479" s="75"/>
      <c r="J479" s="75">
        <v>1</v>
      </c>
      <c r="K479" s="75" t="s">
        <v>162</v>
      </c>
      <c r="L479" s="75" t="s">
        <v>509</v>
      </c>
      <c r="M479" s="75" t="s">
        <v>535</v>
      </c>
      <c r="N479" s="75" t="s">
        <v>509</v>
      </c>
      <c r="O479" s="75" t="s">
        <v>535</v>
      </c>
      <c r="P479" s="159" t="s">
        <v>4584</v>
      </c>
    </row>
    <row r="480" spans="1:16">
      <c r="A480" s="63" t="s">
        <v>4282</v>
      </c>
      <c r="B480" s="14" t="str">
        <f>VLOOKUP(P480,'护理记录单文书字典(数据)'!B$4:C$99,2,0)</f>
        <v>C0D246706900B31108B48E5B8EBB6830</v>
      </c>
      <c r="C480" s="87" t="s">
        <v>4606</v>
      </c>
      <c r="D480" s="159" t="s">
        <v>4607</v>
      </c>
      <c r="E480" s="87" t="s">
        <v>2048</v>
      </c>
      <c r="F480" s="87">
        <v>1</v>
      </c>
      <c r="G480" s="87">
        <v>1</v>
      </c>
      <c r="H480" s="14"/>
      <c r="I480" s="75"/>
      <c r="J480" s="75">
        <v>1</v>
      </c>
      <c r="K480" s="75" t="s">
        <v>162</v>
      </c>
      <c r="L480" s="75" t="s">
        <v>509</v>
      </c>
      <c r="M480" s="75" t="s">
        <v>535</v>
      </c>
      <c r="N480" s="75" t="s">
        <v>509</v>
      </c>
      <c r="O480" s="75" t="s">
        <v>535</v>
      </c>
      <c r="P480" s="159" t="s">
        <v>4584</v>
      </c>
    </row>
    <row r="481" spans="1:16">
      <c r="A481" s="63" t="s">
        <v>4282</v>
      </c>
      <c r="B481" s="14" t="str">
        <f>VLOOKUP(P481,'护理记录单文书字典(数据)'!B$4:C$99,2,0)</f>
        <v>C0D246706900B31108B48E5B8EBB6830</v>
      </c>
      <c r="C481" s="87" t="s">
        <v>4608</v>
      </c>
      <c r="D481" s="159" t="s">
        <v>4609</v>
      </c>
      <c r="E481" s="87" t="s">
        <v>2048</v>
      </c>
      <c r="F481" s="87">
        <v>1</v>
      </c>
      <c r="G481" s="87">
        <v>1</v>
      </c>
      <c r="H481" s="14"/>
      <c r="I481" s="75"/>
      <c r="J481" s="75">
        <v>1</v>
      </c>
      <c r="K481" s="75" t="s">
        <v>162</v>
      </c>
      <c r="L481" s="75" t="s">
        <v>509</v>
      </c>
      <c r="M481" s="75" t="s">
        <v>535</v>
      </c>
      <c r="N481" s="75" t="s">
        <v>509</v>
      </c>
      <c r="O481" s="75" t="s">
        <v>535</v>
      </c>
      <c r="P481" s="159" t="s">
        <v>4584</v>
      </c>
    </row>
    <row r="482" spans="1:16">
      <c r="A482" s="63" t="s">
        <v>4282</v>
      </c>
      <c r="B482" s="14" t="str">
        <f>VLOOKUP(P482,'护理记录单文书字典(数据)'!B$4:C$99,2,0)</f>
        <v>C0D246706900B31108B48E5B8EBB6830</v>
      </c>
      <c r="C482" s="87" t="s">
        <v>4610</v>
      </c>
      <c r="D482" s="159" t="s">
        <v>4611</v>
      </c>
      <c r="E482" s="87" t="s">
        <v>2048</v>
      </c>
      <c r="F482" s="87">
        <v>1</v>
      </c>
      <c r="G482" s="87">
        <v>1</v>
      </c>
      <c r="H482" s="14"/>
      <c r="I482" s="75"/>
      <c r="J482" s="75">
        <v>1</v>
      </c>
      <c r="K482" s="75" t="s">
        <v>162</v>
      </c>
      <c r="L482" s="75" t="s">
        <v>509</v>
      </c>
      <c r="M482" s="75" t="s">
        <v>535</v>
      </c>
      <c r="N482" s="75" t="s">
        <v>509</v>
      </c>
      <c r="O482" s="75" t="s">
        <v>535</v>
      </c>
      <c r="P482" s="159" t="s">
        <v>4584</v>
      </c>
    </row>
    <row r="483" spans="1:16">
      <c r="A483" s="63" t="s">
        <v>4282</v>
      </c>
      <c r="B483" s="14" t="str">
        <f>VLOOKUP(P483,'护理记录单文书字典(数据)'!B$4:C$99,2,0)</f>
        <v>C0D246706900B31108B48E5B8EBB6830</v>
      </c>
      <c r="C483" s="159" t="s">
        <v>4649</v>
      </c>
      <c r="D483" s="159" t="s">
        <v>4612</v>
      </c>
      <c r="E483" s="87" t="s">
        <v>2048</v>
      </c>
      <c r="F483" s="87">
        <v>1</v>
      </c>
      <c r="G483" s="87">
        <v>1</v>
      </c>
      <c r="H483" s="14"/>
      <c r="I483" s="75"/>
      <c r="J483" s="75">
        <v>1</v>
      </c>
      <c r="K483" s="75" t="s">
        <v>162</v>
      </c>
      <c r="L483" s="75" t="s">
        <v>509</v>
      </c>
      <c r="M483" s="75" t="s">
        <v>535</v>
      </c>
      <c r="N483" s="75" t="s">
        <v>509</v>
      </c>
      <c r="O483" s="75" t="s">
        <v>535</v>
      </c>
      <c r="P483" s="159" t="s">
        <v>4584</v>
      </c>
    </row>
    <row r="484" spans="1:16">
      <c r="A484" s="63" t="s">
        <v>4282</v>
      </c>
      <c r="B484" s="14" t="str">
        <f>VLOOKUP(P484,'护理记录单文书字典(数据)'!B$4:C$99,2,0)</f>
        <v>C0D246706900B31108B48E5B8EBB6830</v>
      </c>
      <c r="C484" s="159" t="s">
        <v>4613</v>
      </c>
      <c r="D484" s="159" t="s">
        <v>4614</v>
      </c>
      <c r="E484" s="87" t="s">
        <v>2048</v>
      </c>
      <c r="F484" s="87">
        <v>1</v>
      </c>
      <c r="G484" s="87">
        <v>1</v>
      </c>
      <c r="H484" s="14"/>
      <c r="I484" s="75"/>
      <c r="J484" s="75">
        <v>1</v>
      </c>
      <c r="K484" s="75" t="s">
        <v>162</v>
      </c>
      <c r="L484" s="75" t="s">
        <v>509</v>
      </c>
      <c r="M484" s="75" t="s">
        <v>535</v>
      </c>
      <c r="N484" s="75" t="s">
        <v>509</v>
      </c>
      <c r="O484" s="75" t="s">
        <v>535</v>
      </c>
      <c r="P484" s="159" t="s">
        <v>4584</v>
      </c>
    </row>
    <row r="485" spans="1:16">
      <c r="A485" s="63" t="s">
        <v>4282</v>
      </c>
      <c r="B485" s="14" t="str">
        <f>VLOOKUP(P485,'护理记录单文书字典(数据)'!B$4:C$99,2,0)</f>
        <v>C0D246706900B31108B48E5B8EBB6830</v>
      </c>
      <c r="C485" s="159" t="s">
        <v>4615</v>
      </c>
      <c r="D485" s="159" t="s">
        <v>4616</v>
      </c>
      <c r="E485" s="87" t="s">
        <v>2048</v>
      </c>
      <c r="F485" s="87">
        <v>1</v>
      </c>
      <c r="G485" s="87">
        <v>1</v>
      </c>
      <c r="H485" s="14"/>
      <c r="I485" s="75"/>
      <c r="J485" s="75">
        <v>1</v>
      </c>
      <c r="K485" s="75" t="s">
        <v>162</v>
      </c>
      <c r="L485" s="75" t="s">
        <v>509</v>
      </c>
      <c r="M485" s="75" t="s">
        <v>535</v>
      </c>
      <c r="N485" s="75" t="s">
        <v>509</v>
      </c>
      <c r="O485" s="75" t="s">
        <v>535</v>
      </c>
      <c r="P485" s="159" t="s">
        <v>4584</v>
      </c>
    </row>
    <row r="486" spans="1:16">
      <c r="A486" s="63" t="s">
        <v>4282</v>
      </c>
      <c r="B486" s="14" t="str">
        <f>VLOOKUP(P486,'护理记录单文书字典(数据)'!B$4:C$99,2,0)</f>
        <v>C0D246706900B31108B48E5B8EBB6830</v>
      </c>
      <c r="C486" s="159" t="s">
        <v>4617</v>
      </c>
      <c r="D486" s="159" t="s">
        <v>4618</v>
      </c>
      <c r="E486" s="87" t="s">
        <v>2048</v>
      </c>
      <c r="F486" s="87">
        <v>1</v>
      </c>
      <c r="G486" s="87">
        <v>1</v>
      </c>
      <c r="H486" s="14"/>
      <c r="I486" s="75"/>
      <c r="J486" s="75">
        <v>1</v>
      </c>
      <c r="K486" s="75" t="s">
        <v>162</v>
      </c>
      <c r="L486" s="75" t="s">
        <v>509</v>
      </c>
      <c r="M486" s="75" t="s">
        <v>535</v>
      </c>
      <c r="N486" s="75" t="s">
        <v>509</v>
      </c>
      <c r="O486" s="75" t="s">
        <v>535</v>
      </c>
      <c r="P486" s="159" t="s">
        <v>4584</v>
      </c>
    </row>
    <row r="487" spans="1:16">
      <c r="A487" s="63" t="s">
        <v>4282</v>
      </c>
      <c r="B487" s="14" t="str">
        <f>VLOOKUP(P487,'护理记录单文书字典(数据)'!B$4:C$99,2,0)</f>
        <v>C0D246706900B31108B48E5B8EBB6830</v>
      </c>
      <c r="C487" s="159" t="s">
        <v>4619</v>
      </c>
      <c r="D487" s="159" t="s">
        <v>4620</v>
      </c>
      <c r="E487" s="87" t="s">
        <v>2048</v>
      </c>
      <c r="F487" s="87">
        <v>1</v>
      </c>
      <c r="G487" s="87">
        <v>1</v>
      </c>
      <c r="H487" s="14"/>
      <c r="I487" s="75"/>
      <c r="J487" s="75">
        <v>1</v>
      </c>
      <c r="K487" s="75" t="s">
        <v>162</v>
      </c>
      <c r="L487" s="75" t="s">
        <v>509</v>
      </c>
      <c r="M487" s="75" t="s">
        <v>535</v>
      </c>
      <c r="N487" s="75" t="s">
        <v>509</v>
      </c>
      <c r="O487" s="75" t="s">
        <v>535</v>
      </c>
      <c r="P487" s="159" t="s">
        <v>4584</v>
      </c>
    </row>
    <row r="488" spans="1:16">
      <c r="A488" s="63" t="s">
        <v>4282</v>
      </c>
      <c r="B488" s="14" t="str">
        <f>VLOOKUP(P488,'护理记录单文书字典(数据)'!B$4:C$99,2,0)</f>
        <v>C0D246706900B31108B48E5B8EBB6830</v>
      </c>
      <c r="C488" s="159" t="s">
        <v>4621</v>
      </c>
      <c r="D488" s="159" t="s">
        <v>2600</v>
      </c>
      <c r="E488" s="87" t="s">
        <v>2052</v>
      </c>
      <c r="F488" s="87">
        <v>1</v>
      </c>
      <c r="G488" s="87">
        <v>1</v>
      </c>
      <c r="H488" s="159" t="s">
        <v>4622</v>
      </c>
      <c r="I488" s="75"/>
      <c r="J488" s="75">
        <v>1</v>
      </c>
      <c r="K488" s="75" t="s">
        <v>162</v>
      </c>
      <c r="L488" s="75" t="s">
        <v>509</v>
      </c>
      <c r="M488" s="75" t="s">
        <v>535</v>
      </c>
      <c r="N488" s="75" t="s">
        <v>509</v>
      </c>
      <c r="O488" s="75" t="s">
        <v>535</v>
      </c>
      <c r="P488" s="159" t="s">
        <v>4584</v>
      </c>
    </row>
    <row r="489" spans="1:16">
      <c r="A489" s="63" t="s">
        <v>4282</v>
      </c>
      <c r="B489" s="14" t="str">
        <f>VLOOKUP(P489,'护理记录单文书字典(数据)'!B$4:C$99,2,0)</f>
        <v>C0D246706900B31108B48E5B8EBB6830</v>
      </c>
      <c r="C489" s="159" t="s">
        <v>4623</v>
      </c>
      <c r="D489" s="159" t="s">
        <v>4624</v>
      </c>
      <c r="E489" s="87" t="s">
        <v>2052</v>
      </c>
      <c r="F489" s="87">
        <v>1</v>
      </c>
      <c r="G489" s="87">
        <v>1</v>
      </c>
      <c r="H489" s="159" t="s">
        <v>4625</v>
      </c>
      <c r="I489" s="75"/>
      <c r="J489" s="75">
        <v>1</v>
      </c>
      <c r="K489" s="75" t="s">
        <v>162</v>
      </c>
      <c r="L489" s="75" t="s">
        <v>509</v>
      </c>
      <c r="M489" s="75" t="s">
        <v>535</v>
      </c>
      <c r="N489" s="75" t="s">
        <v>509</v>
      </c>
      <c r="O489" s="75" t="s">
        <v>535</v>
      </c>
      <c r="P489" s="159" t="s">
        <v>4584</v>
      </c>
    </row>
    <row r="490" spans="1:16">
      <c r="A490" s="63" t="s">
        <v>4282</v>
      </c>
      <c r="B490" s="14" t="str">
        <f>VLOOKUP(P490,'护理记录单文书字典(数据)'!B$4:C$99,2,0)</f>
        <v>C0D246706900B31108B48E5B8EBB6830</v>
      </c>
      <c r="C490" s="159" t="s">
        <v>4626</v>
      </c>
      <c r="D490" s="159" t="s">
        <v>4627</v>
      </c>
      <c r="E490" s="87" t="s">
        <v>2052</v>
      </c>
      <c r="F490" s="87">
        <v>1</v>
      </c>
      <c r="G490" s="87">
        <v>1</v>
      </c>
      <c r="H490" s="159" t="s">
        <v>4626</v>
      </c>
      <c r="I490" s="75"/>
      <c r="J490" s="75">
        <v>1</v>
      </c>
      <c r="K490" s="75" t="s">
        <v>162</v>
      </c>
      <c r="L490" s="75" t="s">
        <v>509</v>
      </c>
      <c r="M490" s="75" t="s">
        <v>535</v>
      </c>
      <c r="N490" s="75" t="s">
        <v>509</v>
      </c>
      <c r="O490" s="75" t="s">
        <v>535</v>
      </c>
      <c r="P490" s="159" t="s">
        <v>4584</v>
      </c>
    </row>
    <row r="491" spans="1:16">
      <c r="A491" s="63" t="s">
        <v>4282</v>
      </c>
      <c r="B491" s="14" t="str">
        <f>VLOOKUP(P491,'护理记录单文书字典(数据)'!B$4:C$99,2,0)</f>
        <v>C0D246706900B31108B48E5B8EBB6830</v>
      </c>
      <c r="C491" s="159" t="s">
        <v>4628</v>
      </c>
      <c r="D491" s="159" t="s">
        <v>4629</v>
      </c>
      <c r="E491" s="87" t="s">
        <v>2052</v>
      </c>
      <c r="F491" s="87">
        <v>1</v>
      </c>
      <c r="G491" s="87">
        <v>1</v>
      </c>
      <c r="H491" s="159" t="s">
        <v>4313</v>
      </c>
      <c r="I491" s="75"/>
      <c r="J491" s="75">
        <v>1</v>
      </c>
      <c r="K491" s="75" t="s">
        <v>162</v>
      </c>
      <c r="L491" s="75" t="s">
        <v>509</v>
      </c>
      <c r="M491" s="75" t="s">
        <v>535</v>
      </c>
      <c r="N491" s="75" t="s">
        <v>509</v>
      </c>
      <c r="O491" s="75" t="s">
        <v>535</v>
      </c>
      <c r="P491" s="159" t="s">
        <v>4584</v>
      </c>
    </row>
    <row r="492" spans="1:16">
      <c r="A492" s="63" t="s">
        <v>4282</v>
      </c>
      <c r="B492" s="14" t="str">
        <f>VLOOKUP(P492,'护理记录单文书字典(数据)'!B$4:C$99,2,0)</f>
        <v>C0D246706900B31108B48E5B8EBB6830</v>
      </c>
      <c r="C492" s="159" t="s">
        <v>4630</v>
      </c>
      <c r="D492" s="159" t="s">
        <v>1917</v>
      </c>
      <c r="E492" s="87" t="s">
        <v>2052</v>
      </c>
      <c r="F492" s="87">
        <v>1</v>
      </c>
      <c r="G492" s="87">
        <v>1</v>
      </c>
      <c r="H492" s="159" t="s">
        <v>4630</v>
      </c>
      <c r="I492" s="75"/>
      <c r="J492" s="75">
        <v>1</v>
      </c>
      <c r="K492" s="75" t="s">
        <v>162</v>
      </c>
      <c r="L492" s="75" t="s">
        <v>509</v>
      </c>
      <c r="M492" s="75" t="s">
        <v>535</v>
      </c>
      <c r="N492" s="75" t="s">
        <v>509</v>
      </c>
      <c r="O492" s="75" t="s">
        <v>535</v>
      </c>
      <c r="P492" s="159" t="s">
        <v>4584</v>
      </c>
    </row>
    <row r="493" spans="1:16">
      <c r="A493" s="63" t="s">
        <v>4282</v>
      </c>
      <c r="B493" s="14" t="str">
        <f>VLOOKUP(P493,'护理记录单文书字典(数据)'!B$4:C$99,2,0)</f>
        <v>C0D246706900B31108B48E5B8EBB6830</v>
      </c>
      <c r="C493" s="159" t="s">
        <v>4631</v>
      </c>
      <c r="D493" s="159" t="s">
        <v>4632</v>
      </c>
      <c r="E493" s="87" t="s">
        <v>2052</v>
      </c>
      <c r="F493" s="87">
        <v>1</v>
      </c>
      <c r="G493" s="87">
        <v>1</v>
      </c>
      <c r="H493" s="159" t="s">
        <v>4631</v>
      </c>
      <c r="I493" s="75"/>
      <c r="J493" s="75">
        <v>1</v>
      </c>
      <c r="K493" s="75" t="s">
        <v>162</v>
      </c>
      <c r="L493" s="75" t="s">
        <v>509</v>
      </c>
      <c r="M493" s="75" t="s">
        <v>535</v>
      </c>
      <c r="N493" s="75" t="s">
        <v>509</v>
      </c>
      <c r="O493" s="75" t="s">
        <v>535</v>
      </c>
      <c r="P493" s="159" t="s">
        <v>4584</v>
      </c>
    </row>
    <row r="494" spans="1:16">
      <c r="A494" s="63" t="s">
        <v>4282</v>
      </c>
      <c r="B494" s="14" t="str">
        <f>VLOOKUP(P494,'护理记录单文书字典(数据)'!B$4:C$99,2,0)</f>
        <v>C0D246706900B31108B48E5B8EBB6830</v>
      </c>
      <c r="C494" s="159" t="s">
        <v>4633</v>
      </c>
      <c r="D494" s="159" t="s">
        <v>4634</v>
      </c>
      <c r="E494" s="87" t="s">
        <v>2048</v>
      </c>
      <c r="F494" s="87">
        <v>1</v>
      </c>
      <c r="G494" s="87">
        <v>1</v>
      </c>
      <c r="H494" s="14"/>
      <c r="I494" s="75"/>
      <c r="J494" s="75">
        <v>1</v>
      </c>
      <c r="K494" s="75" t="s">
        <v>162</v>
      </c>
      <c r="L494" s="75" t="s">
        <v>509</v>
      </c>
      <c r="M494" s="75" t="s">
        <v>535</v>
      </c>
      <c r="N494" s="75" t="s">
        <v>509</v>
      </c>
      <c r="O494" s="75" t="s">
        <v>535</v>
      </c>
      <c r="P494" s="159" t="s">
        <v>4584</v>
      </c>
    </row>
    <row r="495" spans="1:16">
      <c r="A495" s="63" t="s">
        <v>4282</v>
      </c>
      <c r="B495" s="14" t="str">
        <f>VLOOKUP(P495,'护理记录单文书字典(数据)'!B$4:C$99,2,0)</f>
        <v>C0D246706900B31108B48E5B8EBB6830</v>
      </c>
      <c r="C495" s="159" t="s">
        <v>4635</v>
      </c>
      <c r="D495" s="159" t="s">
        <v>4636</v>
      </c>
      <c r="E495" s="87" t="s">
        <v>2048</v>
      </c>
      <c r="F495" s="87">
        <v>1</v>
      </c>
      <c r="G495" s="87">
        <v>1</v>
      </c>
      <c r="H495" s="14"/>
      <c r="I495" s="75"/>
      <c r="J495" s="75">
        <v>1</v>
      </c>
      <c r="K495" s="75" t="s">
        <v>162</v>
      </c>
      <c r="L495" s="75" t="s">
        <v>509</v>
      </c>
      <c r="M495" s="75" t="s">
        <v>535</v>
      </c>
      <c r="N495" s="75" t="s">
        <v>509</v>
      </c>
      <c r="O495" s="75" t="s">
        <v>535</v>
      </c>
      <c r="P495" s="159" t="s">
        <v>4584</v>
      </c>
    </row>
    <row r="496" spans="1:16">
      <c r="A496" s="198" t="s">
        <v>4282</v>
      </c>
      <c r="B496" s="14" t="str">
        <f>VLOOKUP(P496,'护理记录单文书字典(数据)'!B$4:C$99,2,0)</f>
        <v>C0D246706900B31108B48E5B8EBB6830</v>
      </c>
      <c r="C496" s="172" t="s">
        <v>2105</v>
      </c>
      <c r="D496" s="199" t="s">
        <v>2103</v>
      </c>
      <c r="E496" s="172" t="s">
        <v>2104</v>
      </c>
      <c r="F496" s="172">
        <v>1</v>
      </c>
      <c r="G496" s="172">
        <v>1</v>
      </c>
      <c r="H496" s="199"/>
      <c r="I496" s="200"/>
      <c r="J496" s="200">
        <v>1</v>
      </c>
      <c r="K496" s="200" t="s">
        <v>162</v>
      </c>
      <c r="L496" s="200" t="s">
        <v>509</v>
      </c>
      <c r="M496" s="200" t="s">
        <v>535</v>
      </c>
      <c r="N496" s="200" t="s">
        <v>509</v>
      </c>
      <c r="O496" s="200" t="s">
        <v>535</v>
      </c>
      <c r="P496" s="201" t="s">
        <v>4584</v>
      </c>
    </row>
    <row r="497" spans="1:16">
      <c r="A497" s="198" t="s">
        <v>4282</v>
      </c>
      <c r="B497" s="14" t="str">
        <f>VLOOKUP(P497,'护理记录单文书字典(数据)'!B$4:C$99,2,0)</f>
        <v>088AD4340CFAB2119AA070B95A67D44B</v>
      </c>
      <c r="C497" s="200" t="s">
        <v>2046</v>
      </c>
      <c r="D497" s="200" t="s">
        <v>2047</v>
      </c>
      <c r="E497" s="202" t="s">
        <v>2048</v>
      </c>
      <c r="F497" s="172">
        <v>1</v>
      </c>
      <c r="G497" s="172">
        <v>1</v>
      </c>
      <c r="H497" s="200"/>
      <c r="I497" s="200"/>
      <c r="J497" s="200"/>
      <c r="K497" s="200" t="s">
        <v>162</v>
      </c>
      <c r="L497" s="200" t="s">
        <v>509</v>
      </c>
      <c r="M497" s="200" t="s">
        <v>535</v>
      </c>
      <c r="N497" s="200" t="s">
        <v>509</v>
      </c>
      <c r="O497" s="86" t="s">
        <v>535</v>
      </c>
      <c r="P497" s="200" t="s">
        <v>2820</v>
      </c>
    </row>
    <row r="498" spans="1:16">
      <c r="A498" s="198" t="s">
        <v>4282</v>
      </c>
      <c r="B498" s="14" t="str">
        <f>VLOOKUP(P498,'护理记录单文书字典(数据)'!B$4:C$99,2,0)</f>
        <v>088AD4340CFAB2119AA070B95A67D44B</v>
      </c>
      <c r="C498" s="200" t="s">
        <v>2102</v>
      </c>
      <c r="D498" s="200" t="s">
        <v>2101</v>
      </c>
      <c r="E498" s="202" t="s">
        <v>2048</v>
      </c>
      <c r="F498" s="172">
        <v>1</v>
      </c>
      <c r="G498" s="172">
        <v>1</v>
      </c>
      <c r="H498" s="200"/>
      <c r="I498" s="200"/>
      <c r="J498" s="200"/>
      <c r="K498" s="200" t="s">
        <v>162</v>
      </c>
      <c r="L498" s="200" t="s">
        <v>509</v>
      </c>
      <c r="M498" s="200" t="s">
        <v>535</v>
      </c>
      <c r="N498" s="200" t="s">
        <v>509</v>
      </c>
      <c r="O498" s="86" t="s">
        <v>535</v>
      </c>
      <c r="P498" s="200" t="s">
        <v>2820</v>
      </c>
    </row>
    <row r="499" spans="1:16">
      <c r="A499" s="63" t="s">
        <v>4282</v>
      </c>
      <c r="B499" s="14" t="str">
        <f>VLOOKUP(P499,'护理记录单文书字典(数据)'!B$4:C$99,2,0)</f>
        <v>088AD4340CFAB2119AA070B95A67D44B</v>
      </c>
      <c r="C499" s="75" t="s">
        <v>2821</v>
      </c>
      <c r="D499" s="75" t="s">
        <v>2822</v>
      </c>
      <c r="E499" s="92" t="s">
        <v>2048</v>
      </c>
      <c r="F499" s="87">
        <v>1</v>
      </c>
      <c r="G499" s="87">
        <v>1</v>
      </c>
      <c r="H499" s="75"/>
      <c r="I499" s="75"/>
      <c r="J499" s="75"/>
      <c r="K499" s="75" t="s">
        <v>162</v>
      </c>
      <c r="L499" s="75" t="s">
        <v>509</v>
      </c>
      <c r="M499" s="75" t="s">
        <v>535</v>
      </c>
      <c r="N499" s="75" t="s">
        <v>509</v>
      </c>
      <c r="O499" s="86" t="s">
        <v>535</v>
      </c>
      <c r="P499" s="75" t="s">
        <v>2820</v>
      </c>
    </row>
    <row r="500" spans="1:16">
      <c r="A500" s="63" t="s">
        <v>4282</v>
      </c>
      <c r="B500" s="14" t="str">
        <f>VLOOKUP(P500,'护理记录单文书字典(数据)'!B$4:C$99,2,0)</f>
        <v>088AD4340CFAB2119AA070B95A67D44B</v>
      </c>
      <c r="C500" s="75" t="s">
        <v>2823</v>
      </c>
      <c r="D500" s="75" t="s">
        <v>2824</v>
      </c>
      <c r="E500" s="92" t="s">
        <v>2048</v>
      </c>
      <c r="F500" s="87">
        <v>1</v>
      </c>
      <c r="G500" s="87">
        <v>1</v>
      </c>
      <c r="H500" s="75"/>
      <c r="I500" s="75"/>
      <c r="J500" s="75"/>
      <c r="K500" s="75" t="s">
        <v>162</v>
      </c>
      <c r="L500" s="75" t="s">
        <v>509</v>
      </c>
      <c r="M500" s="75" t="s">
        <v>535</v>
      </c>
      <c r="N500" s="75" t="s">
        <v>509</v>
      </c>
      <c r="O500" s="86" t="s">
        <v>535</v>
      </c>
      <c r="P500" s="75" t="s">
        <v>2820</v>
      </c>
    </row>
    <row r="501" spans="1:16">
      <c r="A501" s="63" t="s">
        <v>4282</v>
      </c>
      <c r="B501" s="14" t="str">
        <f>VLOOKUP(P501,'护理记录单文书字典(数据)'!B$4:C$99,2,0)</f>
        <v>088AD4340CFAB2119AA070B95A67D44B</v>
      </c>
      <c r="C501" s="75" t="s">
        <v>2825</v>
      </c>
      <c r="D501" s="75" t="s">
        <v>2826</v>
      </c>
      <c r="E501" s="92" t="s">
        <v>2048</v>
      </c>
      <c r="F501" s="87">
        <v>1</v>
      </c>
      <c r="G501" s="87">
        <v>1</v>
      </c>
      <c r="H501" s="75"/>
      <c r="I501" s="75"/>
      <c r="J501" s="75"/>
      <c r="K501" s="75" t="s">
        <v>162</v>
      </c>
      <c r="L501" s="75" t="s">
        <v>509</v>
      </c>
      <c r="M501" s="75" t="s">
        <v>535</v>
      </c>
      <c r="N501" s="75" t="s">
        <v>509</v>
      </c>
      <c r="O501" s="86" t="s">
        <v>535</v>
      </c>
      <c r="P501" s="75" t="s">
        <v>2820</v>
      </c>
    </row>
    <row r="502" spans="1:16">
      <c r="A502" s="63" t="s">
        <v>4282</v>
      </c>
      <c r="B502" s="14" t="str">
        <f>VLOOKUP(P502,'护理记录单文书字典(数据)'!B$4:C$99,2,0)</f>
        <v>088AD4340CFAB2119AA070B95A67D44B</v>
      </c>
      <c r="C502" s="75" t="s">
        <v>2827</v>
      </c>
      <c r="D502" s="75" t="s">
        <v>2828</v>
      </c>
      <c r="E502" s="92" t="s">
        <v>2048</v>
      </c>
      <c r="F502" s="87">
        <v>1</v>
      </c>
      <c r="G502" s="87">
        <v>1</v>
      </c>
      <c r="H502" s="75"/>
      <c r="I502" s="75"/>
      <c r="J502" s="75"/>
      <c r="K502" s="75" t="s">
        <v>162</v>
      </c>
      <c r="L502" s="75" t="s">
        <v>509</v>
      </c>
      <c r="M502" s="75" t="s">
        <v>535</v>
      </c>
      <c r="N502" s="75" t="s">
        <v>509</v>
      </c>
      <c r="O502" s="86" t="s">
        <v>535</v>
      </c>
      <c r="P502" s="75" t="s">
        <v>2820</v>
      </c>
    </row>
    <row r="503" spans="1:16">
      <c r="A503" s="63" t="s">
        <v>4282</v>
      </c>
      <c r="B503" s="14" t="str">
        <f>VLOOKUP(P503,'护理记录单文书字典(数据)'!B$4:C$99,2,0)</f>
        <v>088AD4340CFAB2119AA070B95A67D44B</v>
      </c>
      <c r="C503" s="75" t="s">
        <v>2829</v>
      </c>
      <c r="D503" s="75" t="s">
        <v>2830</v>
      </c>
      <c r="E503" s="92" t="s">
        <v>2048</v>
      </c>
      <c r="F503" s="87">
        <v>1</v>
      </c>
      <c r="G503" s="87">
        <v>1</v>
      </c>
      <c r="H503" s="75"/>
      <c r="I503" s="75"/>
      <c r="J503" s="75"/>
      <c r="K503" s="75" t="s">
        <v>162</v>
      </c>
      <c r="L503" s="75" t="s">
        <v>509</v>
      </c>
      <c r="M503" s="75" t="s">
        <v>535</v>
      </c>
      <c r="N503" s="75" t="s">
        <v>509</v>
      </c>
      <c r="O503" s="86" t="s">
        <v>535</v>
      </c>
      <c r="P503" s="75" t="s">
        <v>2820</v>
      </c>
    </row>
    <row r="504" spans="1:16">
      <c r="A504" s="63" t="s">
        <v>4282</v>
      </c>
      <c r="B504" s="14" t="str">
        <f>VLOOKUP(P504,'护理记录单文书字典(数据)'!B$4:C$99,2,0)</f>
        <v>088AD4340CFAB2119AA070B95A67D44B</v>
      </c>
      <c r="C504" s="75" t="s">
        <v>2831</v>
      </c>
      <c r="D504" s="75" t="s">
        <v>2832</v>
      </c>
      <c r="E504" s="92" t="s">
        <v>2048</v>
      </c>
      <c r="F504" s="87">
        <v>1</v>
      </c>
      <c r="G504" s="87">
        <v>1</v>
      </c>
      <c r="H504" s="75"/>
      <c r="I504" s="75"/>
      <c r="J504" s="75"/>
      <c r="K504" s="75" t="s">
        <v>162</v>
      </c>
      <c r="L504" s="75" t="s">
        <v>509</v>
      </c>
      <c r="M504" s="75" t="s">
        <v>535</v>
      </c>
      <c r="N504" s="75" t="s">
        <v>509</v>
      </c>
      <c r="O504" s="86" t="s">
        <v>535</v>
      </c>
      <c r="P504" s="75" t="s">
        <v>2820</v>
      </c>
    </row>
    <row r="505" spans="1:16">
      <c r="A505" s="63" t="s">
        <v>4282</v>
      </c>
      <c r="B505" s="14" t="str">
        <f>VLOOKUP(P505,'护理记录单文书字典(数据)'!B$4:C$99,2,0)</f>
        <v>088AD4340CFAB2119AA070B95A67D44B</v>
      </c>
      <c r="C505" s="75" t="s">
        <v>2833</v>
      </c>
      <c r="D505" s="75" t="s">
        <v>2834</v>
      </c>
      <c r="E505" s="92" t="s">
        <v>2048</v>
      </c>
      <c r="F505" s="87">
        <v>1</v>
      </c>
      <c r="G505" s="87">
        <v>1</v>
      </c>
      <c r="H505" s="75"/>
      <c r="I505" s="75"/>
      <c r="J505" s="75"/>
      <c r="K505" s="75" t="s">
        <v>162</v>
      </c>
      <c r="L505" s="75" t="s">
        <v>509</v>
      </c>
      <c r="M505" s="75" t="s">
        <v>535</v>
      </c>
      <c r="N505" s="75" t="s">
        <v>509</v>
      </c>
      <c r="O505" s="86" t="s">
        <v>535</v>
      </c>
      <c r="P505" s="75" t="s">
        <v>2820</v>
      </c>
    </row>
    <row r="506" spans="1:16">
      <c r="A506" s="63" t="s">
        <v>4282</v>
      </c>
      <c r="B506" s="14" t="str">
        <f>VLOOKUP(P506,'护理记录单文书字典(数据)'!B$4:C$99,2,0)</f>
        <v>088AD4340CFAB2119AA070B95A67D44B</v>
      </c>
      <c r="C506" s="75" t="s">
        <v>2835</v>
      </c>
      <c r="D506" s="75" t="s">
        <v>2836</v>
      </c>
      <c r="E506" s="92" t="s">
        <v>2048</v>
      </c>
      <c r="F506" s="87">
        <v>1</v>
      </c>
      <c r="G506" s="87">
        <v>1</v>
      </c>
      <c r="H506" s="75"/>
      <c r="I506" s="75"/>
      <c r="J506" s="75"/>
      <c r="K506" s="75" t="s">
        <v>162</v>
      </c>
      <c r="L506" s="75" t="s">
        <v>509</v>
      </c>
      <c r="M506" s="75" t="s">
        <v>535</v>
      </c>
      <c r="N506" s="75" t="s">
        <v>509</v>
      </c>
      <c r="O506" s="86" t="s">
        <v>535</v>
      </c>
      <c r="P506" s="75" t="s">
        <v>2820</v>
      </c>
    </row>
    <row r="507" spans="1:16">
      <c r="A507" s="63" t="s">
        <v>4282</v>
      </c>
      <c r="B507" s="14" t="str">
        <f>VLOOKUP(P507,'护理记录单文书字典(数据)'!B$4:C$99,2,0)</f>
        <v>088AD4340CFAB2119AA070B95A67D44B</v>
      </c>
      <c r="C507" s="75" t="s">
        <v>2837</v>
      </c>
      <c r="D507" s="75" t="s">
        <v>2838</v>
      </c>
      <c r="E507" s="92" t="s">
        <v>2048</v>
      </c>
      <c r="F507" s="87">
        <v>1</v>
      </c>
      <c r="G507" s="87">
        <v>1</v>
      </c>
      <c r="H507" s="75"/>
      <c r="I507" s="75"/>
      <c r="J507" s="75"/>
      <c r="K507" s="75" t="s">
        <v>162</v>
      </c>
      <c r="L507" s="75" t="s">
        <v>509</v>
      </c>
      <c r="M507" s="75" t="s">
        <v>535</v>
      </c>
      <c r="N507" s="75" t="s">
        <v>509</v>
      </c>
      <c r="O507" s="86" t="s">
        <v>535</v>
      </c>
      <c r="P507" s="75" t="s">
        <v>2820</v>
      </c>
    </row>
    <row r="508" spans="1:16">
      <c r="A508" s="63" t="s">
        <v>4282</v>
      </c>
      <c r="B508" s="14" t="str">
        <f>VLOOKUP(P508,'护理记录单文书字典(数据)'!B$4:C$99,2,0)</f>
        <v>088AD4340CFAB2119AA070B95A67D44B</v>
      </c>
      <c r="C508" s="75" t="s">
        <v>2839</v>
      </c>
      <c r="D508" s="75" t="s">
        <v>2840</v>
      </c>
      <c r="E508" s="92" t="s">
        <v>2048</v>
      </c>
      <c r="F508" s="87">
        <v>1</v>
      </c>
      <c r="G508" s="87">
        <v>1</v>
      </c>
      <c r="H508" s="75"/>
      <c r="I508" s="75"/>
      <c r="J508" s="75"/>
      <c r="K508" s="75" t="s">
        <v>162</v>
      </c>
      <c r="L508" s="75" t="s">
        <v>509</v>
      </c>
      <c r="M508" s="75" t="s">
        <v>535</v>
      </c>
      <c r="N508" s="75" t="s">
        <v>509</v>
      </c>
      <c r="O508" s="86" t="s">
        <v>535</v>
      </c>
      <c r="P508" s="75" t="s">
        <v>2820</v>
      </c>
    </row>
    <row r="509" spans="1:16">
      <c r="A509" s="63" t="s">
        <v>4282</v>
      </c>
      <c r="B509" s="14" t="str">
        <f>VLOOKUP(P509,'护理记录单文书字典(数据)'!B$4:C$99,2,0)</f>
        <v>088AD4340CFAB2119AA070B95A67D44B</v>
      </c>
      <c r="C509" s="75" t="s">
        <v>2841</v>
      </c>
      <c r="D509" s="75" t="s">
        <v>2842</v>
      </c>
      <c r="E509" s="92" t="s">
        <v>2048</v>
      </c>
      <c r="F509" s="87">
        <v>1</v>
      </c>
      <c r="G509" s="87">
        <v>1</v>
      </c>
      <c r="H509" s="75"/>
      <c r="I509" s="75"/>
      <c r="J509" s="75"/>
      <c r="K509" s="75" t="s">
        <v>162</v>
      </c>
      <c r="L509" s="75" t="s">
        <v>509</v>
      </c>
      <c r="M509" s="75" t="s">
        <v>535</v>
      </c>
      <c r="N509" s="75" t="s">
        <v>509</v>
      </c>
      <c r="O509" s="86" t="s">
        <v>535</v>
      </c>
      <c r="P509" s="75" t="s">
        <v>2820</v>
      </c>
    </row>
    <row r="510" spans="1:16">
      <c r="A510" s="63" t="s">
        <v>4282</v>
      </c>
      <c r="B510" s="14" t="str">
        <f>VLOOKUP(P510,'护理记录单文书字典(数据)'!B$4:C$99,2,0)</f>
        <v>088AD4340CFAB2119AA070B95A67D44B</v>
      </c>
      <c r="C510" s="75" t="s">
        <v>2843</v>
      </c>
      <c r="D510" s="75" t="s">
        <v>2844</v>
      </c>
      <c r="E510" s="92" t="s">
        <v>2048</v>
      </c>
      <c r="F510" s="87">
        <v>1</v>
      </c>
      <c r="G510" s="87">
        <v>1</v>
      </c>
      <c r="H510" s="75"/>
      <c r="I510" s="75"/>
      <c r="J510" s="75"/>
      <c r="K510" s="75" t="s">
        <v>162</v>
      </c>
      <c r="L510" s="75" t="s">
        <v>509</v>
      </c>
      <c r="M510" s="75" t="s">
        <v>535</v>
      </c>
      <c r="N510" s="75" t="s">
        <v>509</v>
      </c>
      <c r="O510" s="86" t="s">
        <v>535</v>
      </c>
      <c r="P510" s="75" t="s">
        <v>2820</v>
      </c>
    </row>
    <row r="511" spans="1:16">
      <c r="A511" s="63" t="s">
        <v>4282</v>
      </c>
      <c r="B511" s="14" t="str">
        <f>VLOOKUP(P511,'护理记录单文书字典(数据)'!B$4:C$99,2,0)</f>
        <v>088AD4340CFAB2119AA070B95A67D44B</v>
      </c>
      <c r="C511" s="75" t="s">
        <v>2845</v>
      </c>
      <c r="D511" s="75" t="s">
        <v>2846</v>
      </c>
      <c r="E511" s="92" t="s">
        <v>2119</v>
      </c>
      <c r="F511" s="87">
        <v>1</v>
      </c>
      <c r="G511" s="87">
        <v>1</v>
      </c>
      <c r="H511" s="159" t="s">
        <v>2847</v>
      </c>
      <c r="I511" s="75"/>
      <c r="J511" s="75"/>
      <c r="K511" s="75" t="s">
        <v>162</v>
      </c>
      <c r="L511" s="75" t="s">
        <v>509</v>
      </c>
      <c r="M511" s="75" t="s">
        <v>535</v>
      </c>
      <c r="N511" s="75" t="s">
        <v>509</v>
      </c>
      <c r="O511" s="86" t="s">
        <v>535</v>
      </c>
      <c r="P511" s="75" t="s">
        <v>2820</v>
      </c>
    </row>
    <row r="512" spans="1:16">
      <c r="A512" s="63" t="s">
        <v>4282</v>
      </c>
      <c r="B512" s="14" t="str">
        <f>VLOOKUP(P512,'护理记录单文书字典(数据)'!B$4:C$99,2,0)</f>
        <v>088AD4340CFAB2119AA070B95A67D44B</v>
      </c>
      <c r="C512" s="75" t="s">
        <v>2848</v>
      </c>
      <c r="D512" s="75" t="s">
        <v>2849</v>
      </c>
      <c r="E512" s="92" t="s">
        <v>2119</v>
      </c>
      <c r="F512" s="87">
        <v>1</v>
      </c>
      <c r="G512" s="87">
        <v>1</v>
      </c>
      <c r="H512" s="75" t="s">
        <v>2847</v>
      </c>
      <c r="I512" s="75"/>
      <c r="J512" s="75"/>
      <c r="K512" s="75" t="s">
        <v>162</v>
      </c>
      <c r="L512" s="75" t="s">
        <v>509</v>
      </c>
      <c r="M512" s="75" t="s">
        <v>535</v>
      </c>
      <c r="N512" s="75" t="s">
        <v>509</v>
      </c>
      <c r="O512" s="86" t="s">
        <v>535</v>
      </c>
      <c r="P512" s="75" t="s">
        <v>2820</v>
      </c>
    </row>
    <row r="513" spans="1:16">
      <c r="A513" s="63" t="s">
        <v>4282</v>
      </c>
      <c r="B513" s="14" t="str">
        <f>VLOOKUP(P513,'护理记录单文书字典(数据)'!B$4:C$99,2,0)</f>
        <v>088AD4340CFAB2119AA070B95A67D44B</v>
      </c>
      <c r="C513" s="75" t="s">
        <v>2850</v>
      </c>
      <c r="D513" s="75" t="s">
        <v>2075</v>
      </c>
      <c r="E513" s="92" t="s">
        <v>2119</v>
      </c>
      <c r="F513" s="87">
        <v>1</v>
      </c>
      <c r="G513" s="87">
        <v>1</v>
      </c>
      <c r="H513" s="75" t="s">
        <v>2851</v>
      </c>
      <c r="I513" s="75"/>
      <c r="J513" s="75"/>
      <c r="K513" s="75" t="s">
        <v>162</v>
      </c>
      <c r="L513" s="75" t="s">
        <v>509</v>
      </c>
      <c r="M513" s="75" t="s">
        <v>535</v>
      </c>
      <c r="N513" s="75" t="s">
        <v>509</v>
      </c>
      <c r="O513" s="86" t="s">
        <v>535</v>
      </c>
      <c r="P513" s="75" t="s">
        <v>2820</v>
      </c>
    </row>
    <row r="514" spans="1:16">
      <c r="A514" s="63" t="s">
        <v>4282</v>
      </c>
      <c r="B514" s="14" t="str">
        <f>VLOOKUP(P514,'护理记录单文书字典(数据)'!B$4:C$99,2,0)</f>
        <v>088AD4340CFAB2119AA070B95A67D44B</v>
      </c>
      <c r="C514" s="75" t="s">
        <v>2852</v>
      </c>
      <c r="D514" s="75" t="s">
        <v>2853</v>
      </c>
      <c r="E514" s="92" t="s">
        <v>2048</v>
      </c>
      <c r="F514" s="87">
        <v>1</v>
      </c>
      <c r="G514" s="87">
        <v>1</v>
      </c>
      <c r="H514" s="75"/>
      <c r="I514" s="75"/>
      <c r="J514" s="75"/>
      <c r="K514" s="75" t="s">
        <v>162</v>
      </c>
      <c r="L514" s="75" t="s">
        <v>509</v>
      </c>
      <c r="M514" s="75" t="s">
        <v>535</v>
      </c>
      <c r="N514" s="75" t="s">
        <v>509</v>
      </c>
      <c r="O514" s="86" t="s">
        <v>535</v>
      </c>
      <c r="P514" s="75" t="s">
        <v>2820</v>
      </c>
    </row>
    <row r="515" spans="1:16">
      <c r="A515" s="63" t="s">
        <v>4282</v>
      </c>
      <c r="B515" s="14" t="str">
        <f>VLOOKUP(P515,'护理记录单文书字典(数据)'!B$4:C$99,2,0)</f>
        <v>088AD4340CFAB2119AA070B95A67D44B</v>
      </c>
      <c r="C515" s="75" t="s">
        <v>2105</v>
      </c>
      <c r="D515" s="159" t="s">
        <v>2103</v>
      </c>
      <c r="E515" s="87" t="s">
        <v>2104</v>
      </c>
      <c r="F515" s="87">
        <v>1</v>
      </c>
      <c r="G515" s="87">
        <v>1</v>
      </c>
      <c r="H515" s="75"/>
      <c r="I515" s="75"/>
      <c r="J515" s="75"/>
      <c r="K515" s="75" t="s">
        <v>162</v>
      </c>
      <c r="L515" s="75" t="s">
        <v>509</v>
      </c>
      <c r="M515" s="75" t="s">
        <v>535</v>
      </c>
      <c r="N515" s="75" t="s">
        <v>509</v>
      </c>
      <c r="O515" s="86" t="s">
        <v>535</v>
      </c>
      <c r="P515" s="75" t="s">
        <v>2820</v>
      </c>
    </row>
    <row r="516" spans="1:16">
      <c r="A516" s="63" t="s">
        <v>4282</v>
      </c>
      <c r="B516" s="14" t="str">
        <f>VLOOKUP(P516,'护理记录单文书字典(数据)'!B$4:C$99,2,0)</f>
        <v>60A8E7350CFAB211CD855C7C2E8F482F</v>
      </c>
      <c r="C516" s="159" t="s">
        <v>2046</v>
      </c>
      <c r="D516" s="159" t="s">
        <v>2047</v>
      </c>
      <c r="E516" s="92" t="s">
        <v>2048</v>
      </c>
      <c r="F516" s="87">
        <v>1</v>
      </c>
      <c r="G516" s="87">
        <v>1</v>
      </c>
      <c r="H516" s="75"/>
      <c r="I516" s="75"/>
      <c r="J516" s="75"/>
      <c r="K516" s="75" t="s">
        <v>162</v>
      </c>
      <c r="L516" s="75" t="s">
        <v>509</v>
      </c>
      <c r="M516" s="75" t="s">
        <v>535</v>
      </c>
      <c r="N516" s="75" t="s">
        <v>509</v>
      </c>
      <c r="O516" s="86" t="s">
        <v>535</v>
      </c>
      <c r="P516" s="75" t="s">
        <v>1848</v>
      </c>
    </row>
    <row r="517" spans="1:16">
      <c r="A517" s="63" t="s">
        <v>4282</v>
      </c>
      <c r="B517" s="14" t="str">
        <f>VLOOKUP(P517,'护理记录单文书字典(数据)'!B$4:C$99,2,0)</f>
        <v>60A8E7350CFAB211CD855C7C2E8F482F</v>
      </c>
      <c r="C517" s="159" t="s">
        <v>4650</v>
      </c>
      <c r="D517" s="75" t="s">
        <v>2854</v>
      </c>
      <c r="E517" s="92" t="s">
        <v>2048</v>
      </c>
      <c r="F517" s="87">
        <v>1</v>
      </c>
      <c r="G517" s="87">
        <v>1</v>
      </c>
      <c r="H517" s="75"/>
      <c r="I517" s="75"/>
      <c r="J517" s="75"/>
      <c r="K517" s="75" t="s">
        <v>162</v>
      </c>
      <c r="L517" s="75" t="s">
        <v>509</v>
      </c>
      <c r="M517" s="75" t="s">
        <v>535</v>
      </c>
      <c r="N517" s="75" t="s">
        <v>509</v>
      </c>
      <c r="O517" s="86" t="s">
        <v>535</v>
      </c>
      <c r="P517" s="75" t="s">
        <v>1848</v>
      </c>
    </row>
    <row r="518" spans="1:16">
      <c r="A518" s="63" t="s">
        <v>4282</v>
      </c>
      <c r="B518" s="14" t="str">
        <f>VLOOKUP(P518,'护理记录单文书字典(数据)'!B$4:C$99,2,0)</f>
        <v>60A8E7350CFAB211CD855C7C2E8F482F</v>
      </c>
      <c r="C518" s="75" t="s">
        <v>2855</v>
      </c>
      <c r="D518" s="75" t="s">
        <v>1846</v>
      </c>
      <c r="E518" s="92" t="s">
        <v>2052</v>
      </c>
      <c r="F518" s="87">
        <v>1</v>
      </c>
      <c r="G518" s="87">
        <v>1</v>
      </c>
      <c r="H518" s="75" t="s">
        <v>1845</v>
      </c>
      <c r="I518" s="75"/>
      <c r="J518" s="75"/>
      <c r="K518" s="75" t="s">
        <v>162</v>
      </c>
      <c r="L518" s="75" t="s">
        <v>509</v>
      </c>
      <c r="M518" s="75" t="s">
        <v>535</v>
      </c>
      <c r="N518" s="75" t="s">
        <v>509</v>
      </c>
      <c r="O518" s="86" t="s">
        <v>535</v>
      </c>
      <c r="P518" s="75" t="s">
        <v>1848</v>
      </c>
    </row>
    <row r="519" spans="1:16">
      <c r="A519" s="63" t="s">
        <v>4282</v>
      </c>
      <c r="B519" s="14" t="str">
        <f>VLOOKUP(P519,'护理记录单文书字典(数据)'!B$4:C$99,2,0)</f>
        <v>60A8E7350CFAB211CD855C7C2E8F482F</v>
      </c>
      <c r="C519" s="75" t="s">
        <v>2856</v>
      </c>
      <c r="D519" s="75" t="s">
        <v>2857</v>
      </c>
      <c r="E519" s="92" t="s">
        <v>2048</v>
      </c>
      <c r="F519" s="87">
        <v>1</v>
      </c>
      <c r="G519" s="87">
        <v>1</v>
      </c>
      <c r="H519" s="75"/>
      <c r="I519" s="75"/>
      <c r="J519" s="75"/>
      <c r="K519" s="75" t="s">
        <v>162</v>
      </c>
      <c r="L519" s="75" t="s">
        <v>509</v>
      </c>
      <c r="M519" s="75" t="s">
        <v>535</v>
      </c>
      <c r="N519" s="75" t="s">
        <v>509</v>
      </c>
      <c r="O519" s="86" t="s">
        <v>535</v>
      </c>
      <c r="P519" s="75" t="s">
        <v>1848</v>
      </c>
    </row>
    <row r="520" spans="1:16">
      <c r="A520" s="63" t="s">
        <v>4282</v>
      </c>
      <c r="B520" s="14" t="str">
        <f>VLOOKUP(P520,'护理记录单文书字典(数据)'!B$4:C$99,2,0)</f>
        <v>60A8E7350CFAB211CD855C7C2E8F482F</v>
      </c>
      <c r="C520" s="75" t="s">
        <v>2858</v>
      </c>
      <c r="D520" s="75" t="s">
        <v>1852</v>
      </c>
      <c r="E520" s="92" t="s">
        <v>2052</v>
      </c>
      <c r="F520" s="87">
        <v>1</v>
      </c>
      <c r="G520" s="87">
        <v>1</v>
      </c>
      <c r="H520" s="75" t="s">
        <v>1851</v>
      </c>
      <c r="I520" s="75"/>
      <c r="J520" s="75"/>
      <c r="K520" s="75" t="s">
        <v>162</v>
      </c>
      <c r="L520" s="75" t="s">
        <v>509</v>
      </c>
      <c r="M520" s="75" t="s">
        <v>535</v>
      </c>
      <c r="N520" s="75" t="s">
        <v>509</v>
      </c>
      <c r="O520" s="86" t="s">
        <v>535</v>
      </c>
      <c r="P520" s="75" t="s">
        <v>1848</v>
      </c>
    </row>
    <row r="521" spans="1:16">
      <c r="A521" s="63" t="s">
        <v>4282</v>
      </c>
      <c r="B521" s="14" t="str">
        <f>VLOOKUP(P521,'护理记录单文书字典(数据)'!B$4:C$99,2,0)</f>
        <v>60A8E7350CFAB211CD855C7C2E8F482F</v>
      </c>
      <c r="C521" s="75" t="s">
        <v>2859</v>
      </c>
      <c r="D521" s="75" t="s">
        <v>2860</v>
      </c>
      <c r="E521" s="92" t="s">
        <v>2048</v>
      </c>
      <c r="F521" s="87">
        <v>1</v>
      </c>
      <c r="G521" s="87">
        <v>1</v>
      </c>
      <c r="H521" s="75"/>
      <c r="I521" s="75"/>
      <c r="J521" s="75"/>
      <c r="K521" s="75" t="s">
        <v>162</v>
      </c>
      <c r="L521" s="75" t="s">
        <v>509</v>
      </c>
      <c r="M521" s="75" t="s">
        <v>535</v>
      </c>
      <c r="N521" s="75" t="s">
        <v>509</v>
      </c>
      <c r="O521" s="86" t="s">
        <v>535</v>
      </c>
      <c r="P521" s="75" t="s">
        <v>1848</v>
      </c>
    </row>
    <row r="522" spans="1:16">
      <c r="A522" s="63" t="s">
        <v>4282</v>
      </c>
      <c r="B522" s="14" t="str">
        <f>VLOOKUP(P522,'护理记录单文书字典(数据)'!B$4:C$99,2,0)</f>
        <v>60A8E7350CFAB211CD855C7C2E8F482F</v>
      </c>
      <c r="C522" s="75" t="s">
        <v>2861</v>
      </c>
      <c r="D522" s="75" t="s">
        <v>1856</v>
      </c>
      <c r="E522" s="92" t="s">
        <v>2052</v>
      </c>
      <c r="F522" s="87">
        <v>1</v>
      </c>
      <c r="G522" s="87">
        <v>1</v>
      </c>
      <c r="H522" s="75" t="s">
        <v>1855</v>
      </c>
      <c r="I522" s="75"/>
      <c r="J522" s="75"/>
      <c r="K522" s="75" t="s">
        <v>162</v>
      </c>
      <c r="L522" s="75" t="s">
        <v>509</v>
      </c>
      <c r="M522" s="75" t="s">
        <v>535</v>
      </c>
      <c r="N522" s="75" t="s">
        <v>509</v>
      </c>
      <c r="O522" s="86" t="s">
        <v>535</v>
      </c>
      <c r="P522" s="75" t="s">
        <v>1848</v>
      </c>
    </row>
    <row r="523" spans="1:16">
      <c r="A523" s="63" t="s">
        <v>4282</v>
      </c>
      <c r="B523" s="14" t="str">
        <f>VLOOKUP(P523,'护理记录单文书字典(数据)'!B$4:C$99,2,0)</f>
        <v>60A8E7350CFAB211CD855C7C2E8F482F</v>
      </c>
      <c r="C523" s="75" t="s">
        <v>2862</v>
      </c>
      <c r="D523" s="75" t="s">
        <v>1860</v>
      </c>
      <c r="E523" s="92" t="s">
        <v>2052</v>
      </c>
      <c r="F523" s="87">
        <v>1</v>
      </c>
      <c r="G523" s="87">
        <v>1</v>
      </c>
      <c r="H523" s="75" t="s">
        <v>1859</v>
      </c>
      <c r="I523" s="75"/>
      <c r="J523" s="75"/>
      <c r="K523" s="75" t="s">
        <v>162</v>
      </c>
      <c r="L523" s="75" t="s">
        <v>509</v>
      </c>
      <c r="M523" s="75" t="s">
        <v>535</v>
      </c>
      <c r="N523" s="75" t="s">
        <v>509</v>
      </c>
      <c r="O523" s="86" t="s">
        <v>535</v>
      </c>
      <c r="P523" s="75" t="s">
        <v>1848</v>
      </c>
    </row>
    <row r="524" spans="1:16">
      <c r="A524" s="63" t="s">
        <v>4282</v>
      </c>
      <c r="B524" s="14" t="str">
        <f>VLOOKUP(P524,'护理记录单文书字典(数据)'!B$4:C$99,2,0)</f>
        <v>60A8E7350CFAB211CD855C7C2E8F482F</v>
      </c>
      <c r="C524" s="75" t="s">
        <v>2863</v>
      </c>
      <c r="D524" s="75" t="s">
        <v>102</v>
      </c>
      <c r="E524" s="92" t="s">
        <v>2048</v>
      </c>
      <c r="F524" s="87">
        <v>1</v>
      </c>
      <c r="G524" s="87">
        <v>1</v>
      </c>
      <c r="H524" s="75"/>
      <c r="I524" s="75"/>
      <c r="J524" s="75"/>
      <c r="K524" s="75" t="s">
        <v>162</v>
      </c>
      <c r="L524" s="75" t="s">
        <v>509</v>
      </c>
      <c r="M524" s="75" t="s">
        <v>535</v>
      </c>
      <c r="N524" s="75" t="s">
        <v>509</v>
      </c>
      <c r="O524" s="86" t="s">
        <v>535</v>
      </c>
      <c r="P524" s="75" t="s">
        <v>1848</v>
      </c>
    </row>
    <row r="525" spans="1:16">
      <c r="A525" s="63" t="s">
        <v>4282</v>
      </c>
      <c r="B525" s="14" t="str">
        <f>VLOOKUP(P525,'护理记录单文书字典(数据)'!B$4:C$99,2,0)</f>
        <v>60A8E7350CFAB211CD855C7C2E8F482F</v>
      </c>
      <c r="C525" s="75" t="s">
        <v>2864</v>
      </c>
      <c r="D525" s="75" t="s">
        <v>101</v>
      </c>
      <c r="E525" s="92" t="s">
        <v>2048</v>
      </c>
      <c r="F525" s="87">
        <v>1</v>
      </c>
      <c r="G525" s="87">
        <v>1</v>
      </c>
      <c r="H525" s="75"/>
      <c r="I525" s="75"/>
      <c r="J525" s="75"/>
      <c r="K525" s="75" t="s">
        <v>162</v>
      </c>
      <c r="L525" s="75" t="s">
        <v>509</v>
      </c>
      <c r="M525" s="75" t="s">
        <v>535</v>
      </c>
      <c r="N525" s="75" t="s">
        <v>509</v>
      </c>
      <c r="O525" s="86" t="s">
        <v>535</v>
      </c>
      <c r="P525" s="75" t="s">
        <v>1848</v>
      </c>
    </row>
    <row r="526" spans="1:16">
      <c r="A526" s="63" t="s">
        <v>4282</v>
      </c>
      <c r="B526" s="14" t="str">
        <f>VLOOKUP(P526,'护理记录单文书字典(数据)'!B$4:C$99,2,0)</f>
        <v>60A8E7350CFAB211CD855C7C2E8F482F</v>
      </c>
      <c r="C526" s="75" t="s">
        <v>2865</v>
      </c>
      <c r="D526" s="75" t="s">
        <v>2866</v>
      </c>
      <c r="E526" s="92" t="s">
        <v>2052</v>
      </c>
      <c r="F526" s="87">
        <v>1</v>
      </c>
      <c r="G526" s="87">
        <v>1</v>
      </c>
      <c r="H526" s="75" t="s">
        <v>1861</v>
      </c>
      <c r="I526" s="75"/>
      <c r="J526" s="75"/>
      <c r="K526" s="75" t="s">
        <v>162</v>
      </c>
      <c r="L526" s="75" t="s">
        <v>509</v>
      </c>
      <c r="M526" s="75" t="s">
        <v>535</v>
      </c>
      <c r="N526" s="75" t="s">
        <v>509</v>
      </c>
      <c r="O526" s="86" t="s">
        <v>535</v>
      </c>
      <c r="P526" s="75" t="s">
        <v>1848</v>
      </c>
    </row>
    <row r="527" spans="1:16">
      <c r="A527" s="63" t="s">
        <v>4282</v>
      </c>
      <c r="B527" s="14" t="str">
        <f>VLOOKUP(P527,'护理记录单文书字典(数据)'!B$4:C$99,2,0)</f>
        <v>60A8E7350CFAB211CD855C7C2E8F482F</v>
      </c>
      <c r="C527" s="75" t="s">
        <v>2112</v>
      </c>
      <c r="D527" s="75" t="s">
        <v>2867</v>
      </c>
      <c r="E527" s="92" t="s">
        <v>2052</v>
      </c>
      <c r="F527" s="87">
        <v>1</v>
      </c>
      <c r="G527" s="87">
        <v>1</v>
      </c>
      <c r="H527" s="75" t="s">
        <v>1865</v>
      </c>
      <c r="I527" s="75"/>
      <c r="J527" s="75"/>
      <c r="K527" s="75" t="s">
        <v>162</v>
      </c>
      <c r="L527" s="75" t="s">
        <v>509</v>
      </c>
      <c r="M527" s="75" t="s">
        <v>535</v>
      </c>
      <c r="N527" s="75" t="s">
        <v>509</v>
      </c>
      <c r="O527" s="86" t="s">
        <v>535</v>
      </c>
      <c r="P527" s="75" t="s">
        <v>1848</v>
      </c>
    </row>
    <row r="528" spans="1:16">
      <c r="A528" s="63" t="s">
        <v>4282</v>
      </c>
      <c r="B528" s="14" t="str">
        <f>VLOOKUP(P528,'护理记录单文书字典(数据)'!B$4:C$99,2,0)</f>
        <v>60A8E7350CFAB211CD855C7C2E8F482F</v>
      </c>
      <c r="C528" s="75" t="s">
        <v>2868</v>
      </c>
      <c r="D528" s="75" t="s">
        <v>1461</v>
      </c>
      <c r="E528" s="92" t="s">
        <v>2052</v>
      </c>
      <c r="F528" s="87">
        <v>1</v>
      </c>
      <c r="G528" s="87">
        <v>1</v>
      </c>
      <c r="H528" s="75" t="s">
        <v>1460</v>
      </c>
      <c r="I528" s="75"/>
      <c r="J528" s="75"/>
      <c r="K528" s="75" t="s">
        <v>162</v>
      </c>
      <c r="L528" s="75" t="s">
        <v>509</v>
      </c>
      <c r="M528" s="75" t="s">
        <v>535</v>
      </c>
      <c r="N528" s="75" t="s">
        <v>509</v>
      </c>
      <c r="O528" s="86" t="s">
        <v>535</v>
      </c>
      <c r="P528" s="75" t="s">
        <v>1848</v>
      </c>
    </row>
    <row r="529" spans="1:16">
      <c r="A529" s="63" t="s">
        <v>4282</v>
      </c>
      <c r="B529" s="14" t="str">
        <f>VLOOKUP(P529,'护理记录单文书字典(数据)'!B$4:C$99,2,0)</f>
        <v>60A8E7350CFAB211CD855C7C2E8F482F</v>
      </c>
      <c r="C529" s="75" t="s">
        <v>2869</v>
      </c>
      <c r="D529" s="75" t="s">
        <v>1870</v>
      </c>
      <c r="E529" s="92" t="s">
        <v>2052</v>
      </c>
      <c r="F529" s="87">
        <v>1</v>
      </c>
      <c r="G529" s="87">
        <v>1</v>
      </c>
      <c r="H529" s="75" t="s">
        <v>1869</v>
      </c>
      <c r="I529" s="75"/>
      <c r="J529" s="75"/>
      <c r="K529" s="75" t="s">
        <v>162</v>
      </c>
      <c r="L529" s="75" t="s">
        <v>509</v>
      </c>
      <c r="M529" s="75" t="s">
        <v>535</v>
      </c>
      <c r="N529" s="75" t="s">
        <v>509</v>
      </c>
      <c r="O529" s="86" t="s">
        <v>535</v>
      </c>
      <c r="P529" s="75" t="s">
        <v>1848</v>
      </c>
    </row>
    <row r="530" spans="1:16">
      <c r="A530" s="63" t="s">
        <v>4282</v>
      </c>
      <c r="B530" s="14" t="str">
        <f>VLOOKUP(P530,'护理记录单文书字典(数据)'!B$4:C$99,2,0)</f>
        <v>60A8E7350CFAB211CD855C7C2E8F482F</v>
      </c>
      <c r="C530" s="75" t="s">
        <v>2870</v>
      </c>
      <c r="D530" s="75" t="s">
        <v>1872</v>
      </c>
      <c r="E530" s="92" t="s">
        <v>2052</v>
      </c>
      <c r="F530" s="87">
        <v>1</v>
      </c>
      <c r="G530" s="87">
        <v>1</v>
      </c>
      <c r="H530" s="75" t="s">
        <v>1871</v>
      </c>
      <c r="I530" s="75"/>
      <c r="J530" s="75"/>
      <c r="K530" s="75" t="s">
        <v>162</v>
      </c>
      <c r="L530" s="75" t="s">
        <v>509</v>
      </c>
      <c r="M530" s="75" t="s">
        <v>535</v>
      </c>
      <c r="N530" s="75" t="s">
        <v>509</v>
      </c>
      <c r="O530" s="86" t="s">
        <v>535</v>
      </c>
      <c r="P530" s="75" t="s">
        <v>1848</v>
      </c>
    </row>
    <row r="531" spans="1:16">
      <c r="A531" s="63" t="s">
        <v>4282</v>
      </c>
      <c r="B531" s="14" t="str">
        <f>VLOOKUP(P531,'护理记录单文书字典(数据)'!B$4:C$99,2,0)</f>
        <v>60A8E7350CFAB211CD855C7C2E8F482F</v>
      </c>
      <c r="C531" s="75" t="s">
        <v>2871</v>
      </c>
      <c r="D531" s="75" t="s">
        <v>1876</v>
      </c>
      <c r="E531" s="92" t="s">
        <v>2052</v>
      </c>
      <c r="F531" s="87">
        <v>1</v>
      </c>
      <c r="G531" s="87">
        <v>1</v>
      </c>
      <c r="H531" s="75" t="s">
        <v>1875</v>
      </c>
      <c r="I531" s="75"/>
      <c r="J531" s="75"/>
      <c r="K531" s="75" t="s">
        <v>162</v>
      </c>
      <c r="L531" s="75" t="s">
        <v>509</v>
      </c>
      <c r="M531" s="75" t="s">
        <v>535</v>
      </c>
      <c r="N531" s="75" t="s">
        <v>509</v>
      </c>
      <c r="O531" s="86" t="s">
        <v>535</v>
      </c>
      <c r="P531" s="75" t="s">
        <v>1848</v>
      </c>
    </row>
    <row r="532" spans="1:16">
      <c r="A532" s="63" t="s">
        <v>4282</v>
      </c>
      <c r="B532" s="14" t="str">
        <f>VLOOKUP(P532,'护理记录单文书字典(数据)'!B$4:C$99,2,0)</f>
        <v>60A8E7350CFAB211CD855C7C2E8F482F</v>
      </c>
      <c r="C532" s="75" t="s">
        <v>2872</v>
      </c>
      <c r="D532" s="75" t="s">
        <v>1879</v>
      </c>
      <c r="E532" s="92" t="s">
        <v>2052</v>
      </c>
      <c r="F532" s="87">
        <v>1</v>
      </c>
      <c r="G532" s="87">
        <v>1</v>
      </c>
      <c r="H532" s="75" t="s">
        <v>1878</v>
      </c>
      <c r="I532" s="75"/>
      <c r="J532" s="75"/>
      <c r="K532" s="75" t="s">
        <v>162</v>
      </c>
      <c r="L532" s="75" t="s">
        <v>509</v>
      </c>
      <c r="M532" s="75" t="s">
        <v>535</v>
      </c>
      <c r="N532" s="75" t="s">
        <v>509</v>
      </c>
      <c r="O532" s="86" t="s">
        <v>535</v>
      </c>
      <c r="P532" s="75" t="s">
        <v>1848</v>
      </c>
    </row>
    <row r="533" spans="1:16">
      <c r="A533" s="63" t="s">
        <v>4282</v>
      </c>
      <c r="B533" s="14" t="str">
        <f>VLOOKUP(P533,'护理记录单文书字典(数据)'!B$4:C$99,2,0)</f>
        <v>60A8E7350CFAB211CD855C7C2E8F482F</v>
      </c>
      <c r="C533" s="159" t="s">
        <v>4637</v>
      </c>
      <c r="D533" s="159" t="s">
        <v>4638</v>
      </c>
      <c r="E533" s="92" t="s">
        <v>2048</v>
      </c>
      <c r="F533" s="87">
        <v>1</v>
      </c>
      <c r="G533" s="87">
        <v>1</v>
      </c>
      <c r="H533" s="75"/>
      <c r="I533" s="75"/>
      <c r="J533" s="75"/>
      <c r="K533" s="75" t="s">
        <v>162</v>
      </c>
      <c r="L533" s="75" t="s">
        <v>509</v>
      </c>
      <c r="M533" s="75" t="s">
        <v>535</v>
      </c>
      <c r="N533" s="75" t="s">
        <v>509</v>
      </c>
      <c r="O533" s="86" t="s">
        <v>535</v>
      </c>
      <c r="P533" s="75" t="s">
        <v>1848</v>
      </c>
    </row>
    <row r="534" spans="1:16">
      <c r="A534" s="63" t="s">
        <v>4282</v>
      </c>
      <c r="B534" s="14" t="str">
        <f>VLOOKUP(P534,'护理记录单文书字典(数据)'!B$4:C$99,2,0)</f>
        <v>60A8E7350CFAB211CD855C7C2E8F482F</v>
      </c>
      <c r="C534" s="75" t="s">
        <v>2852</v>
      </c>
      <c r="D534" s="75" t="s">
        <v>2853</v>
      </c>
      <c r="E534" s="92" t="s">
        <v>2048</v>
      </c>
      <c r="F534" s="87">
        <v>1</v>
      </c>
      <c r="G534" s="87">
        <v>1</v>
      </c>
      <c r="H534" s="75"/>
      <c r="I534" s="75"/>
      <c r="J534" s="75"/>
      <c r="K534" s="75" t="s">
        <v>162</v>
      </c>
      <c r="L534" s="75" t="s">
        <v>509</v>
      </c>
      <c r="M534" s="75" t="s">
        <v>535</v>
      </c>
      <c r="N534" s="75" t="s">
        <v>509</v>
      </c>
      <c r="O534" s="86" t="s">
        <v>535</v>
      </c>
      <c r="P534" s="75" t="s">
        <v>1848</v>
      </c>
    </row>
    <row r="535" spans="1:16">
      <c r="A535" s="63" t="s">
        <v>4282</v>
      </c>
      <c r="B535" s="14" t="str">
        <f>VLOOKUP(P535,'护理记录单文书字典(数据)'!B$4:C$99,2,0)</f>
        <v>60A8E7350CFAB211CD855C7C2E8F482F</v>
      </c>
      <c r="C535" s="75" t="s">
        <v>2105</v>
      </c>
      <c r="D535" s="75" t="s">
        <v>2103</v>
      </c>
      <c r="E535" s="92" t="s">
        <v>2104</v>
      </c>
      <c r="F535" s="87">
        <v>1</v>
      </c>
      <c r="G535" s="87">
        <v>1</v>
      </c>
      <c r="H535" s="75"/>
      <c r="I535" s="75"/>
      <c r="J535" s="75"/>
      <c r="K535" s="75" t="s">
        <v>162</v>
      </c>
      <c r="L535" s="75" t="s">
        <v>509</v>
      </c>
      <c r="M535" s="75" t="s">
        <v>535</v>
      </c>
      <c r="N535" s="75" t="s">
        <v>509</v>
      </c>
      <c r="O535" s="86" t="s">
        <v>535</v>
      </c>
      <c r="P535" s="75" t="s">
        <v>1848</v>
      </c>
    </row>
    <row r="536" spans="1:16">
      <c r="A536" s="63" t="s">
        <v>4282</v>
      </c>
      <c r="B536" s="14" t="str">
        <f>VLOOKUP(P536,'护理记录单文书字典(数据)'!B$4:C$99,2,0)</f>
        <v>221FC2350CFAB21112BE8C56394B3237</v>
      </c>
      <c r="C536" s="75" t="s">
        <v>2873</v>
      </c>
      <c r="D536" s="75" t="s">
        <v>2874</v>
      </c>
      <c r="E536" s="92" t="s">
        <v>2048</v>
      </c>
      <c r="F536" s="87">
        <v>1</v>
      </c>
      <c r="G536" s="87">
        <v>1</v>
      </c>
      <c r="H536" s="75"/>
      <c r="I536" s="75"/>
      <c r="J536" s="75"/>
      <c r="K536" s="75" t="s">
        <v>162</v>
      </c>
      <c r="L536" s="75" t="s">
        <v>509</v>
      </c>
      <c r="M536" s="75" t="s">
        <v>535</v>
      </c>
      <c r="N536" s="75" t="s">
        <v>509</v>
      </c>
      <c r="O536" s="86" t="s">
        <v>535</v>
      </c>
      <c r="P536" s="75" t="s">
        <v>1792</v>
      </c>
    </row>
    <row r="537" spans="1:16">
      <c r="A537" s="63" t="s">
        <v>4282</v>
      </c>
      <c r="B537" s="14" t="str">
        <f>VLOOKUP(P537,'护理记录单文书字典(数据)'!B$4:C$99,2,0)</f>
        <v>221FC2350CFAB21112BE8C56394B3237</v>
      </c>
      <c r="C537" s="75" t="s">
        <v>2875</v>
      </c>
      <c r="D537" s="75" t="s">
        <v>2876</v>
      </c>
      <c r="E537" s="92" t="s">
        <v>2048</v>
      </c>
      <c r="F537" s="87">
        <v>1</v>
      </c>
      <c r="G537" s="87">
        <v>1</v>
      </c>
      <c r="H537" s="75"/>
      <c r="I537" s="75"/>
      <c r="J537" s="75"/>
      <c r="K537" s="75" t="s">
        <v>162</v>
      </c>
      <c r="L537" s="75" t="s">
        <v>509</v>
      </c>
      <c r="M537" s="75" t="s">
        <v>535</v>
      </c>
      <c r="N537" s="75" t="s">
        <v>509</v>
      </c>
      <c r="O537" s="86" t="s">
        <v>535</v>
      </c>
      <c r="P537" s="75" t="s">
        <v>1792</v>
      </c>
    </row>
    <row r="538" spans="1:16">
      <c r="A538" s="63" t="s">
        <v>4282</v>
      </c>
      <c r="B538" s="14" t="str">
        <f>VLOOKUP(P538,'护理记录单文书字典(数据)'!B$4:C$99,2,0)</f>
        <v>221FC2350CFAB21112BE8C56394B3237</v>
      </c>
      <c r="C538" s="75" t="s">
        <v>2877</v>
      </c>
      <c r="D538" s="75" t="s">
        <v>1790</v>
      </c>
      <c r="E538" s="92" t="s">
        <v>2052</v>
      </c>
      <c r="F538" s="87">
        <v>1</v>
      </c>
      <c r="G538" s="87">
        <v>1</v>
      </c>
      <c r="H538" s="75" t="s">
        <v>1789</v>
      </c>
      <c r="I538" s="75"/>
      <c r="J538" s="75"/>
      <c r="K538" s="75" t="s">
        <v>162</v>
      </c>
      <c r="L538" s="75" t="s">
        <v>509</v>
      </c>
      <c r="M538" s="75" t="s">
        <v>535</v>
      </c>
      <c r="N538" s="75" t="s">
        <v>509</v>
      </c>
      <c r="O538" s="86" t="s">
        <v>535</v>
      </c>
      <c r="P538" s="75" t="s">
        <v>1792</v>
      </c>
    </row>
    <row r="539" spans="1:16">
      <c r="A539" s="63" t="s">
        <v>4282</v>
      </c>
      <c r="B539" s="14" t="str">
        <f>VLOOKUP(P539,'护理记录单文书字典(数据)'!B$4:C$99,2,0)</f>
        <v>221FC2350CFAB21112BE8C56394B3237</v>
      </c>
      <c r="C539" s="75" t="s">
        <v>2878</v>
      </c>
      <c r="D539" s="75" t="s">
        <v>2879</v>
      </c>
      <c r="E539" s="92" t="s">
        <v>2048</v>
      </c>
      <c r="F539" s="87">
        <v>1</v>
      </c>
      <c r="G539" s="87">
        <v>1</v>
      </c>
      <c r="H539" s="75"/>
      <c r="I539" s="75"/>
      <c r="J539" s="75"/>
      <c r="K539" s="75" t="s">
        <v>162</v>
      </c>
      <c r="L539" s="75" t="s">
        <v>509</v>
      </c>
      <c r="M539" s="75" t="s">
        <v>535</v>
      </c>
      <c r="N539" s="75" t="s">
        <v>509</v>
      </c>
      <c r="O539" s="86" t="s">
        <v>535</v>
      </c>
      <c r="P539" s="75" t="s">
        <v>1792</v>
      </c>
    </row>
    <row r="540" spans="1:16">
      <c r="A540" s="63" t="s">
        <v>4282</v>
      </c>
      <c r="B540" s="14" t="str">
        <f>VLOOKUP(P540,'护理记录单文书字典(数据)'!B$4:C$99,2,0)</f>
        <v>221FC2350CFAB21112BE8C56394B3237</v>
      </c>
      <c r="C540" s="75" t="s">
        <v>2880</v>
      </c>
      <c r="D540" s="75" t="s">
        <v>2881</v>
      </c>
      <c r="E540" s="92" t="s">
        <v>2048</v>
      </c>
      <c r="F540" s="87">
        <v>1</v>
      </c>
      <c r="G540" s="87">
        <v>1</v>
      </c>
      <c r="H540" s="75"/>
      <c r="I540" s="75"/>
      <c r="J540" s="75"/>
      <c r="K540" s="75" t="s">
        <v>162</v>
      </c>
      <c r="L540" s="75" t="s">
        <v>509</v>
      </c>
      <c r="M540" s="75" t="s">
        <v>535</v>
      </c>
      <c r="N540" s="75" t="s">
        <v>509</v>
      </c>
      <c r="O540" s="86" t="s">
        <v>535</v>
      </c>
      <c r="P540" s="75" t="s">
        <v>1792</v>
      </c>
    </row>
    <row r="541" spans="1:16">
      <c r="A541" s="63" t="s">
        <v>4282</v>
      </c>
      <c r="B541" s="14" t="str">
        <f>VLOOKUP(P541,'护理记录单文书字典(数据)'!B$4:C$99,2,0)</f>
        <v>221FC2350CFAB21112BE8C56394B3237</v>
      </c>
      <c r="C541" s="75" t="s">
        <v>2882</v>
      </c>
      <c r="D541" s="75" t="s">
        <v>2883</v>
      </c>
      <c r="E541" s="92" t="s">
        <v>2048</v>
      </c>
      <c r="F541" s="87">
        <v>1</v>
      </c>
      <c r="G541" s="87">
        <v>1</v>
      </c>
      <c r="H541" s="75"/>
      <c r="I541" s="75"/>
      <c r="J541" s="75"/>
      <c r="K541" s="75" t="s">
        <v>162</v>
      </c>
      <c r="L541" s="75" t="s">
        <v>509</v>
      </c>
      <c r="M541" s="75" t="s">
        <v>535</v>
      </c>
      <c r="N541" s="75" t="s">
        <v>509</v>
      </c>
      <c r="O541" s="86" t="s">
        <v>535</v>
      </c>
      <c r="P541" s="75" t="s">
        <v>1792</v>
      </c>
    </row>
    <row r="542" spans="1:16">
      <c r="A542" s="63" t="s">
        <v>4282</v>
      </c>
      <c r="B542" s="14" t="str">
        <f>VLOOKUP(P542,'护理记录单文书字典(数据)'!B$4:C$99,2,0)</f>
        <v>221FC2350CFAB21112BE8C56394B3237</v>
      </c>
      <c r="C542" s="75" t="s">
        <v>2884</v>
      </c>
      <c r="D542" s="75" t="s">
        <v>2885</v>
      </c>
      <c r="E542" s="92" t="s">
        <v>2048</v>
      </c>
      <c r="F542" s="87">
        <v>1</v>
      </c>
      <c r="G542" s="87">
        <v>1</v>
      </c>
      <c r="H542" s="75"/>
      <c r="I542" s="75"/>
      <c r="J542" s="75"/>
      <c r="K542" s="75" t="s">
        <v>162</v>
      </c>
      <c r="L542" s="75" t="s">
        <v>509</v>
      </c>
      <c r="M542" s="75" t="s">
        <v>535</v>
      </c>
      <c r="N542" s="75" t="s">
        <v>509</v>
      </c>
      <c r="O542" s="86" t="s">
        <v>535</v>
      </c>
      <c r="P542" s="75" t="s">
        <v>1792</v>
      </c>
    </row>
    <row r="543" spans="1:16">
      <c r="A543" s="63" t="s">
        <v>4282</v>
      </c>
      <c r="B543" s="14" t="str">
        <f>VLOOKUP(P543,'护理记录单文书字典(数据)'!B$4:C$99,2,0)</f>
        <v>221FC2350CFAB21112BE8C56394B3237</v>
      </c>
      <c r="C543" s="75" t="s">
        <v>2886</v>
      </c>
      <c r="D543" s="75" t="s">
        <v>2887</v>
      </c>
      <c r="E543" s="92" t="s">
        <v>2048</v>
      </c>
      <c r="F543" s="87">
        <v>1</v>
      </c>
      <c r="G543" s="87">
        <v>1</v>
      </c>
      <c r="H543" s="75"/>
      <c r="I543" s="75"/>
      <c r="J543" s="75"/>
      <c r="K543" s="75" t="s">
        <v>162</v>
      </c>
      <c r="L543" s="75" t="s">
        <v>509</v>
      </c>
      <c r="M543" s="75" t="s">
        <v>535</v>
      </c>
      <c r="N543" s="75" t="s">
        <v>509</v>
      </c>
      <c r="O543" s="86" t="s">
        <v>535</v>
      </c>
      <c r="P543" s="75" t="s">
        <v>1792</v>
      </c>
    </row>
    <row r="544" spans="1:16">
      <c r="A544" s="63" t="s">
        <v>4282</v>
      </c>
      <c r="B544" s="14" t="str">
        <f>VLOOKUP(P544,'护理记录单文书字典(数据)'!B$4:C$99,2,0)</f>
        <v>221FC2350CFAB21112BE8C56394B3237</v>
      </c>
      <c r="C544" s="75" t="s">
        <v>2888</v>
      </c>
      <c r="D544" s="75" t="s">
        <v>2889</v>
      </c>
      <c r="E544" s="92" t="s">
        <v>2048</v>
      </c>
      <c r="F544" s="87">
        <v>1</v>
      </c>
      <c r="G544" s="87">
        <v>1</v>
      </c>
      <c r="H544" s="75"/>
      <c r="I544" s="75"/>
      <c r="J544" s="75"/>
      <c r="K544" s="75" t="s">
        <v>162</v>
      </c>
      <c r="L544" s="75" t="s">
        <v>509</v>
      </c>
      <c r="M544" s="75" t="s">
        <v>535</v>
      </c>
      <c r="N544" s="75" t="s">
        <v>509</v>
      </c>
      <c r="O544" s="86" t="s">
        <v>535</v>
      </c>
      <c r="P544" s="75" t="s">
        <v>1792</v>
      </c>
    </row>
    <row r="545" spans="1:16">
      <c r="A545" s="63" t="s">
        <v>4282</v>
      </c>
      <c r="B545" s="14" t="str">
        <f>VLOOKUP(P545,'护理记录单文书字典(数据)'!B$4:C$99,2,0)</f>
        <v>221FC2350CFAB21112BE8C56394B3237</v>
      </c>
      <c r="C545" s="75" t="s">
        <v>2105</v>
      </c>
      <c r="D545" s="75" t="s">
        <v>2103</v>
      </c>
      <c r="E545" s="92" t="s">
        <v>2104</v>
      </c>
      <c r="F545" s="87">
        <v>1</v>
      </c>
      <c r="G545" s="87">
        <v>1</v>
      </c>
      <c r="H545" s="75"/>
      <c r="I545" s="75"/>
      <c r="J545" s="75"/>
      <c r="K545" s="75" t="s">
        <v>162</v>
      </c>
      <c r="L545" s="75" t="s">
        <v>509</v>
      </c>
      <c r="M545" s="75" t="s">
        <v>535</v>
      </c>
      <c r="N545" s="75" t="s">
        <v>509</v>
      </c>
      <c r="O545" s="86" t="s">
        <v>535</v>
      </c>
      <c r="P545" s="75" t="s">
        <v>1792</v>
      </c>
    </row>
    <row r="546" spans="1:16">
      <c r="A546" s="63" t="s">
        <v>4282</v>
      </c>
      <c r="B546" s="14" t="str">
        <f>VLOOKUP(P546,'护理记录单文书字典(数据)'!B$4:C$99,2,0)</f>
        <v>E45CCA350CFAB2115F988C257D86745F</v>
      </c>
      <c r="C546" s="75" t="s">
        <v>2873</v>
      </c>
      <c r="D546" s="75" t="s">
        <v>2874</v>
      </c>
      <c r="E546" s="92" t="s">
        <v>2048</v>
      </c>
      <c r="F546" s="87">
        <v>1</v>
      </c>
      <c r="G546" s="87">
        <v>1</v>
      </c>
      <c r="H546" s="75"/>
      <c r="I546" s="75"/>
      <c r="J546" s="75"/>
      <c r="K546" s="75" t="s">
        <v>162</v>
      </c>
      <c r="L546" s="75" t="s">
        <v>509</v>
      </c>
      <c r="M546" s="75" t="s">
        <v>535</v>
      </c>
      <c r="N546" s="75" t="s">
        <v>509</v>
      </c>
      <c r="O546" s="86" t="s">
        <v>535</v>
      </c>
      <c r="P546" s="75" t="s">
        <v>1798</v>
      </c>
    </row>
    <row r="547" spans="1:16">
      <c r="A547" s="63" t="s">
        <v>4282</v>
      </c>
      <c r="B547" s="14" t="str">
        <f>VLOOKUP(P547,'护理记录单文书字典(数据)'!B$4:C$99,2,0)</f>
        <v>E45CCA350CFAB2115F988C257D86745F</v>
      </c>
      <c r="C547" s="75" t="s">
        <v>2890</v>
      </c>
      <c r="D547" s="75" t="s">
        <v>2891</v>
      </c>
      <c r="E547" s="92" t="s">
        <v>2048</v>
      </c>
      <c r="F547" s="87">
        <v>1</v>
      </c>
      <c r="G547" s="87">
        <v>1</v>
      </c>
      <c r="H547" s="75"/>
      <c r="I547" s="75"/>
      <c r="J547" s="75"/>
      <c r="K547" s="75" t="s">
        <v>162</v>
      </c>
      <c r="L547" s="75" t="s">
        <v>509</v>
      </c>
      <c r="M547" s="75" t="s">
        <v>535</v>
      </c>
      <c r="N547" s="75" t="s">
        <v>509</v>
      </c>
      <c r="O547" s="86" t="s">
        <v>535</v>
      </c>
      <c r="P547" s="75" t="s">
        <v>1798</v>
      </c>
    </row>
    <row r="548" spans="1:16">
      <c r="A548" s="63" t="s">
        <v>4282</v>
      </c>
      <c r="B548" s="14" t="str">
        <f>VLOOKUP(P548,'护理记录单文书字典(数据)'!B$4:C$99,2,0)</f>
        <v>E45CCA350CFAB2115F988C257D86745F</v>
      </c>
      <c r="C548" s="75" t="s">
        <v>2892</v>
      </c>
      <c r="D548" s="75" t="s">
        <v>1796</v>
      </c>
      <c r="E548" s="92" t="s">
        <v>2052</v>
      </c>
      <c r="F548" s="87">
        <v>1</v>
      </c>
      <c r="G548" s="87">
        <v>1</v>
      </c>
      <c r="H548" s="75" t="s">
        <v>1795</v>
      </c>
      <c r="I548" s="75"/>
      <c r="J548" s="75"/>
      <c r="K548" s="75" t="s">
        <v>162</v>
      </c>
      <c r="L548" s="75" t="s">
        <v>509</v>
      </c>
      <c r="M548" s="75" t="s">
        <v>535</v>
      </c>
      <c r="N548" s="75" t="s">
        <v>509</v>
      </c>
      <c r="O548" s="86" t="s">
        <v>535</v>
      </c>
      <c r="P548" s="75" t="s">
        <v>1798</v>
      </c>
    </row>
    <row r="549" spans="1:16">
      <c r="A549" s="63" t="s">
        <v>4282</v>
      </c>
      <c r="B549" s="14" t="str">
        <f>VLOOKUP(P549,'护理记录单文书字典(数据)'!B$4:C$99,2,0)</f>
        <v>E45CCA350CFAB2115F988C257D86745F</v>
      </c>
      <c r="C549" s="75" t="s">
        <v>2893</v>
      </c>
      <c r="D549" s="75" t="s">
        <v>2894</v>
      </c>
      <c r="E549" s="92" t="s">
        <v>2048</v>
      </c>
      <c r="F549" s="87">
        <v>1</v>
      </c>
      <c r="G549" s="87">
        <v>1</v>
      </c>
      <c r="H549" s="75"/>
      <c r="I549" s="75"/>
      <c r="J549" s="75"/>
      <c r="K549" s="75" t="s">
        <v>162</v>
      </c>
      <c r="L549" s="75" t="s">
        <v>509</v>
      </c>
      <c r="M549" s="75" t="s">
        <v>535</v>
      </c>
      <c r="N549" s="75" t="s">
        <v>509</v>
      </c>
      <c r="O549" s="86" t="s">
        <v>535</v>
      </c>
      <c r="P549" s="75" t="s">
        <v>1798</v>
      </c>
    </row>
    <row r="550" spans="1:16">
      <c r="A550" s="63" t="s">
        <v>4282</v>
      </c>
      <c r="B550" s="14" t="str">
        <f>VLOOKUP(P550,'护理记录单文书字典(数据)'!B$4:C$99,2,0)</f>
        <v>E45CCA350CFAB2115F988C257D86745F</v>
      </c>
      <c r="C550" s="75" t="s">
        <v>2895</v>
      </c>
      <c r="D550" s="75" t="s">
        <v>2896</v>
      </c>
      <c r="E550" s="92" t="s">
        <v>2048</v>
      </c>
      <c r="F550" s="87">
        <v>1</v>
      </c>
      <c r="G550" s="87">
        <v>1</v>
      </c>
      <c r="H550" s="75"/>
      <c r="I550" s="75"/>
      <c r="J550" s="75"/>
      <c r="K550" s="75" t="s">
        <v>162</v>
      </c>
      <c r="L550" s="75" t="s">
        <v>509</v>
      </c>
      <c r="M550" s="75" t="s">
        <v>535</v>
      </c>
      <c r="N550" s="75" t="s">
        <v>509</v>
      </c>
      <c r="O550" s="86" t="s">
        <v>535</v>
      </c>
      <c r="P550" s="75" t="s">
        <v>1798</v>
      </c>
    </row>
    <row r="551" spans="1:16">
      <c r="A551" s="63" t="s">
        <v>4282</v>
      </c>
      <c r="B551" s="14" t="str">
        <f>VLOOKUP(P551,'护理记录单文书字典(数据)'!B$4:C$99,2,0)</f>
        <v>E45CCA350CFAB2115F988C257D86745F</v>
      </c>
      <c r="C551" s="75" t="s">
        <v>2882</v>
      </c>
      <c r="D551" s="75" t="s">
        <v>2883</v>
      </c>
      <c r="E551" s="92" t="s">
        <v>2048</v>
      </c>
      <c r="F551" s="87">
        <v>1</v>
      </c>
      <c r="G551" s="87">
        <v>1</v>
      </c>
      <c r="H551" s="75"/>
      <c r="I551" s="75"/>
      <c r="J551" s="75"/>
      <c r="K551" s="75" t="s">
        <v>162</v>
      </c>
      <c r="L551" s="75" t="s">
        <v>509</v>
      </c>
      <c r="M551" s="75" t="s">
        <v>535</v>
      </c>
      <c r="N551" s="75" t="s">
        <v>509</v>
      </c>
      <c r="O551" s="86" t="s">
        <v>535</v>
      </c>
      <c r="P551" s="75" t="s">
        <v>1798</v>
      </c>
    </row>
    <row r="552" spans="1:16">
      <c r="A552" s="63" t="s">
        <v>4282</v>
      </c>
      <c r="B552" s="14" t="str">
        <f>VLOOKUP(P552,'护理记录单文书字典(数据)'!B$4:C$99,2,0)</f>
        <v>E45CCA350CFAB2115F988C257D86745F</v>
      </c>
      <c r="C552" s="75" t="s">
        <v>2884</v>
      </c>
      <c r="D552" s="75" t="s">
        <v>2885</v>
      </c>
      <c r="E552" s="92" t="s">
        <v>2048</v>
      </c>
      <c r="F552" s="87">
        <v>1</v>
      </c>
      <c r="G552" s="87">
        <v>1</v>
      </c>
      <c r="H552" s="75"/>
      <c r="I552" s="75"/>
      <c r="J552" s="75"/>
      <c r="K552" s="75" t="s">
        <v>162</v>
      </c>
      <c r="L552" s="75" t="s">
        <v>509</v>
      </c>
      <c r="M552" s="75" t="s">
        <v>535</v>
      </c>
      <c r="N552" s="75" t="s">
        <v>509</v>
      </c>
      <c r="O552" s="86" t="s">
        <v>535</v>
      </c>
      <c r="P552" s="75" t="s">
        <v>1798</v>
      </c>
    </row>
    <row r="553" spans="1:16">
      <c r="A553" s="63" t="s">
        <v>4282</v>
      </c>
      <c r="B553" s="14" t="str">
        <f>VLOOKUP(P553,'护理记录单文书字典(数据)'!B$4:C$99,2,0)</f>
        <v>E45CCA350CFAB2115F988C257D86745F</v>
      </c>
      <c r="C553" s="75" t="s">
        <v>2897</v>
      </c>
      <c r="D553" s="75" t="s">
        <v>1455</v>
      </c>
      <c r="E553" s="92" t="s">
        <v>2048</v>
      </c>
      <c r="F553" s="87">
        <v>1</v>
      </c>
      <c r="G553" s="87">
        <v>1</v>
      </c>
      <c r="H553" s="75"/>
      <c r="I553" s="75"/>
      <c r="J553" s="75"/>
      <c r="K553" s="75" t="s">
        <v>162</v>
      </c>
      <c r="L553" s="75" t="s">
        <v>509</v>
      </c>
      <c r="M553" s="75" t="s">
        <v>535</v>
      </c>
      <c r="N553" s="75" t="s">
        <v>509</v>
      </c>
      <c r="O553" s="86" t="s">
        <v>535</v>
      </c>
      <c r="P553" s="75" t="s">
        <v>1798</v>
      </c>
    </row>
    <row r="554" spans="1:16">
      <c r="A554" s="63" t="s">
        <v>4282</v>
      </c>
      <c r="B554" s="14" t="str">
        <f>VLOOKUP(P554,'护理记录单文书字典(数据)'!B$4:C$99,2,0)</f>
        <v>E45CCA350CFAB2115F988C257D86745F</v>
      </c>
      <c r="C554" s="75" t="s">
        <v>2886</v>
      </c>
      <c r="D554" s="75" t="s">
        <v>2887</v>
      </c>
      <c r="E554" s="92" t="s">
        <v>2048</v>
      </c>
      <c r="F554" s="87">
        <v>1</v>
      </c>
      <c r="G554" s="87">
        <v>1</v>
      </c>
      <c r="H554" s="75"/>
      <c r="I554" s="75"/>
      <c r="J554" s="75"/>
      <c r="K554" s="75" t="s">
        <v>162</v>
      </c>
      <c r="L554" s="75" t="s">
        <v>509</v>
      </c>
      <c r="M554" s="75" t="s">
        <v>535</v>
      </c>
      <c r="N554" s="75" t="s">
        <v>509</v>
      </c>
      <c r="O554" s="86" t="s">
        <v>535</v>
      </c>
      <c r="P554" s="75" t="s">
        <v>1798</v>
      </c>
    </row>
    <row r="555" spans="1:16">
      <c r="A555" s="63" t="s">
        <v>4282</v>
      </c>
      <c r="B555" s="14" t="str">
        <f>VLOOKUP(P555,'护理记录单文书字典(数据)'!B$4:C$99,2,0)</f>
        <v>E45CCA350CFAB2115F988C257D86745F</v>
      </c>
      <c r="C555" s="75" t="s">
        <v>2888</v>
      </c>
      <c r="D555" s="75" t="s">
        <v>2889</v>
      </c>
      <c r="E555" s="92" t="s">
        <v>2048</v>
      </c>
      <c r="F555" s="87">
        <v>1</v>
      </c>
      <c r="G555" s="87">
        <v>1</v>
      </c>
      <c r="H555" s="75"/>
      <c r="I555" s="75"/>
      <c r="J555" s="75"/>
      <c r="K555" s="75" t="s">
        <v>162</v>
      </c>
      <c r="L555" s="75" t="s">
        <v>509</v>
      </c>
      <c r="M555" s="75" t="s">
        <v>535</v>
      </c>
      <c r="N555" s="75" t="s">
        <v>509</v>
      </c>
      <c r="O555" s="86" t="s">
        <v>535</v>
      </c>
      <c r="P555" s="75" t="s">
        <v>1798</v>
      </c>
    </row>
    <row r="556" spans="1:16">
      <c r="A556" s="198" t="s">
        <v>4282</v>
      </c>
      <c r="B556" s="14" t="str">
        <f>VLOOKUP(P556,'护理记录单文书字典(数据)'!B$4:C$99,2,0)</f>
        <v>E45CCA350CFAB2115F988C257D86745F</v>
      </c>
      <c r="C556" s="200" t="s">
        <v>2105</v>
      </c>
      <c r="D556" s="200" t="s">
        <v>2103</v>
      </c>
      <c r="E556" s="202" t="s">
        <v>2104</v>
      </c>
      <c r="F556" s="172">
        <v>1</v>
      </c>
      <c r="G556" s="172">
        <v>1</v>
      </c>
      <c r="H556" s="200"/>
      <c r="I556" s="200"/>
      <c r="J556" s="200"/>
      <c r="K556" s="200" t="s">
        <v>162</v>
      </c>
      <c r="L556" s="200" t="s">
        <v>509</v>
      </c>
      <c r="M556" s="200" t="s">
        <v>535</v>
      </c>
      <c r="N556" s="200" t="s">
        <v>509</v>
      </c>
      <c r="O556" s="86" t="s">
        <v>535</v>
      </c>
      <c r="P556" s="200" t="s">
        <v>1798</v>
      </c>
    </row>
    <row r="557" spans="1:16">
      <c r="A557" s="198" t="s">
        <v>4282</v>
      </c>
      <c r="B557" s="14" t="str">
        <f>VLOOKUP(P557,'护理记录单文书字典(数据)'!B$4:C$99,2,0)</f>
        <v>54A91D350CFAB211E9BAB426F0FD2874</v>
      </c>
      <c r="C557" s="200" t="s">
        <v>2046</v>
      </c>
      <c r="D557" s="200" t="s">
        <v>2047</v>
      </c>
      <c r="E557" s="202" t="s">
        <v>2048</v>
      </c>
      <c r="F557" s="172">
        <v>1</v>
      </c>
      <c r="G557" s="172">
        <v>1</v>
      </c>
      <c r="H557" s="200"/>
      <c r="I557" s="200"/>
      <c r="J557" s="200"/>
      <c r="K557" s="200" t="s">
        <v>162</v>
      </c>
      <c r="L557" s="200" t="s">
        <v>509</v>
      </c>
      <c r="M557" s="200" t="s">
        <v>535</v>
      </c>
      <c r="N557" s="200" t="s">
        <v>509</v>
      </c>
      <c r="O557" s="86" t="s">
        <v>535</v>
      </c>
      <c r="P557" s="200" t="s">
        <v>1143</v>
      </c>
    </row>
    <row r="558" spans="1:16">
      <c r="A558" s="198" t="s">
        <v>4282</v>
      </c>
      <c r="B558" s="14" t="str">
        <f>VLOOKUP(P558,'护理记录单文书字典(数据)'!B$4:C$99,2,0)</f>
        <v>54A91D350CFAB211E9BAB426F0FD2874</v>
      </c>
      <c r="C558" s="200" t="s">
        <v>2898</v>
      </c>
      <c r="D558" s="200" t="s">
        <v>1141</v>
      </c>
      <c r="E558" s="202" t="s">
        <v>2052</v>
      </c>
      <c r="F558" s="172">
        <v>1</v>
      </c>
      <c r="G558" s="172">
        <v>1</v>
      </c>
      <c r="H558" s="200" t="s">
        <v>1140</v>
      </c>
      <c r="I558" s="200"/>
      <c r="J558" s="200"/>
      <c r="K558" s="200" t="s">
        <v>162</v>
      </c>
      <c r="L558" s="200" t="s">
        <v>509</v>
      </c>
      <c r="M558" s="200" t="s">
        <v>535</v>
      </c>
      <c r="N558" s="200" t="s">
        <v>509</v>
      </c>
      <c r="O558" s="86" t="s">
        <v>535</v>
      </c>
      <c r="P558" s="200" t="s">
        <v>1143</v>
      </c>
    </row>
    <row r="559" spans="1:16">
      <c r="A559" s="63" t="s">
        <v>4282</v>
      </c>
      <c r="B559" s="14" t="str">
        <f>VLOOKUP(P559,'护理记录单文书字典(数据)'!B$4:C$99,2,0)</f>
        <v>54A91D350CFAB211E9BAB426F0FD2874</v>
      </c>
      <c r="C559" s="75" t="s">
        <v>2899</v>
      </c>
      <c r="D559" s="75" t="s">
        <v>1148</v>
      </c>
      <c r="E559" s="92" t="s">
        <v>2052</v>
      </c>
      <c r="F559" s="87">
        <v>1</v>
      </c>
      <c r="G559" s="87">
        <v>1</v>
      </c>
      <c r="H559" s="75" t="s">
        <v>1147</v>
      </c>
      <c r="I559" s="75"/>
      <c r="J559" s="75"/>
      <c r="K559" s="75" t="s">
        <v>162</v>
      </c>
      <c r="L559" s="75" t="s">
        <v>509</v>
      </c>
      <c r="M559" s="75" t="s">
        <v>535</v>
      </c>
      <c r="N559" s="75" t="s">
        <v>509</v>
      </c>
      <c r="O559" s="86" t="s">
        <v>535</v>
      </c>
      <c r="P559" s="75" t="s">
        <v>1143</v>
      </c>
    </row>
    <row r="560" spans="1:16">
      <c r="A560" s="63" t="s">
        <v>4282</v>
      </c>
      <c r="B560" s="14" t="str">
        <f>VLOOKUP(P560,'护理记录单文书字典(数据)'!B$4:C$99,2,0)</f>
        <v>54A91D350CFAB211E9BAB426F0FD2874</v>
      </c>
      <c r="C560" s="75" t="s">
        <v>2900</v>
      </c>
      <c r="D560" s="75" t="s">
        <v>1154</v>
      </c>
      <c r="E560" s="92" t="s">
        <v>2052</v>
      </c>
      <c r="F560" s="87">
        <v>1</v>
      </c>
      <c r="G560" s="87">
        <v>1</v>
      </c>
      <c r="H560" s="75" t="s">
        <v>1153</v>
      </c>
      <c r="I560" s="75"/>
      <c r="J560" s="75"/>
      <c r="K560" s="75" t="s">
        <v>162</v>
      </c>
      <c r="L560" s="75" t="s">
        <v>509</v>
      </c>
      <c r="M560" s="75" t="s">
        <v>535</v>
      </c>
      <c r="N560" s="75" t="s">
        <v>509</v>
      </c>
      <c r="O560" s="86" t="s">
        <v>535</v>
      </c>
      <c r="P560" s="75" t="s">
        <v>1143</v>
      </c>
    </row>
    <row r="561" spans="1:16">
      <c r="A561" s="63" t="s">
        <v>4282</v>
      </c>
      <c r="B561" s="14" t="str">
        <f>VLOOKUP(P561,'护理记录单文书字典(数据)'!B$4:C$99,2,0)</f>
        <v>54A91D350CFAB211E9BAB426F0FD2874</v>
      </c>
      <c r="C561" s="75" t="s">
        <v>2901</v>
      </c>
      <c r="D561" s="75" t="s">
        <v>1160</v>
      </c>
      <c r="E561" s="92" t="s">
        <v>2052</v>
      </c>
      <c r="F561" s="87">
        <v>1</v>
      </c>
      <c r="G561" s="87">
        <v>1</v>
      </c>
      <c r="H561" s="75" t="s">
        <v>1159</v>
      </c>
      <c r="I561" s="75"/>
      <c r="J561" s="75"/>
      <c r="K561" s="75" t="s">
        <v>162</v>
      </c>
      <c r="L561" s="75" t="s">
        <v>509</v>
      </c>
      <c r="M561" s="75" t="s">
        <v>535</v>
      </c>
      <c r="N561" s="75" t="s">
        <v>509</v>
      </c>
      <c r="O561" s="86" t="s">
        <v>535</v>
      </c>
      <c r="P561" s="75" t="s">
        <v>1143</v>
      </c>
    </row>
    <row r="562" spans="1:16">
      <c r="A562" s="63" t="s">
        <v>4282</v>
      </c>
      <c r="B562" s="14" t="str">
        <f>VLOOKUP(P562,'护理记录单文书字典(数据)'!B$4:C$99,2,0)</f>
        <v>54A91D350CFAB211E9BAB426F0FD2874</v>
      </c>
      <c r="C562" s="75" t="s">
        <v>2902</v>
      </c>
      <c r="D562" s="75" t="s">
        <v>1165</v>
      </c>
      <c r="E562" s="92" t="s">
        <v>2052</v>
      </c>
      <c r="F562" s="87">
        <v>1</v>
      </c>
      <c r="G562" s="87">
        <v>1</v>
      </c>
      <c r="H562" s="75" t="s">
        <v>1164</v>
      </c>
      <c r="I562" s="75"/>
      <c r="J562" s="75"/>
      <c r="K562" s="75" t="s">
        <v>162</v>
      </c>
      <c r="L562" s="75" t="s">
        <v>509</v>
      </c>
      <c r="M562" s="75" t="s">
        <v>535</v>
      </c>
      <c r="N562" s="75" t="s">
        <v>509</v>
      </c>
      <c r="O562" s="86" t="s">
        <v>535</v>
      </c>
      <c r="P562" s="75" t="s">
        <v>1143</v>
      </c>
    </row>
    <row r="563" spans="1:16">
      <c r="A563" s="63" t="s">
        <v>4282</v>
      </c>
      <c r="B563" s="14" t="str">
        <f>VLOOKUP(P563,'护理记录单文书字典(数据)'!B$4:C$99,2,0)</f>
        <v>54A91D350CFAB211E9BAB426F0FD2874</v>
      </c>
      <c r="C563" s="75" t="s">
        <v>2903</v>
      </c>
      <c r="D563" s="75" t="s">
        <v>1170</v>
      </c>
      <c r="E563" s="92" t="s">
        <v>2052</v>
      </c>
      <c r="F563" s="87">
        <v>1</v>
      </c>
      <c r="G563" s="87">
        <v>1</v>
      </c>
      <c r="H563" s="75" t="s">
        <v>1169</v>
      </c>
      <c r="I563" s="75"/>
      <c r="J563" s="75"/>
      <c r="K563" s="75" t="s">
        <v>162</v>
      </c>
      <c r="L563" s="75" t="s">
        <v>509</v>
      </c>
      <c r="M563" s="75" t="s">
        <v>535</v>
      </c>
      <c r="N563" s="75" t="s">
        <v>509</v>
      </c>
      <c r="O563" s="86" t="s">
        <v>535</v>
      </c>
      <c r="P563" s="75" t="s">
        <v>1143</v>
      </c>
    </row>
    <row r="564" spans="1:16">
      <c r="A564" s="198" t="s">
        <v>4282</v>
      </c>
      <c r="B564" s="14" t="str">
        <f>VLOOKUP(P564,'护理记录单文书字典(数据)'!B$4:C$99,2,0)</f>
        <v>54A91D350CFAB211E9BAB426F0FD2874</v>
      </c>
      <c r="C564" s="200" t="s">
        <v>3027</v>
      </c>
      <c r="D564" s="200" t="s">
        <v>3028</v>
      </c>
      <c r="E564" s="202" t="s">
        <v>2048</v>
      </c>
      <c r="F564" s="172">
        <v>1</v>
      </c>
      <c r="G564" s="172">
        <v>1</v>
      </c>
      <c r="H564" s="200"/>
      <c r="I564" s="200"/>
      <c r="J564" s="200"/>
      <c r="K564" s="200" t="s">
        <v>162</v>
      </c>
      <c r="L564" s="200" t="s">
        <v>509</v>
      </c>
      <c r="M564" s="200" t="s">
        <v>535</v>
      </c>
      <c r="N564" s="200" t="s">
        <v>509</v>
      </c>
      <c r="O564" s="86" t="s">
        <v>535</v>
      </c>
      <c r="P564" s="200" t="s">
        <v>1143</v>
      </c>
    </row>
    <row r="565" spans="1:16">
      <c r="A565" s="198" t="s">
        <v>4282</v>
      </c>
      <c r="B565" s="14" t="str">
        <f>VLOOKUP(P565,'护理记录单文书字典(数据)'!B$4:C$99,2,0)</f>
        <v>54A91D350CFAB211E9BAB426F0FD2874</v>
      </c>
      <c r="C565" s="200" t="s">
        <v>2057</v>
      </c>
      <c r="D565" s="200" t="s">
        <v>2906</v>
      </c>
      <c r="E565" s="202" t="s">
        <v>2048</v>
      </c>
      <c r="F565" s="172">
        <v>1</v>
      </c>
      <c r="G565" s="172">
        <v>1</v>
      </c>
      <c r="H565" s="200"/>
      <c r="I565" s="200"/>
      <c r="J565" s="200"/>
      <c r="K565" s="200" t="s">
        <v>162</v>
      </c>
      <c r="L565" s="200" t="s">
        <v>509</v>
      </c>
      <c r="M565" s="200" t="s">
        <v>535</v>
      </c>
      <c r="N565" s="200" t="s">
        <v>509</v>
      </c>
      <c r="O565" s="86" t="s">
        <v>535</v>
      </c>
      <c r="P565" s="200" t="s">
        <v>1143</v>
      </c>
    </row>
    <row r="566" spans="1:16">
      <c r="A566" s="198" t="s">
        <v>4282</v>
      </c>
      <c r="B566" s="14" t="str">
        <f>VLOOKUP(P566,'护理记录单文书字典(数据)'!B$4:C$99,2,0)</f>
        <v>9F7516350CFAB2110ABE8B806C85493D</v>
      </c>
      <c r="C566" s="200" t="s">
        <v>2046</v>
      </c>
      <c r="D566" s="200" t="s">
        <v>2047</v>
      </c>
      <c r="E566" s="202" t="s">
        <v>2048</v>
      </c>
      <c r="F566" s="172">
        <v>1</v>
      </c>
      <c r="G566" s="172">
        <v>1</v>
      </c>
      <c r="H566" s="200"/>
      <c r="I566" s="200"/>
      <c r="J566" s="200"/>
      <c r="K566" s="200" t="s">
        <v>162</v>
      </c>
      <c r="L566" s="200" t="s">
        <v>509</v>
      </c>
      <c r="M566" s="200" t="s">
        <v>535</v>
      </c>
      <c r="N566" s="200" t="s">
        <v>509</v>
      </c>
      <c r="O566" s="86" t="s">
        <v>535</v>
      </c>
      <c r="P566" s="200" t="s">
        <v>2904</v>
      </c>
    </row>
    <row r="567" spans="1:16">
      <c r="A567" s="198" t="s">
        <v>4282</v>
      </c>
      <c r="B567" s="14" t="str">
        <f>VLOOKUP(P567,'护理记录单文书字典(数据)'!B$4:C$99,2,0)</f>
        <v>9F7516350CFAB2110ABE8B806C85493D</v>
      </c>
      <c r="C567" s="200" t="s">
        <v>2905</v>
      </c>
      <c r="D567" s="200" t="s">
        <v>1317</v>
      </c>
      <c r="E567" s="202" t="s">
        <v>2048</v>
      </c>
      <c r="F567" s="172">
        <v>1</v>
      </c>
      <c r="G567" s="172">
        <v>1</v>
      </c>
      <c r="H567" s="200"/>
      <c r="I567" s="200"/>
      <c r="J567" s="200"/>
      <c r="K567" s="200" t="s">
        <v>162</v>
      </c>
      <c r="L567" s="200" t="s">
        <v>509</v>
      </c>
      <c r="M567" s="200" t="s">
        <v>535</v>
      </c>
      <c r="N567" s="200" t="s">
        <v>509</v>
      </c>
      <c r="O567" s="86" t="s">
        <v>535</v>
      </c>
      <c r="P567" s="200" t="s">
        <v>2904</v>
      </c>
    </row>
    <row r="568" spans="1:16">
      <c r="A568" s="198" t="s">
        <v>4282</v>
      </c>
      <c r="B568" s="14" t="str">
        <f>VLOOKUP(P568,'护理记录单文书字典(数据)'!B$4:C$99,2,0)</f>
        <v>9F7516350CFAB2110ABE8B806C85493D</v>
      </c>
      <c r="C568" s="200" t="s">
        <v>2057</v>
      </c>
      <c r="D568" s="200" t="s">
        <v>2906</v>
      </c>
      <c r="E568" s="202" t="s">
        <v>2048</v>
      </c>
      <c r="F568" s="172">
        <v>1</v>
      </c>
      <c r="G568" s="172">
        <v>1</v>
      </c>
      <c r="H568" s="200"/>
      <c r="I568" s="200"/>
      <c r="J568" s="200"/>
      <c r="K568" s="200" t="s">
        <v>162</v>
      </c>
      <c r="L568" s="200" t="s">
        <v>509</v>
      </c>
      <c r="M568" s="200" t="s">
        <v>535</v>
      </c>
      <c r="N568" s="200" t="s">
        <v>509</v>
      </c>
      <c r="O568" s="86" t="s">
        <v>535</v>
      </c>
      <c r="P568" s="200" t="s">
        <v>2904</v>
      </c>
    </row>
    <row r="569" spans="1:16">
      <c r="A569" s="198" t="s">
        <v>4282</v>
      </c>
      <c r="B569" s="14" t="str">
        <f>VLOOKUP(P569,'护理记录单文书字典(数据)'!B$4:C$99,2,0)</f>
        <v>9F7516350CFAB2110ABE8B806C85493D</v>
      </c>
      <c r="C569" s="200" t="s">
        <v>2105</v>
      </c>
      <c r="D569" s="200" t="s">
        <v>2103</v>
      </c>
      <c r="E569" s="202" t="s">
        <v>2104</v>
      </c>
      <c r="F569" s="172">
        <v>1</v>
      </c>
      <c r="G569" s="172">
        <v>1</v>
      </c>
      <c r="H569" s="200"/>
      <c r="I569" s="200"/>
      <c r="J569" s="200"/>
      <c r="K569" s="200" t="s">
        <v>162</v>
      </c>
      <c r="L569" s="200" t="s">
        <v>509</v>
      </c>
      <c r="M569" s="200" t="s">
        <v>535</v>
      </c>
      <c r="N569" s="200" t="s">
        <v>509</v>
      </c>
      <c r="O569" s="86" t="s">
        <v>535</v>
      </c>
      <c r="P569" s="200" t="s">
        <v>2904</v>
      </c>
    </row>
    <row r="570" spans="1:16">
      <c r="A570" s="63" t="s">
        <v>4282</v>
      </c>
      <c r="B570" s="14" t="str">
        <f>VLOOKUP(P570,'护理记录单文书字典(数据)'!B$4:C$99,2,0)</f>
        <v>5FD4A8350CFAB211E48C7F3CF1F44A6B</v>
      </c>
      <c r="C570" s="75" t="s">
        <v>2907</v>
      </c>
      <c r="D570" s="75" t="s">
        <v>10</v>
      </c>
      <c r="E570" s="92" t="s">
        <v>2048</v>
      </c>
      <c r="F570" s="87">
        <v>1</v>
      </c>
      <c r="G570" s="87">
        <v>1</v>
      </c>
      <c r="H570" s="75"/>
      <c r="I570" s="75"/>
      <c r="J570" s="75"/>
      <c r="K570" s="75" t="s">
        <v>162</v>
      </c>
      <c r="L570" s="75" t="s">
        <v>509</v>
      </c>
      <c r="M570" s="75" t="s">
        <v>535</v>
      </c>
      <c r="N570" s="75" t="s">
        <v>509</v>
      </c>
      <c r="O570" s="86" t="s">
        <v>535</v>
      </c>
      <c r="P570" s="75" t="s">
        <v>2908</v>
      </c>
    </row>
    <row r="571" spans="1:16">
      <c r="A571" s="63" t="s">
        <v>4282</v>
      </c>
      <c r="B571" s="14" t="str">
        <f>VLOOKUP(P571,'护理记录单文书字典(数据)'!B$4:C$99,2,0)</f>
        <v>5FD4A8350CFAB211E48C7F3CF1F44A6B</v>
      </c>
      <c r="C571" s="75" t="s">
        <v>2909</v>
      </c>
      <c r="D571" s="75" t="s">
        <v>2910</v>
      </c>
      <c r="E571" s="92" t="s">
        <v>2048</v>
      </c>
      <c r="F571" s="87">
        <v>1</v>
      </c>
      <c r="G571" s="87">
        <v>1</v>
      </c>
      <c r="H571" s="75"/>
      <c r="I571" s="75"/>
      <c r="J571" s="75"/>
      <c r="K571" s="75" t="s">
        <v>162</v>
      </c>
      <c r="L571" s="75" t="s">
        <v>509</v>
      </c>
      <c r="M571" s="75" t="s">
        <v>535</v>
      </c>
      <c r="N571" s="75" t="s">
        <v>509</v>
      </c>
      <c r="O571" s="86" t="s">
        <v>535</v>
      </c>
      <c r="P571" s="75" t="s">
        <v>2908</v>
      </c>
    </row>
    <row r="572" spans="1:16">
      <c r="A572" s="63" t="s">
        <v>4282</v>
      </c>
      <c r="B572" s="14" t="str">
        <f>VLOOKUP(P572,'护理记录单文书字典(数据)'!B$4:C$99,2,0)</f>
        <v>5FD4A8350CFAB211E48C7F3CF1F44A6B</v>
      </c>
      <c r="C572" s="75" t="s">
        <v>2911</v>
      </c>
      <c r="D572" s="75" t="s">
        <v>2912</v>
      </c>
      <c r="E572" s="92" t="s">
        <v>2048</v>
      </c>
      <c r="F572" s="87">
        <v>1</v>
      </c>
      <c r="G572" s="87">
        <v>1</v>
      </c>
      <c r="H572" s="75"/>
      <c r="I572" s="75"/>
      <c r="J572" s="75"/>
      <c r="K572" s="75" t="s">
        <v>162</v>
      </c>
      <c r="L572" s="75" t="s">
        <v>509</v>
      </c>
      <c r="M572" s="75" t="s">
        <v>535</v>
      </c>
      <c r="N572" s="75" t="s">
        <v>509</v>
      </c>
      <c r="O572" s="86" t="s">
        <v>535</v>
      </c>
      <c r="P572" s="75" t="s">
        <v>2908</v>
      </c>
    </row>
    <row r="573" spans="1:16">
      <c r="A573" s="63" t="s">
        <v>4282</v>
      </c>
      <c r="B573" s="14" t="str">
        <f>VLOOKUP(P573,'护理记录单文书字典(数据)'!B$4:C$99,2,0)</f>
        <v>5FD4A8350CFAB211E48C7F3CF1F44A6B</v>
      </c>
      <c r="C573" s="75" t="s">
        <v>2913</v>
      </c>
      <c r="D573" s="75" t="s">
        <v>2914</v>
      </c>
      <c r="E573" s="92" t="s">
        <v>2048</v>
      </c>
      <c r="F573" s="87">
        <v>1</v>
      </c>
      <c r="G573" s="87">
        <v>1</v>
      </c>
      <c r="H573" s="75"/>
      <c r="I573" s="75"/>
      <c r="J573" s="75"/>
      <c r="K573" s="75" t="s">
        <v>162</v>
      </c>
      <c r="L573" s="75" t="s">
        <v>509</v>
      </c>
      <c r="M573" s="75" t="s">
        <v>535</v>
      </c>
      <c r="N573" s="75" t="s">
        <v>509</v>
      </c>
      <c r="O573" s="86" t="s">
        <v>535</v>
      </c>
      <c r="P573" s="75" t="s">
        <v>2908</v>
      </c>
    </row>
    <row r="574" spans="1:16">
      <c r="A574" s="63" t="s">
        <v>4282</v>
      </c>
      <c r="B574" s="14" t="str">
        <f>VLOOKUP(P574,'护理记录单文书字典(数据)'!B$4:C$99,2,0)</f>
        <v>5FD4A8350CFAB211E48C7F3CF1F44A6B</v>
      </c>
      <c r="C574" s="75" t="s">
        <v>2915</v>
      </c>
      <c r="D574" s="75" t="s">
        <v>2916</v>
      </c>
      <c r="E574" s="92" t="s">
        <v>2048</v>
      </c>
      <c r="F574" s="87">
        <v>1</v>
      </c>
      <c r="G574" s="87">
        <v>1</v>
      </c>
      <c r="H574" s="75"/>
      <c r="I574" s="75"/>
      <c r="J574" s="75"/>
      <c r="K574" s="75" t="s">
        <v>162</v>
      </c>
      <c r="L574" s="75" t="s">
        <v>509</v>
      </c>
      <c r="M574" s="75" t="s">
        <v>535</v>
      </c>
      <c r="N574" s="75" t="s">
        <v>509</v>
      </c>
      <c r="O574" s="86" t="s">
        <v>535</v>
      </c>
      <c r="P574" s="75" t="s">
        <v>2908</v>
      </c>
    </row>
    <row r="575" spans="1:16">
      <c r="A575" s="63" t="s">
        <v>4282</v>
      </c>
      <c r="B575" s="14" t="str">
        <f>VLOOKUP(P575,'护理记录单文书字典(数据)'!B$4:C$99,2,0)</f>
        <v>5FD4A8350CFAB211E48C7F3CF1F44A6B</v>
      </c>
      <c r="C575" s="75" t="s">
        <v>2917</v>
      </c>
      <c r="D575" s="75" t="s">
        <v>2918</v>
      </c>
      <c r="E575" s="92" t="s">
        <v>2048</v>
      </c>
      <c r="F575" s="87">
        <v>1</v>
      </c>
      <c r="G575" s="87">
        <v>1</v>
      </c>
      <c r="H575" s="75"/>
      <c r="I575" s="75"/>
      <c r="J575" s="75"/>
      <c r="K575" s="75" t="s">
        <v>162</v>
      </c>
      <c r="L575" s="75" t="s">
        <v>509</v>
      </c>
      <c r="M575" s="75" t="s">
        <v>535</v>
      </c>
      <c r="N575" s="75" t="s">
        <v>509</v>
      </c>
      <c r="O575" s="86" t="s">
        <v>535</v>
      </c>
      <c r="P575" s="75" t="s">
        <v>2908</v>
      </c>
    </row>
    <row r="576" spans="1:16">
      <c r="A576" s="63" t="s">
        <v>4282</v>
      </c>
      <c r="B576" s="14" t="str">
        <f>VLOOKUP(P576,'护理记录单文书字典(数据)'!B$4:C$99,2,0)</f>
        <v>5FD4A8350CFAB211E48C7F3CF1F44A6B</v>
      </c>
      <c r="C576" s="75" t="s">
        <v>2919</v>
      </c>
      <c r="D576" s="75" t="s">
        <v>2920</v>
      </c>
      <c r="E576" s="92" t="s">
        <v>2048</v>
      </c>
      <c r="F576" s="87">
        <v>1</v>
      </c>
      <c r="G576" s="87">
        <v>1</v>
      </c>
      <c r="H576" s="75"/>
      <c r="I576" s="75"/>
      <c r="J576" s="75"/>
      <c r="K576" s="75" t="s">
        <v>162</v>
      </c>
      <c r="L576" s="75" t="s">
        <v>509</v>
      </c>
      <c r="M576" s="75" t="s">
        <v>535</v>
      </c>
      <c r="N576" s="75" t="s">
        <v>509</v>
      </c>
      <c r="O576" s="75" t="s">
        <v>535</v>
      </c>
      <c r="P576" s="75" t="s">
        <v>2908</v>
      </c>
    </row>
    <row r="577" spans="1:16">
      <c r="A577" s="63" t="s">
        <v>4282</v>
      </c>
      <c r="B577" s="14" t="str">
        <f>VLOOKUP(P577,'护理记录单文书字典(数据)'!B$4:C$99,2,0)</f>
        <v>5FD4A8350CFAB211E48C7F3CF1F44A6B</v>
      </c>
      <c r="C577" s="75" t="s">
        <v>2921</v>
      </c>
      <c r="D577" s="75" t="s">
        <v>2922</v>
      </c>
      <c r="E577" s="92" t="s">
        <v>2048</v>
      </c>
      <c r="F577" s="87">
        <v>1</v>
      </c>
      <c r="G577" s="87">
        <v>1</v>
      </c>
      <c r="H577" s="75"/>
      <c r="I577" s="75"/>
      <c r="J577" s="75"/>
      <c r="K577" s="75" t="s">
        <v>162</v>
      </c>
      <c r="L577" s="75" t="s">
        <v>509</v>
      </c>
      <c r="M577" s="75" t="s">
        <v>535</v>
      </c>
      <c r="N577" s="75" t="s">
        <v>509</v>
      </c>
      <c r="O577" s="75" t="s">
        <v>535</v>
      </c>
      <c r="P577" s="75" t="s">
        <v>2908</v>
      </c>
    </row>
    <row r="578" spans="1:16">
      <c r="A578" s="63" t="s">
        <v>4282</v>
      </c>
      <c r="B578" s="14" t="str">
        <f>VLOOKUP(P578,'护理记录单文书字典(数据)'!B$4:C$99,2,0)</f>
        <v>5FD4A8350CFAB211E48C7F3CF1F44A6B</v>
      </c>
      <c r="C578" s="75" t="s">
        <v>2923</v>
      </c>
      <c r="D578" s="75" t="s">
        <v>2924</v>
      </c>
      <c r="E578" s="92" t="s">
        <v>2048</v>
      </c>
      <c r="F578" s="87">
        <v>1</v>
      </c>
      <c r="G578" s="87">
        <v>1</v>
      </c>
      <c r="H578" s="75"/>
      <c r="I578" s="75"/>
      <c r="J578" s="75"/>
      <c r="K578" s="75" t="s">
        <v>162</v>
      </c>
      <c r="L578" s="75" t="s">
        <v>509</v>
      </c>
      <c r="M578" s="75" t="s">
        <v>535</v>
      </c>
      <c r="N578" s="75" t="s">
        <v>509</v>
      </c>
      <c r="O578" s="75" t="s">
        <v>535</v>
      </c>
      <c r="P578" s="75" t="s">
        <v>2908</v>
      </c>
    </row>
    <row r="579" spans="1:16">
      <c r="A579" s="63" t="s">
        <v>4282</v>
      </c>
      <c r="B579" s="14" t="str">
        <f>VLOOKUP(P579,'护理记录单文书字典(数据)'!B$4:C$99,2,0)</f>
        <v>5FD4A8350CFAB211E48C7F3CF1F44A6B</v>
      </c>
      <c r="C579" s="75" t="s">
        <v>2925</v>
      </c>
      <c r="D579" s="75" t="s">
        <v>2926</v>
      </c>
      <c r="E579" s="92" t="s">
        <v>2048</v>
      </c>
      <c r="F579" s="87">
        <v>1</v>
      </c>
      <c r="G579" s="87">
        <v>1</v>
      </c>
      <c r="H579" s="75"/>
      <c r="I579" s="75"/>
      <c r="J579" s="75"/>
      <c r="K579" s="75" t="s">
        <v>162</v>
      </c>
      <c r="L579" s="75" t="s">
        <v>509</v>
      </c>
      <c r="M579" s="75" t="s">
        <v>535</v>
      </c>
      <c r="N579" s="75" t="s">
        <v>509</v>
      </c>
      <c r="O579" s="75" t="s">
        <v>535</v>
      </c>
      <c r="P579" s="75" t="s">
        <v>2908</v>
      </c>
    </row>
    <row r="580" spans="1:16">
      <c r="A580" s="63" t="s">
        <v>4282</v>
      </c>
      <c r="B580" s="14" t="str">
        <f>VLOOKUP(P580,'护理记录单文书字典(数据)'!B$4:C$99,2,0)</f>
        <v>5FD4A8350CFAB211E48C7F3CF1F44A6B</v>
      </c>
      <c r="C580" s="75" t="s">
        <v>2927</v>
      </c>
      <c r="D580" s="75" t="s">
        <v>2928</v>
      </c>
      <c r="E580" s="92" t="s">
        <v>2048</v>
      </c>
      <c r="F580" s="87">
        <v>1</v>
      </c>
      <c r="G580" s="87">
        <v>1</v>
      </c>
      <c r="H580" s="75"/>
      <c r="I580" s="75"/>
      <c r="J580" s="75"/>
      <c r="K580" s="75" t="s">
        <v>162</v>
      </c>
      <c r="L580" s="75" t="s">
        <v>509</v>
      </c>
      <c r="M580" s="75" t="s">
        <v>535</v>
      </c>
      <c r="N580" s="75" t="s">
        <v>509</v>
      </c>
      <c r="O580" s="75" t="s">
        <v>535</v>
      </c>
      <c r="P580" s="75" t="s">
        <v>2908</v>
      </c>
    </row>
    <row r="581" spans="1:16">
      <c r="A581" s="63" t="s">
        <v>4282</v>
      </c>
      <c r="B581" s="14" t="str">
        <f>VLOOKUP(P581,'护理记录单文书字典(数据)'!B$4:C$99,2,0)</f>
        <v>5FD4A8350CFAB211E48C7F3CF1F44A6B</v>
      </c>
      <c r="C581" s="75" t="s">
        <v>2929</v>
      </c>
      <c r="D581" s="75" t="s">
        <v>2930</v>
      </c>
      <c r="E581" s="92" t="s">
        <v>2048</v>
      </c>
      <c r="F581" s="87">
        <v>1</v>
      </c>
      <c r="G581" s="87">
        <v>1</v>
      </c>
      <c r="H581" s="75"/>
      <c r="I581" s="75"/>
      <c r="J581" s="75"/>
      <c r="K581" s="75" t="s">
        <v>162</v>
      </c>
      <c r="L581" s="75" t="s">
        <v>509</v>
      </c>
      <c r="M581" s="75" t="s">
        <v>535</v>
      </c>
      <c r="N581" s="75" t="s">
        <v>509</v>
      </c>
      <c r="O581" s="75" t="s">
        <v>535</v>
      </c>
      <c r="P581" s="75" t="s">
        <v>2908</v>
      </c>
    </row>
    <row r="582" spans="1:16">
      <c r="A582" s="63" t="s">
        <v>4282</v>
      </c>
      <c r="B582" s="14" t="str">
        <f>VLOOKUP(P582,'护理记录单文书字典(数据)'!B$4:C$99,2,0)</f>
        <v>5FD4A8350CFAB211E48C7F3CF1F44A6B</v>
      </c>
      <c r="C582" s="75" t="s">
        <v>2931</v>
      </c>
      <c r="D582" s="75" t="s">
        <v>2932</v>
      </c>
      <c r="E582" s="92" t="s">
        <v>2048</v>
      </c>
      <c r="F582" s="87">
        <v>1</v>
      </c>
      <c r="G582" s="87">
        <v>1</v>
      </c>
      <c r="H582" s="75"/>
      <c r="I582" s="75"/>
      <c r="J582" s="75"/>
      <c r="K582" s="75" t="s">
        <v>162</v>
      </c>
      <c r="L582" s="75" t="s">
        <v>509</v>
      </c>
      <c r="M582" s="75" t="s">
        <v>535</v>
      </c>
      <c r="N582" s="75" t="s">
        <v>509</v>
      </c>
      <c r="O582" s="75" t="s">
        <v>535</v>
      </c>
      <c r="P582" s="75" t="s">
        <v>2908</v>
      </c>
    </row>
    <row r="583" spans="1:16">
      <c r="A583" s="63" t="s">
        <v>4282</v>
      </c>
      <c r="B583" s="14" t="str">
        <f>VLOOKUP(P583,'护理记录单文书字典(数据)'!B$4:C$99,2,0)</f>
        <v>5FD4A8350CFAB211E48C7F3CF1F44A6B</v>
      </c>
      <c r="C583" s="75" t="s">
        <v>2933</v>
      </c>
      <c r="D583" s="75" t="s">
        <v>2934</v>
      </c>
      <c r="E583" s="92" t="s">
        <v>2048</v>
      </c>
      <c r="F583" s="87">
        <v>1</v>
      </c>
      <c r="G583" s="87">
        <v>1</v>
      </c>
      <c r="H583" s="75"/>
      <c r="I583" s="75"/>
      <c r="J583" s="75"/>
      <c r="K583" s="75" t="s">
        <v>162</v>
      </c>
      <c r="L583" s="75" t="s">
        <v>509</v>
      </c>
      <c r="M583" s="75" t="s">
        <v>535</v>
      </c>
      <c r="N583" s="75" t="s">
        <v>509</v>
      </c>
      <c r="O583" s="75" t="s">
        <v>535</v>
      </c>
      <c r="P583" s="75" t="s">
        <v>2908</v>
      </c>
    </row>
    <row r="584" spans="1:16">
      <c r="A584" s="63" t="s">
        <v>4282</v>
      </c>
      <c r="B584" s="14" t="str">
        <f>VLOOKUP(P584,'护理记录单文书字典(数据)'!B$4:C$99,2,0)</f>
        <v>5FD4A8350CFAB211E48C7F3CF1F44A6B</v>
      </c>
      <c r="C584" s="75" t="s">
        <v>2935</v>
      </c>
      <c r="D584" s="75" t="s">
        <v>2936</v>
      </c>
      <c r="E584" s="92" t="s">
        <v>2119</v>
      </c>
      <c r="F584" s="87">
        <v>1</v>
      </c>
      <c r="G584" s="87">
        <v>1</v>
      </c>
      <c r="H584" s="75" t="s">
        <v>2937</v>
      </c>
      <c r="I584" s="75"/>
      <c r="J584" s="75"/>
      <c r="K584" s="75" t="s">
        <v>162</v>
      </c>
      <c r="L584" s="75" t="s">
        <v>509</v>
      </c>
      <c r="M584" s="75" t="s">
        <v>535</v>
      </c>
      <c r="N584" s="75" t="s">
        <v>509</v>
      </c>
      <c r="O584" s="75" t="s">
        <v>535</v>
      </c>
      <c r="P584" s="75" t="s">
        <v>2908</v>
      </c>
    </row>
    <row r="585" spans="1:16">
      <c r="A585" s="63" t="s">
        <v>4282</v>
      </c>
      <c r="B585" s="14" t="str">
        <f>VLOOKUP(P585,'护理记录单文书字典(数据)'!B$4:C$99,2,0)</f>
        <v>5FD4A8350CFAB211E48C7F3CF1F44A6B</v>
      </c>
      <c r="C585" s="75" t="s">
        <v>2938</v>
      </c>
      <c r="D585" s="75" t="s">
        <v>2939</v>
      </c>
      <c r="E585" s="92" t="s">
        <v>2048</v>
      </c>
      <c r="F585" s="87">
        <v>1</v>
      </c>
      <c r="G585" s="87">
        <v>1</v>
      </c>
      <c r="H585" s="75"/>
      <c r="I585" s="75"/>
      <c r="J585" s="75"/>
      <c r="K585" s="75" t="s">
        <v>162</v>
      </c>
      <c r="L585" s="75" t="s">
        <v>509</v>
      </c>
      <c r="M585" s="75" t="s">
        <v>535</v>
      </c>
      <c r="N585" s="75" t="s">
        <v>509</v>
      </c>
      <c r="O585" s="75" t="s">
        <v>535</v>
      </c>
      <c r="P585" s="75" t="s">
        <v>2908</v>
      </c>
    </row>
    <row r="586" spans="1:16">
      <c r="A586" s="63" t="s">
        <v>4282</v>
      </c>
      <c r="B586" s="14" t="str">
        <f>VLOOKUP(P586,'护理记录单文书字典(数据)'!B$4:C$99,2,0)</f>
        <v>5FD4A8350CFAB211E48C7F3CF1F44A6B</v>
      </c>
      <c r="C586" s="75" t="s">
        <v>2105</v>
      </c>
      <c r="D586" s="75" t="s">
        <v>2103</v>
      </c>
      <c r="E586" s="92" t="s">
        <v>2104</v>
      </c>
      <c r="F586" s="87">
        <v>1</v>
      </c>
      <c r="G586" s="87">
        <v>1</v>
      </c>
      <c r="H586" s="75"/>
      <c r="I586" s="75"/>
      <c r="J586" s="75"/>
      <c r="K586" s="75" t="s">
        <v>162</v>
      </c>
      <c r="L586" s="75" t="s">
        <v>509</v>
      </c>
      <c r="M586" s="75" t="s">
        <v>535</v>
      </c>
      <c r="N586" s="75" t="s">
        <v>509</v>
      </c>
      <c r="O586" s="75" t="s">
        <v>535</v>
      </c>
      <c r="P586" s="75" t="s">
        <v>2908</v>
      </c>
    </row>
    <row r="587" spans="1:16">
      <c r="A587" s="63" t="s">
        <v>4282</v>
      </c>
      <c r="B587" s="14" t="str">
        <f>VLOOKUP(P587,'护理记录单文书字典(数据)'!B$4:C$99,2,0)</f>
        <v>4DCC68350CFAB2110B8C72B42CBC9602</v>
      </c>
      <c r="C587" s="75" t="s">
        <v>2049</v>
      </c>
      <c r="D587" s="75" t="s">
        <v>98</v>
      </c>
      <c r="E587" s="92" t="s">
        <v>2048</v>
      </c>
      <c r="F587" s="87">
        <v>1</v>
      </c>
      <c r="G587" s="87">
        <v>1</v>
      </c>
      <c r="H587" s="75"/>
      <c r="I587" s="75"/>
      <c r="J587" s="75"/>
      <c r="K587" s="75" t="s">
        <v>162</v>
      </c>
      <c r="L587" s="75" t="s">
        <v>509</v>
      </c>
      <c r="M587" s="75" t="s">
        <v>535</v>
      </c>
      <c r="N587" s="75" t="s">
        <v>509</v>
      </c>
      <c r="O587" s="75" t="s">
        <v>535</v>
      </c>
      <c r="P587" s="75" t="s">
        <v>1524</v>
      </c>
    </row>
    <row r="588" spans="1:16">
      <c r="A588" s="63" t="s">
        <v>4282</v>
      </c>
      <c r="B588" s="14" t="str">
        <f>VLOOKUP(P588,'护理记录单文书字典(数据)'!B$4:C$99,2,0)</f>
        <v>4DCC68350CFAB2110B8C72B42CBC9602</v>
      </c>
      <c r="C588" s="75" t="s">
        <v>2050</v>
      </c>
      <c r="D588" s="75" t="s">
        <v>159</v>
      </c>
      <c r="E588" s="92" t="s">
        <v>2052</v>
      </c>
      <c r="F588" s="87">
        <v>1</v>
      </c>
      <c r="G588" s="87">
        <v>1</v>
      </c>
      <c r="H588" s="159" t="s">
        <v>942</v>
      </c>
      <c r="I588" s="75"/>
      <c r="J588" s="75"/>
      <c r="K588" s="75" t="s">
        <v>162</v>
      </c>
      <c r="L588" s="75" t="s">
        <v>509</v>
      </c>
      <c r="M588" s="75" t="s">
        <v>535</v>
      </c>
      <c r="N588" s="75" t="s">
        <v>509</v>
      </c>
      <c r="O588" s="75" t="s">
        <v>535</v>
      </c>
      <c r="P588" s="75" t="s">
        <v>1524</v>
      </c>
    </row>
    <row r="589" spans="1:16">
      <c r="A589" s="63" t="s">
        <v>4282</v>
      </c>
      <c r="B589" s="14" t="str">
        <f>VLOOKUP(P589,'护理记录单文书字典(数据)'!B$4:C$99,2,0)</f>
        <v>4DCC68350CFAB2110B8C72B42CBC9602</v>
      </c>
      <c r="C589" s="75" t="s">
        <v>2055</v>
      </c>
      <c r="D589" s="75" t="s">
        <v>2054</v>
      </c>
      <c r="E589" s="92" t="s">
        <v>2048</v>
      </c>
      <c r="F589" s="87">
        <v>1</v>
      </c>
      <c r="G589" s="87">
        <v>1</v>
      </c>
      <c r="H589" s="75"/>
      <c r="I589" s="75"/>
      <c r="J589" s="75"/>
      <c r="K589" s="75" t="s">
        <v>162</v>
      </c>
      <c r="L589" s="75" t="s">
        <v>509</v>
      </c>
      <c r="M589" s="75" t="s">
        <v>535</v>
      </c>
      <c r="N589" s="75" t="s">
        <v>509</v>
      </c>
      <c r="O589" s="75" t="s">
        <v>535</v>
      </c>
      <c r="P589" s="75" t="s">
        <v>1524</v>
      </c>
    </row>
    <row r="590" spans="1:16">
      <c r="A590" s="63" t="s">
        <v>4282</v>
      </c>
      <c r="B590" s="14" t="str">
        <f>VLOOKUP(P590,'护理记录单文书字典(数据)'!B$4:C$99,2,0)</f>
        <v>4DCC68350CFAB2110B8C72B42CBC9602</v>
      </c>
      <c r="C590" s="75" t="s">
        <v>2057</v>
      </c>
      <c r="D590" s="75" t="s">
        <v>2056</v>
      </c>
      <c r="E590" s="92" t="s">
        <v>2048</v>
      </c>
      <c r="F590" s="87">
        <v>1</v>
      </c>
      <c r="G590" s="87">
        <v>1</v>
      </c>
      <c r="H590" s="75"/>
      <c r="I590" s="75"/>
      <c r="J590" s="75"/>
      <c r="K590" s="75" t="s">
        <v>162</v>
      </c>
      <c r="L590" s="75" t="s">
        <v>509</v>
      </c>
      <c r="M590" s="75" t="s">
        <v>535</v>
      </c>
      <c r="N590" s="75" t="s">
        <v>509</v>
      </c>
      <c r="O590" s="75" t="s">
        <v>535</v>
      </c>
      <c r="P590" s="75" t="s">
        <v>1524</v>
      </c>
    </row>
    <row r="591" spans="1:16">
      <c r="A591" s="63" t="s">
        <v>4282</v>
      </c>
      <c r="B591" s="14" t="str">
        <f>VLOOKUP(P591,'护理记录单文书字典(数据)'!B$4:C$99,2,0)</f>
        <v>4DCC68350CFAB2110B8C72B42CBC9602</v>
      </c>
      <c r="C591" s="159" t="s">
        <v>4639</v>
      </c>
      <c r="D591" s="75" t="s">
        <v>2940</v>
      </c>
      <c r="E591" s="92" t="s">
        <v>2052</v>
      </c>
      <c r="F591" s="87">
        <v>1</v>
      </c>
      <c r="G591" s="87">
        <v>1</v>
      </c>
      <c r="H591" s="159" t="s">
        <v>4651</v>
      </c>
      <c r="I591" s="75"/>
      <c r="J591" s="75"/>
      <c r="K591" s="75" t="s">
        <v>162</v>
      </c>
      <c r="L591" s="75" t="s">
        <v>509</v>
      </c>
      <c r="M591" s="75" t="s">
        <v>535</v>
      </c>
      <c r="N591" s="75" t="s">
        <v>509</v>
      </c>
      <c r="O591" s="75" t="s">
        <v>535</v>
      </c>
      <c r="P591" s="159" t="s">
        <v>1524</v>
      </c>
    </row>
    <row r="592" spans="1:16">
      <c r="A592" s="63" t="s">
        <v>4282</v>
      </c>
      <c r="B592" s="14" t="str">
        <f>VLOOKUP(P592,'护理记录单文书字典(数据)'!B$4:C$99,2,0)</f>
        <v>4DCC68350CFAB2110B8C72B42CBC9602</v>
      </c>
      <c r="C592" s="75" t="s">
        <v>2061</v>
      </c>
      <c r="D592" s="75" t="s">
        <v>2060</v>
      </c>
      <c r="E592" s="92" t="s">
        <v>2048</v>
      </c>
      <c r="F592" s="87">
        <v>1</v>
      </c>
      <c r="G592" s="87">
        <v>1</v>
      </c>
      <c r="H592" s="75"/>
      <c r="I592" s="75"/>
      <c r="J592" s="75"/>
      <c r="K592" s="75" t="s">
        <v>162</v>
      </c>
      <c r="L592" s="75" t="s">
        <v>509</v>
      </c>
      <c r="M592" s="75" t="s">
        <v>535</v>
      </c>
      <c r="N592" s="75" t="s">
        <v>509</v>
      </c>
      <c r="O592" s="75" t="s">
        <v>535</v>
      </c>
      <c r="P592" s="75" t="s">
        <v>1524</v>
      </c>
    </row>
    <row r="593" spans="1:16">
      <c r="A593" s="63" t="s">
        <v>4282</v>
      </c>
      <c r="B593" s="14" t="str">
        <f>VLOOKUP(P593,'护理记录单文书字典(数据)'!B$4:C$99,2,0)</f>
        <v>4DCC68350CFAB2110B8C72B42CBC9602</v>
      </c>
      <c r="C593" s="75" t="s">
        <v>2062</v>
      </c>
      <c r="D593" s="75" t="s">
        <v>83</v>
      </c>
      <c r="E593" s="92" t="s">
        <v>2048</v>
      </c>
      <c r="F593" s="87">
        <v>1</v>
      </c>
      <c r="G593" s="87">
        <v>1</v>
      </c>
      <c r="H593" s="75"/>
      <c r="I593" s="75"/>
      <c r="J593" s="75"/>
      <c r="K593" s="75" t="s">
        <v>162</v>
      </c>
      <c r="L593" s="75" t="s">
        <v>509</v>
      </c>
      <c r="M593" s="75" t="s">
        <v>535</v>
      </c>
      <c r="N593" s="75" t="s">
        <v>509</v>
      </c>
      <c r="O593" s="75" t="s">
        <v>535</v>
      </c>
      <c r="P593" s="75" t="s">
        <v>1524</v>
      </c>
    </row>
    <row r="594" spans="1:16">
      <c r="A594" s="63" t="s">
        <v>4282</v>
      </c>
      <c r="B594" s="14" t="str">
        <f>VLOOKUP(P594,'护理记录单文书字典(数据)'!B$4:C$99,2,0)</f>
        <v>4DCC68350CFAB2110B8C72B42CBC9602</v>
      </c>
      <c r="C594" s="75" t="s">
        <v>2941</v>
      </c>
      <c r="D594" s="75" t="s">
        <v>2942</v>
      </c>
      <c r="E594" s="92" t="s">
        <v>2048</v>
      </c>
      <c r="F594" s="87">
        <v>1</v>
      </c>
      <c r="G594" s="87">
        <v>1</v>
      </c>
      <c r="H594" s="75"/>
      <c r="I594" s="75"/>
      <c r="J594" s="75"/>
      <c r="K594" s="75" t="s">
        <v>162</v>
      </c>
      <c r="L594" s="75" t="s">
        <v>509</v>
      </c>
      <c r="M594" s="75" t="s">
        <v>535</v>
      </c>
      <c r="N594" s="75" t="s">
        <v>509</v>
      </c>
      <c r="O594" s="75" t="s">
        <v>535</v>
      </c>
      <c r="P594" s="75" t="s">
        <v>1524</v>
      </c>
    </row>
    <row r="595" spans="1:16">
      <c r="A595" s="63" t="s">
        <v>4282</v>
      </c>
      <c r="B595" s="14" t="str">
        <f>VLOOKUP(P595,'护理记录单文书字典(数据)'!B$4:C$99,2,0)</f>
        <v>4DCC68350CFAB2110B8C72B42CBC9602</v>
      </c>
      <c r="C595" s="75" t="s">
        <v>2943</v>
      </c>
      <c r="D595" s="75" t="s">
        <v>2944</v>
      </c>
      <c r="E595" s="92" t="s">
        <v>2048</v>
      </c>
      <c r="F595" s="87">
        <v>1</v>
      </c>
      <c r="G595" s="87">
        <v>1</v>
      </c>
      <c r="H595" s="75"/>
      <c r="I595" s="75"/>
      <c r="J595" s="75"/>
      <c r="K595" s="75" t="s">
        <v>162</v>
      </c>
      <c r="L595" s="75" t="s">
        <v>509</v>
      </c>
      <c r="M595" s="75" t="s">
        <v>535</v>
      </c>
      <c r="N595" s="75" t="s">
        <v>509</v>
      </c>
      <c r="O595" s="75" t="s">
        <v>535</v>
      </c>
      <c r="P595" s="75" t="s">
        <v>1524</v>
      </c>
    </row>
    <row r="596" spans="1:16">
      <c r="A596" s="63" t="s">
        <v>4282</v>
      </c>
      <c r="B596" s="14" t="str">
        <f>VLOOKUP(P596,'护理记录单文书字典(数据)'!B$4:C$99,2,0)</f>
        <v>4DCC68350CFAB2110B8C72B42CBC9602</v>
      </c>
      <c r="C596" s="75" t="s">
        <v>2945</v>
      </c>
      <c r="D596" s="75" t="s">
        <v>2946</v>
      </c>
      <c r="E596" s="92" t="s">
        <v>2048</v>
      </c>
      <c r="F596" s="87">
        <v>1</v>
      </c>
      <c r="G596" s="87">
        <v>1</v>
      </c>
      <c r="H596" s="75"/>
      <c r="I596" s="75"/>
      <c r="J596" s="75"/>
      <c r="K596" s="75" t="s">
        <v>162</v>
      </c>
      <c r="L596" s="75" t="s">
        <v>509</v>
      </c>
      <c r="M596" s="75" t="s">
        <v>535</v>
      </c>
      <c r="N596" s="75" t="s">
        <v>509</v>
      </c>
      <c r="O596" s="75" t="s">
        <v>535</v>
      </c>
      <c r="P596" s="75" t="s">
        <v>1524</v>
      </c>
    </row>
    <row r="597" spans="1:16">
      <c r="A597" s="63" t="s">
        <v>4282</v>
      </c>
      <c r="B597" s="14" t="str">
        <f>VLOOKUP(P597,'护理记录单文书字典(数据)'!B$4:C$99,2,0)</f>
        <v>4DCC68350CFAB2110B8C72B42CBC9602</v>
      </c>
      <c r="C597" s="75" t="s">
        <v>2063</v>
      </c>
      <c r="D597" s="75" t="s">
        <v>952</v>
      </c>
      <c r="E597" s="92" t="s">
        <v>2052</v>
      </c>
      <c r="F597" s="87">
        <v>1</v>
      </c>
      <c r="G597" s="87">
        <v>1</v>
      </c>
      <c r="H597" s="75" t="s">
        <v>951</v>
      </c>
      <c r="I597" s="75"/>
      <c r="J597" s="75"/>
      <c r="K597" s="75" t="s">
        <v>162</v>
      </c>
      <c r="L597" s="75" t="s">
        <v>509</v>
      </c>
      <c r="M597" s="75" t="s">
        <v>535</v>
      </c>
      <c r="N597" s="75" t="s">
        <v>509</v>
      </c>
      <c r="O597" s="75" t="s">
        <v>535</v>
      </c>
      <c r="P597" s="75" t="s">
        <v>1524</v>
      </c>
    </row>
    <row r="598" spans="1:16">
      <c r="A598" s="63" t="s">
        <v>4282</v>
      </c>
      <c r="B598" s="14" t="str">
        <f>VLOOKUP(P598,'护理记录单文书字典(数据)'!B$4:C$99,2,0)</f>
        <v>4DCC68350CFAB2110B8C72B42CBC9602</v>
      </c>
      <c r="C598" s="75" t="s">
        <v>2938</v>
      </c>
      <c r="D598" s="75" t="s">
        <v>1528</v>
      </c>
      <c r="E598" s="92" t="s">
        <v>2052</v>
      </c>
      <c r="F598" s="87">
        <v>1</v>
      </c>
      <c r="G598" s="87">
        <v>1</v>
      </c>
      <c r="H598" s="75" t="s">
        <v>1527</v>
      </c>
      <c r="I598" s="75"/>
      <c r="J598" s="75"/>
      <c r="K598" s="75" t="s">
        <v>162</v>
      </c>
      <c r="L598" s="75" t="s">
        <v>509</v>
      </c>
      <c r="M598" s="75" t="s">
        <v>535</v>
      </c>
      <c r="N598" s="75" t="s">
        <v>509</v>
      </c>
      <c r="O598" s="75" t="s">
        <v>535</v>
      </c>
      <c r="P598" s="75" t="s">
        <v>1524</v>
      </c>
    </row>
    <row r="599" spans="1:16">
      <c r="A599" s="63" t="s">
        <v>4282</v>
      </c>
      <c r="B599" s="14" t="str">
        <f>VLOOKUP(P599,'护理记录单文书字典(数据)'!B$4:C$99,2,0)</f>
        <v>4DCC68350CFAB2110B8C72B42CBC9602</v>
      </c>
      <c r="C599" s="75" t="s">
        <v>2058</v>
      </c>
      <c r="D599" s="75" t="s">
        <v>947</v>
      </c>
      <c r="E599" s="92" t="s">
        <v>2052</v>
      </c>
      <c r="F599" s="87">
        <v>1</v>
      </c>
      <c r="G599" s="87">
        <v>1</v>
      </c>
      <c r="H599" s="75" t="s">
        <v>946</v>
      </c>
      <c r="I599" s="75"/>
      <c r="J599" s="75"/>
      <c r="K599" s="75" t="s">
        <v>162</v>
      </c>
      <c r="L599" s="75" t="s">
        <v>509</v>
      </c>
      <c r="M599" s="75" t="s">
        <v>535</v>
      </c>
      <c r="N599" s="75" t="s">
        <v>509</v>
      </c>
      <c r="O599" s="75" t="s">
        <v>535</v>
      </c>
      <c r="P599" s="75" t="s">
        <v>1524</v>
      </c>
    </row>
    <row r="600" spans="1:16">
      <c r="A600" s="63" t="s">
        <v>4282</v>
      </c>
      <c r="B600" s="14" t="str">
        <f>VLOOKUP(P600,'护理记录单文书字典(数据)'!B$4:C$99,2,0)</f>
        <v>4DCC68350CFAB2110B8C72B42CBC9602</v>
      </c>
      <c r="C600" s="75" t="s">
        <v>2947</v>
      </c>
      <c r="D600" s="75" t="s">
        <v>1536</v>
      </c>
      <c r="E600" s="92" t="s">
        <v>2052</v>
      </c>
      <c r="F600" s="87">
        <v>1</v>
      </c>
      <c r="G600" s="87">
        <v>1</v>
      </c>
      <c r="H600" s="75" t="s">
        <v>1535</v>
      </c>
      <c r="I600" s="75"/>
      <c r="J600" s="75"/>
      <c r="K600" s="75" t="s">
        <v>162</v>
      </c>
      <c r="L600" s="75" t="s">
        <v>509</v>
      </c>
      <c r="M600" s="75" t="s">
        <v>535</v>
      </c>
      <c r="N600" s="75" t="s">
        <v>509</v>
      </c>
      <c r="O600" s="75" t="s">
        <v>535</v>
      </c>
      <c r="P600" s="75" t="s">
        <v>1524</v>
      </c>
    </row>
    <row r="601" spans="1:16">
      <c r="A601" s="63" t="s">
        <v>4282</v>
      </c>
      <c r="B601" s="14" t="str">
        <f>VLOOKUP(P601,'护理记录单文书字典(数据)'!B$4:C$99,2,0)</f>
        <v>4DCC68350CFAB2110B8C72B42CBC9602</v>
      </c>
      <c r="C601" s="75" t="s">
        <v>2948</v>
      </c>
      <c r="D601" s="75" t="s">
        <v>1544</v>
      </c>
      <c r="E601" s="92" t="s">
        <v>2052</v>
      </c>
      <c r="F601" s="87">
        <v>1</v>
      </c>
      <c r="G601" s="87">
        <v>1</v>
      </c>
      <c r="H601" s="75" t="s">
        <v>1543</v>
      </c>
      <c r="I601" s="75"/>
      <c r="J601" s="75"/>
      <c r="K601" s="75" t="s">
        <v>162</v>
      </c>
      <c r="L601" s="75" t="s">
        <v>509</v>
      </c>
      <c r="M601" s="75" t="s">
        <v>535</v>
      </c>
      <c r="N601" s="75" t="s">
        <v>509</v>
      </c>
      <c r="O601" s="75" t="s">
        <v>535</v>
      </c>
      <c r="P601" s="75" t="s">
        <v>1524</v>
      </c>
    </row>
    <row r="602" spans="1:16">
      <c r="A602" s="63" t="s">
        <v>4282</v>
      </c>
      <c r="B602" s="14" t="str">
        <f>VLOOKUP(P602,'护理记录单文书字典(数据)'!B$4:C$99,2,0)</f>
        <v>4DCC68350CFAB2110B8C72B42CBC9602</v>
      </c>
      <c r="C602" s="75" t="s">
        <v>2949</v>
      </c>
      <c r="D602" s="75" t="s">
        <v>1550</v>
      </c>
      <c r="E602" s="92" t="s">
        <v>2052</v>
      </c>
      <c r="F602" s="87">
        <v>1</v>
      </c>
      <c r="G602" s="87">
        <v>1</v>
      </c>
      <c r="H602" s="75" t="s">
        <v>1549</v>
      </c>
      <c r="I602" s="75"/>
      <c r="J602" s="75"/>
      <c r="K602" s="75" t="s">
        <v>162</v>
      </c>
      <c r="L602" s="75" t="s">
        <v>509</v>
      </c>
      <c r="M602" s="75" t="s">
        <v>535</v>
      </c>
      <c r="N602" s="75" t="s">
        <v>509</v>
      </c>
      <c r="O602" s="75" t="s">
        <v>535</v>
      </c>
      <c r="P602" s="75" t="s">
        <v>1524</v>
      </c>
    </row>
    <row r="603" spans="1:16">
      <c r="A603" s="63" t="s">
        <v>4282</v>
      </c>
      <c r="B603" s="14" t="str">
        <f>VLOOKUP(P603,'护理记录单文书字典(数据)'!B$4:C$99,2,0)</f>
        <v>4DCC68350CFAB2110B8C72B42CBC9602</v>
      </c>
      <c r="C603" s="75" t="s">
        <v>2950</v>
      </c>
      <c r="D603" s="75" t="s">
        <v>1555</v>
      </c>
      <c r="E603" s="92" t="s">
        <v>2052</v>
      </c>
      <c r="F603" s="87">
        <v>1</v>
      </c>
      <c r="G603" s="87">
        <v>1</v>
      </c>
      <c r="H603" s="75" t="s">
        <v>1554</v>
      </c>
      <c r="I603" s="75"/>
      <c r="J603" s="75"/>
      <c r="K603" s="75" t="s">
        <v>162</v>
      </c>
      <c r="L603" s="75" t="s">
        <v>509</v>
      </c>
      <c r="M603" s="75" t="s">
        <v>535</v>
      </c>
      <c r="N603" s="75" t="s">
        <v>509</v>
      </c>
      <c r="O603" s="75" t="s">
        <v>535</v>
      </c>
      <c r="P603" s="75" t="s">
        <v>1524</v>
      </c>
    </row>
    <row r="604" spans="1:16">
      <c r="A604" s="63" t="s">
        <v>4282</v>
      </c>
      <c r="B604" s="14" t="str">
        <f>VLOOKUP(P604,'护理记录单文书字典(数据)'!B$4:C$99,2,0)</f>
        <v>4DCC68350CFAB2110B8C72B42CBC9602</v>
      </c>
      <c r="C604" s="75" t="s">
        <v>2951</v>
      </c>
      <c r="D604" s="75" t="s">
        <v>1561</v>
      </c>
      <c r="E604" s="92" t="s">
        <v>2052</v>
      </c>
      <c r="F604" s="87">
        <v>1</v>
      </c>
      <c r="G604" s="87">
        <v>1</v>
      </c>
      <c r="H604" s="75" t="s">
        <v>1560</v>
      </c>
      <c r="I604" s="75"/>
      <c r="J604" s="75"/>
      <c r="K604" s="75" t="s">
        <v>162</v>
      </c>
      <c r="L604" s="75" t="s">
        <v>509</v>
      </c>
      <c r="M604" s="75" t="s">
        <v>535</v>
      </c>
      <c r="N604" s="75" t="s">
        <v>509</v>
      </c>
      <c r="O604" s="75" t="s">
        <v>535</v>
      </c>
      <c r="P604" s="75" t="s">
        <v>1524</v>
      </c>
    </row>
    <row r="605" spans="1:16">
      <c r="A605" s="63" t="s">
        <v>4282</v>
      </c>
      <c r="B605" s="14" t="str">
        <f>VLOOKUP(P605,'护理记录单文书字典(数据)'!B$4:C$99,2,0)</f>
        <v>4DCC68350CFAB2110B8C72B42CBC9602</v>
      </c>
      <c r="C605" s="75" t="s">
        <v>2952</v>
      </c>
      <c r="D605" s="75" t="s">
        <v>1567</v>
      </c>
      <c r="E605" s="92" t="s">
        <v>2052</v>
      </c>
      <c r="F605" s="87">
        <v>1</v>
      </c>
      <c r="G605" s="87">
        <v>1</v>
      </c>
      <c r="H605" s="75" t="s">
        <v>1566</v>
      </c>
      <c r="I605" s="75"/>
      <c r="J605" s="75"/>
      <c r="K605" s="75" t="s">
        <v>162</v>
      </c>
      <c r="L605" s="75" t="s">
        <v>509</v>
      </c>
      <c r="M605" s="75" t="s">
        <v>535</v>
      </c>
      <c r="N605" s="75" t="s">
        <v>509</v>
      </c>
      <c r="O605" s="75" t="s">
        <v>535</v>
      </c>
      <c r="P605" s="75" t="s">
        <v>1524</v>
      </c>
    </row>
    <row r="606" spans="1:16">
      <c r="A606" s="63" t="s">
        <v>4282</v>
      </c>
      <c r="B606" s="14" t="str">
        <f>VLOOKUP(P606,'护理记录单文书字典(数据)'!B$4:C$99,2,0)</f>
        <v>4DCC68350CFAB2110B8C72B42CBC9602</v>
      </c>
      <c r="C606" s="75" t="s">
        <v>2953</v>
      </c>
      <c r="D606" s="75" t="s">
        <v>1573</v>
      </c>
      <c r="E606" s="92" t="s">
        <v>2052</v>
      </c>
      <c r="F606" s="87">
        <v>1</v>
      </c>
      <c r="G606" s="87">
        <v>1</v>
      </c>
      <c r="H606" s="75" t="s">
        <v>1572</v>
      </c>
      <c r="I606" s="75"/>
      <c r="J606" s="75"/>
      <c r="K606" s="75" t="s">
        <v>162</v>
      </c>
      <c r="L606" s="75" t="s">
        <v>509</v>
      </c>
      <c r="M606" s="75" t="s">
        <v>535</v>
      </c>
      <c r="N606" s="75" t="s">
        <v>509</v>
      </c>
      <c r="O606" s="75" t="s">
        <v>535</v>
      </c>
      <c r="P606" s="75" t="s">
        <v>1524</v>
      </c>
    </row>
    <row r="607" spans="1:16">
      <c r="A607" s="63" t="s">
        <v>4282</v>
      </c>
      <c r="B607" s="14" t="str">
        <f>VLOOKUP(P607,'护理记录单文书字典(数据)'!B$4:C$99,2,0)</f>
        <v>4DCC68350CFAB2110B8C72B42CBC9602</v>
      </c>
      <c r="C607" s="75" t="s">
        <v>2954</v>
      </c>
      <c r="D607" s="75" t="s">
        <v>1579</v>
      </c>
      <c r="E607" s="92" t="s">
        <v>2052</v>
      </c>
      <c r="F607" s="87">
        <v>1</v>
      </c>
      <c r="G607" s="87">
        <v>1</v>
      </c>
      <c r="H607" s="75" t="s">
        <v>1578</v>
      </c>
      <c r="I607" s="75"/>
      <c r="J607" s="75"/>
      <c r="K607" s="75" t="s">
        <v>162</v>
      </c>
      <c r="L607" s="75" t="s">
        <v>509</v>
      </c>
      <c r="M607" s="75" t="s">
        <v>535</v>
      </c>
      <c r="N607" s="75" t="s">
        <v>509</v>
      </c>
      <c r="O607" s="75" t="s">
        <v>535</v>
      </c>
      <c r="P607" s="75" t="s">
        <v>1524</v>
      </c>
    </row>
    <row r="608" spans="1:16">
      <c r="A608" s="63" t="s">
        <v>4282</v>
      </c>
      <c r="B608" s="14" t="str">
        <f>VLOOKUP(P608,'护理记录单文书字典(数据)'!B$4:C$99,2,0)</f>
        <v>4DCC68350CFAB2110B8C72B42CBC9602</v>
      </c>
      <c r="C608" s="75" t="s">
        <v>2955</v>
      </c>
      <c r="D608" s="75" t="s">
        <v>2956</v>
      </c>
      <c r="E608" s="92" t="s">
        <v>2048</v>
      </c>
      <c r="F608" s="87">
        <v>1</v>
      </c>
      <c r="G608" s="87">
        <v>1</v>
      </c>
      <c r="H608" s="75"/>
      <c r="I608" s="75"/>
      <c r="J608" s="75"/>
      <c r="K608" s="75" t="s">
        <v>162</v>
      </c>
      <c r="L608" s="75" t="s">
        <v>509</v>
      </c>
      <c r="M608" s="75" t="s">
        <v>535</v>
      </c>
      <c r="N608" s="75" t="s">
        <v>509</v>
      </c>
      <c r="O608" s="75" t="s">
        <v>535</v>
      </c>
      <c r="P608" s="75" t="s">
        <v>1524</v>
      </c>
    </row>
    <row r="609" spans="1:16">
      <c r="A609" s="63" t="s">
        <v>4282</v>
      </c>
      <c r="B609" s="14" t="str">
        <f>VLOOKUP(P609,'护理记录单文书字典(数据)'!B$4:C$99,2,0)</f>
        <v>4DCC68350CFAB2110B8C72B42CBC9602</v>
      </c>
      <c r="C609" s="75" t="s">
        <v>2957</v>
      </c>
      <c r="D609" s="75" t="s">
        <v>1584</v>
      </c>
      <c r="E609" s="92" t="s">
        <v>2052</v>
      </c>
      <c r="F609" s="87">
        <v>1</v>
      </c>
      <c r="G609" s="87">
        <v>1</v>
      </c>
      <c r="H609" s="75" t="s">
        <v>1583</v>
      </c>
      <c r="I609" s="75"/>
      <c r="J609" s="75"/>
      <c r="K609" s="75" t="s">
        <v>162</v>
      </c>
      <c r="L609" s="75" t="s">
        <v>509</v>
      </c>
      <c r="M609" s="75" t="s">
        <v>535</v>
      </c>
      <c r="N609" s="75" t="s">
        <v>509</v>
      </c>
      <c r="O609" s="75" t="s">
        <v>535</v>
      </c>
      <c r="P609" s="75" t="s">
        <v>1524</v>
      </c>
    </row>
    <row r="610" spans="1:16">
      <c r="A610" s="63" t="s">
        <v>4282</v>
      </c>
      <c r="B610" s="14" t="str">
        <f>VLOOKUP(P610,'护理记录单文书字典(数据)'!B$4:C$99,2,0)</f>
        <v>4DCC68350CFAB2110B8C72B42CBC9602</v>
      </c>
      <c r="C610" s="75" t="s">
        <v>2958</v>
      </c>
      <c r="D610" s="75" t="s">
        <v>1589</v>
      </c>
      <c r="E610" s="92" t="s">
        <v>2052</v>
      </c>
      <c r="F610" s="87">
        <v>1</v>
      </c>
      <c r="G610" s="87">
        <v>1</v>
      </c>
      <c r="H610" s="75" t="s">
        <v>1588</v>
      </c>
      <c r="I610" s="75"/>
      <c r="J610" s="75"/>
      <c r="K610" s="75" t="s">
        <v>162</v>
      </c>
      <c r="L610" s="75" t="s">
        <v>509</v>
      </c>
      <c r="M610" s="75" t="s">
        <v>535</v>
      </c>
      <c r="N610" s="75" t="s">
        <v>509</v>
      </c>
      <c r="O610" s="75" t="s">
        <v>535</v>
      </c>
      <c r="P610" s="75" t="s">
        <v>1524</v>
      </c>
    </row>
    <row r="611" spans="1:16">
      <c r="A611" s="63" t="s">
        <v>4282</v>
      </c>
      <c r="B611" s="14" t="str">
        <f>VLOOKUP(P611,'护理记录单文书字典(数据)'!B$4:C$99,2,0)</f>
        <v>4DCC68350CFAB2110B8C72B42CBC9602</v>
      </c>
      <c r="C611" s="75" t="s">
        <v>2959</v>
      </c>
      <c r="D611" s="75" t="s">
        <v>1598</v>
      </c>
      <c r="E611" s="92" t="s">
        <v>2052</v>
      </c>
      <c r="F611" s="87">
        <v>1</v>
      </c>
      <c r="G611" s="87">
        <v>1</v>
      </c>
      <c r="H611" s="75" t="s">
        <v>1597</v>
      </c>
      <c r="I611" s="75"/>
      <c r="J611" s="75"/>
      <c r="K611" s="75" t="s">
        <v>162</v>
      </c>
      <c r="L611" s="75" t="s">
        <v>509</v>
      </c>
      <c r="M611" s="75" t="s">
        <v>535</v>
      </c>
      <c r="N611" s="75" t="s">
        <v>509</v>
      </c>
      <c r="O611" s="75" t="s">
        <v>535</v>
      </c>
      <c r="P611" s="75" t="s">
        <v>1524</v>
      </c>
    </row>
    <row r="612" spans="1:16">
      <c r="A612" s="63" t="s">
        <v>4282</v>
      </c>
      <c r="B612" s="14" t="str">
        <f>VLOOKUP(P612,'护理记录单文书字典(数据)'!B$4:C$99,2,0)</f>
        <v>4DCC68350CFAB2110B8C72B42CBC9602</v>
      </c>
      <c r="C612" s="75" t="s">
        <v>2960</v>
      </c>
      <c r="D612" s="75" t="s">
        <v>1593</v>
      </c>
      <c r="E612" s="92" t="s">
        <v>2052</v>
      </c>
      <c r="F612" s="87">
        <v>1</v>
      </c>
      <c r="G612" s="87">
        <v>1</v>
      </c>
      <c r="H612" s="75" t="s">
        <v>1592</v>
      </c>
      <c r="I612" s="75"/>
      <c r="J612" s="75"/>
      <c r="K612" s="75" t="s">
        <v>162</v>
      </c>
      <c r="L612" s="75" t="s">
        <v>509</v>
      </c>
      <c r="M612" s="75" t="s">
        <v>535</v>
      </c>
      <c r="N612" s="75" t="s">
        <v>509</v>
      </c>
      <c r="O612" s="75" t="s">
        <v>535</v>
      </c>
      <c r="P612" s="75" t="s">
        <v>1524</v>
      </c>
    </row>
    <row r="613" spans="1:16">
      <c r="A613" s="63" t="s">
        <v>4282</v>
      </c>
      <c r="B613" s="14" t="str">
        <f>VLOOKUP(P613,'护理记录单文书字典(数据)'!B$4:C$99,2,0)</f>
        <v>4DCC68350CFAB2110B8C72B42CBC9602</v>
      </c>
      <c r="C613" s="75" t="s">
        <v>2105</v>
      </c>
      <c r="D613" s="75" t="s">
        <v>2103</v>
      </c>
      <c r="E613" s="92" t="s">
        <v>2104</v>
      </c>
      <c r="F613" s="87">
        <v>1</v>
      </c>
      <c r="G613" s="87">
        <v>1</v>
      </c>
      <c r="H613" s="75"/>
      <c r="I613" s="75"/>
      <c r="J613" s="75"/>
      <c r="K613" s="75" t="s">
        <v>162</v>
      </c>
      <c r="L613" s="75" t="s">
        <v>509</v>
      </c>
      <c r="M613" s="75" t="s">
        <v>535</v>
      </c>
      <c r="N613" s="75" t="s">
        <v>509</v>
      </c>
      <c r="O613" s="75" t="s">
        <v>535</v>
      </c>
      <c r="P613" s="75" t="s">
        <v>1524</v>
      </c>
    </row>
    <row r="614" spans="1:16">
      <c r="A614" s="63" t="s">
        <v>4282</v>
      </c>
      <c r="B614" s="14" t="str">
        <f>VLOOKUP(P614,'护理记录单文书字典(数据)'!B$4:C$99,2,0)</f>
        <v>F68276350CFAB2117CA29A7607F3D50F</v>
      </c>
      <c r="C614" s="75" t="s">
        <v>2126</v>
      </c>
      <c r="D614" s="75" t="s">
        <v>2125</v>
      </c>
      <c r="E614" s="92" t="s">
        <v>2104</v>
      </c>
      <c r="F614" s="87">
        <v>1</v>
      </c>
      <c r="G614" s="87">
        <v>1</v>
      </c>
      <c r="H614" s="75"/>
      <c r="I614" s="75"/>
      <c r="J614" s="75"/>
      <c r="K614" s="75" t="s">
        <v>162</v>
      </c>
      <c r="L614" s="75" t="s">
        <v>509</v>
      </c>
      <c r="M614" s="75" t="s">
        <v>535</v>
      </c>
      <c r="N614" s="75" t="s">
        <v>509</v>
      </c>
      <c r="O614" s="75" t="s">
        <v>535</v>
      </c>
      <c r="P614" s="75" t="s">
        <v>2961</v>
      </c>
    </row>
    <row r="615" spans="1:16">
      <c r="A615" s="63" t="s">
        <v>4282</v>
      </c>
      <c r="B615" s="14" t="str">
        <f>VLOOKUP(P615,'护理记录单文书字典(数据)'!B$4:C$99,2,0)</f>
        <v>F68276350CFAB2117CA29A7607F3D50F</v>
      </c>
      <c r="C615" s="75" t="s">
        <v>2962</v>
      </c>
      <c r="D615" s="75" t="s">
        <v>2963</v>
      </c>
      <c r="E615" s="92" t="s">
        <v>2048</v>
      </c>
      <c r="F615" s="87">
        <v>1</v>
      </c>
      <c r="G615" s="87">
        <v>1</v>
      </c>
      <c r="H615" s="75"/>
      <c r="I615" s="75"/>
      <c r="J615" s="75"/>
      <c r="K615" s="75" t="s">
        <v>162</v>
      </c>
      <c r="L615" s="75" t="s">
        <v>509</v>
      </c>
      <c r="M615" s="75" t="s">
        <v>535</v>
      </c>
      <c r="N615" s="75" t="s">
        <v>509</v>
      </c>
      <c r="O615" s="75" t="s">
        <v>535</v>
      </c>
      <c r="P615" s="75" t="s">
        <v>2961</v>
      </c>
    </row>
    <row r="616" spans="1:16">
      <c r="A616" s="63" t="s">
        <v>4282</v>
      </c>
      <c r="B616" s="14" t="str">
        <f>VLOOKUP(P616,'护理记录单文书字典(数据)'!B$4:C$99,2,0)</f>
        <v>F68276350CFAB2117CA29A7607F3D50F</v>
      </c>
      <c r="C616" s="75" t="s">
        <v>2964</v>
      </c>
      <c r="D616" s="75" t="s">
        <v>2127</v>
      </c>
      <c r="E616" s="92" t="s">
        <v>2104</v>
      </c>
      <c r="F616" s="87">
        <v>1</v>
      </c>
      <c r="G616" s="87">
        <v>1</v>
      </c>
      <c r="H616" s="75"/>
      <c r="I616" s="75"/>
      <c r="J616" s="75"/>
      <c r="K616" s="75" t="s">
        <v>162</v>
      </c>
      <c r="L616" s="75" t="s">
        <v>509</v>
      </c>
      <c r="M616" s="75" t="s">
        <v>535</v>
      </c>
      <c r="N616" s="75" t="s">
        <v>509</v>
      </c>
      <c r="O616" s="75" t="s">
        <v>535</v>
      </c>
      <c r="P616" s="75" t="s">
        <v>2961</v>
      </c>
    </row>
    <row r="617" spans="1:16">
      <c r="A617" s="63" t="s">
        <v>4282</v>
      </c>
      <c r="B617" s="14" t="str">
        <f>VLOOKUP(P617,'护理记录单文书字典(数据)'!B$4:C$99,2,0)</f>
        <v>F68276350CFAB2117CA29A7607F3D50F</v>
      </c>
      <c r="C617" s="75" t="s">
        <v>2965</v>
      </c>
      <c r="D617" s="75" t="s">
        <v>2128</v>
      </c>
      <c r="E617" s="102" t="s">
        <v>2052</v>
      </c>
      <c r="F617" s="87">
        <v>1</v>
      </c>
      <c r="G617" s="87">
        <v>1</v>
      </c>
      <c r="H617" s="75" t="s">
        <v>4060</v>
      </c>
      <c r="I617" s="75"/>
      <c r="J617" s="75"/>
      <c r="K617" s="75" t="s">
        <v>162</v>
      </c>
      <c r="L617" s="75" t="s">
        <v>509</v>
      </c>
      <c r="M617" s="75" t="s">
        <v>535</v>
      </c>
      <c r="N617" s="75" t="s">
        <v>509</v>
      </c>
      <c r="O617" s="75" t="s">
        <v>535</v>
      </c>
      <c r="P617" s="75" t="s">
        <v>2961</v>
      </c>
    </row>
    <row r="618" spans="1:16">
      <c r="A618" s="63" t="s">
        <v>4282</v>
      </c>
      <c r="B618" s="14" t="str">
        <f>VLOOKUP(P618,'护理记录单文书字典(数据)'!B$4:C$99,2,0)</f>
        <v>F68276350CFAB2117CA29A7607F3D50F</v>
      </c>
      <c r="C618" s="75" t="s">
        <v>2062</v>
      </c>
      <c r="D618" s="75" t="s">
        <v>83</v>
      </c>
      <c r="E618" s="92" t="s">
        <v>2048</v>
      </c>
      <c r="F618" s="87">
        <v>1</v>
      </c>
      <c r="G618" s="87">
        <v>1</v>
      </c>
      <c r="H618" s="75"/>
      <c r="I618" s="75"/>
      <c r="J618" s="75"/>
      <c r="K618" s="75" t="s">
        <v>162</v>
      </c>
      <c r="L618" s="75" t="s">
        <v>509</v>
      </c>
      <c r="M618" s="75" t="s">
        <v>535</v>
      </c>
      <c r="N618" s="75" t="s">
        <v>509</v>
      </c>
      <c r="O618" s="75" t="s">
        <v>535</v>
      </c>
      <c r="P618" s="75" t="s">
        <v>2961</v>
      </c>
    </row>
    <row r="619" spans="1:16">
      <c r="A619" s="63" t="s">
        <v>4282</v>
      </c>
      <c r="B619" s="14" t="str">
        <f>VLOOKUP(P619,'护理记录单文书字典(数据)'!B$4:C$99,2,0)</f>
        <v>F68276350CFAB2117CA29A7607F3D50F</v>
      </c>
      <c r="C619" s="75" t="s">
        <v>2129</v>
      </c>
      <c r="D619" s="75" t="s">
        <v>335</v>
      </c>
      <c r="E619" s="92" t="s">
        <v>2048</v>
      </c>
      <c r="F619" s="87">
        <v>1</v>
      </c>
      <c r="G619" s="87">
        <v>1</v>
      </c>
      <c r="H619" s="75"/>
      <c r="I619" s="75"/>
      <c r="J619" s="75"/>
      <c r="K619" s="75" t="s">
        <v>162</v>
      </c>
      <c r="L619" s="75" t="s">
        <v>509</v>
      </c>
      <c r="M619" s="75" t="s">
        <v>535</v>
      </c>
      <c r="N619" s="75" t="s">
        <v>509</v>
      </c>
      <c r="O619" s="75" t="s">
        <v>535</v>
      </c>
      <c r="P619" s="75" t="s">
        <v>2961</v>
      </c>
    </row>
    <row r="620" spans="1:16">
      <c r="A620" s="63" t="s">
        <v>4282</v>
      </c>
      <c r="B620" s="14" t="str">
        <f>VLOOKUP(P620,'护理记录单文书字典(数据)'!B$4:C$99,2,0)</f>
        <v>6B4C59350CFAB211B4B450B5017BE817</v>
      </c>
      <c r="C620" s="75" t="s">
        <v>2046</v>
      </c>
      <c r="D620" s="75" t="s">
        <v>2047</v>
      </c>
      <c r="E620" s="92" t="s">
        <v>2048</v>
      </c>
      <c r="F620" s="87">
        <v>1</v>
      </c>
      <c r="G620" s="87">
        <v>1</v>
      </c>
      <c r="H620" s="75"/>
      <c r="I620" s="75"/>
      <c r="J620" s="75"/>
      <c r="K620" s="75" t="s">
        <v>162</v>
      </c>
      <c r="L620" s="75" t="s">
        <v>509</v>
      </c>
      <c r="M620" s="75" t="s">
        <v>535</v>
      </c>
      <c r="N620" s="75" t="s">
        <v>509</v>
      </c>
      <c r="O620" s="75" t="s">
        <v>535</v>
      </c>
      <c r="P620" s="75" t="s">
        <v>1470</v>
      </c>
    </row>
    <row r="621" spans="1:16">
      <c r="A621" s="63" t="s">
        <v>4282</v>
      </c>
      <c r="B621" s="14" t="str">
        <f>VLOOKUP(P621,'护理记录单文书字典(数据)'!B$4:C$99,2,0)</f>
        <v>6B4C59350CFAB211B4B450B5017BE817</v>
      </c>
      <c r="C621" s="75" t="s">
        <v>2966</v>
      </c>
      <c r="D621" s="75" t="s">
        <v>2967</v>
      </c>
      <c r="E621" s="92" t="s">
        <v>2048</v>
      </c>
      <c r="F621" s="87">
        <v>1</v>
      </c>
      <c r="G621" s="87">
        <v>1</v>
      </c>
      <c r="H621" s="75"/>
      <c r="I621" s="75"/>
      <c r="J621" s="75"/>
      <c r="K621" s="75" t="s">
        <v>162</v>
      </c>
      <c r="L621" s="75" t="s">
        <v>509</v>
      </c>
      <c r="M621" s="75" t="s">
        <v>535</v>
      </c>
      <c r="N621" s="75" t="s">
        <v>509</v>
      </c>
      <c r="O621" s="75" t="s">
        <v>535</v>
      </c>
      <c r="P621" s="75" t="s">
        <v>1470</v>
      </c>
    </row>
    <row r="622" spans="1:16">
      <c r="A622" s="63" t="s">
        <v>4282</v>
      </c>
      <c r="B622" s="14" t="str">
        <f>VLOOKUP(P622,'护理记录单文书字典(数据)'!B$4:C$99,2,0)</f>
        <v>6B4C59350CFAB211B4B450B5017BE817</v>
      </c>
      <c r="C622" s="75" t="s">
        <v>2968</v>
      </c>
      <c r="D622" s="75" t="s">
        <v>2969</v>
      </c>
      <c r="E622" s="92" t="s">
        <v>2052</v>
      </c>
      <c r="F622" s="87">
        <v>1</v>
      </c>
      <c r="G622" s="87">
        <v>1</v>
      </c>
      <c r="H622" s="75" t="s">
        <v>1468</v>
      </c>
      <c r="I622" s="75"/>
      <c r="J622" s="75"/>
      <c r="K622" s="75" t="s">
        <v>162</v>
      </c>
      <c r="L622" s="75" t="s">
        <v>509</v>
      </c>
      <c r="M622" s="75" t="s">
        <v>535</v>
      </c>
      <c r="N622" s="75" t="s">
        <v>509</v>
      </c>
      <c r="O622" s="75" t="s">
        <v>535</v>
      </c>
      <c r="P622" s="75" t="s">
        <v>1470</v>
      </c>
    </row>
    <row r="623" spans="1:16">
      <c r="A623" s="63" t="s">
        <v>4282</v>
      </c>
      <c r="B623" s="14" t="str">
        <f>VLOOKUP(P623,'护理记录单文书字典(数据)'!B$4:C$99,2,0)</f>
        <v>6B4C59350CFAB211B4B450B5017BE817</v>
      </c>
      <c r="C623" s="75" t="s">
        <v>2970</v>
      </c>
      <c r="D623" s="75" t="s">
        <v>2971</v>
      </c>
      <c r="E623" s="92" t="s">
        <v>2052</v>
      </c>
      <c r="F623" s="87">
        <v>1</v>
      </c>
      <c r="G623" s="87">
        <v>1</v>
      </c>
      <c r="H623" s="75" t="s">
        <v>1471</v>
      </c>
      <c r="I623" s="75"/>
      <c r="J623" s="75"/>
      <c r="K623" s="75" t="s">
        <v>162</v>
      </c>
      <c r="L623" s="75" t="s">
        <v>509</v>
      </c>
      <c r="M623" s="75" t="s">
        <v>535</v>
      </c>
      <c r="N623" s="75" t="s">
        <v>509</v>
      </c>
      <c r="O623" s="75" t="s">
        <v>535</v>
      </c>
      <c r="P623" s="75" t="s">
        <v>1470</v>
      </c>
    </row>
    <row r="624" spans="1:16">
      <c r="A624" s="63" t="s">
        <v>4282</v>
      </c>
      <c r="B624" s="14" t="str">
        <f>VLOOKUP(P624,'护理记录单文书字典(数据)'!B$4:C$99,2,0)</f>
        <v>6B4C59350CFAB211B4B450B5017BE817</v>
      </c>
      <c r="C624" s="75" t="s">
        <v>2972</v>
      </c>
      <c r="D624" s="75" t="s">
        <v>2973</v>
      </c>
      <c r="E624" s="92" t="s">
        <v>2052</v>
      </c>
      <c r="F624" s="87">
        <v>1</v>
      </c>
      <c r="G624" s="87">
        <v>1</v>
      </c>
      <c r="H624" s="75" t="s">
        <v>1473</v>
      </c>
      <c r="I624" s="75"/>
      <c r="J624" s="75"/>
      <c r="K624" s="75" t="s">
        <v>162</v>
      </c>
      <c r="L624" s="75" t="s">
        <v>509</v>
      </c>
      <c r="M624" s="75" t="s">
        <v>535</v>
      </c>
      <c r="N624" s="75" t="s">
        <v>509</v>
      </c>
      <c r="O624" s="75" t="s">
        <v>535</v>
      </c>
      <c r="P624" s="75" t="s">
        <v>1470</v>
      </c>
    </row>
    <row r="625" spans="1:16">
      <c r="A625" s="63" t="s">
        <v>4282</v>
      </c>
      <c r="B625" s="14" t="str">
        <f>VLOOKUP(P625,'护理记录单文书字典(数据)'!B$4:C$99,2,0)</f>
        <v>6B4C59350CFAB211B4B450B5017BE817</v>
      </c>
      <c r="C625" s="75" t="s">
        <v>2974</v>
      </c>
      <c r="D625" s="75" t="s">
        <v>2975</v>
      </c>
      <c r="E625" s="92" t="s">
        <v>2052</v>
      </c>
      <c r="F625" s="87">
        <v>1</v>
      </c>
      <c r="G625" s="87">
        <v>1</v>
      </c>
      <c r="H625" s="75" t="s">
        <v>1475</v>
      </c>
      <c r="I625" s="75"/>
      <c r="J625" s="75"/>
      <c r="K625" s="75" t="s">
        <v>162</v>
      </c>
      <c r="L625" s="75" t="s">
        <v>509</v>
      </c>
      <c r="M625" s="75" t="s">
        <v>535</v>
      </c>
      <c r="N625" s="75" t="s">
        <v>509</v>
      </c>
      <c r="O625" s="75" t="s">
        <v>535</v>
      </c>
      <c r="P625" s="75" t="s">
        <v>1470</v>
      </c>
    </row>
    <row r="626" spans="1:16">
      <c r="A626" s="63" t="s">
        <v>4282</v>
      </c>
      <c r="B626" s="14" t="str">
        <f>VLOOKUP(P626,'护理记录单文书字典(数据)'!B$4:C$99,2,0)</f>
        <v>6B4C59350CFAB211B4B450B5017BE817</v>
      </c>
      <c r="C626" s="75" t="s">
        <v>2976</v>
      </c>
      <c r="D626" s="75" t="s">
        <v>2977</v>
      </c>
      <c r="E626" s="92" t="s">
        <v>2048</v>
      </c>
      <c r="F626" s="87">
        <v>1</v>
      </c>
      <c r="G626" s="87">
        <v>1</v>
      </c>
      <c r="H626" s="75"/>
      <c r="I626" s="75"/>
      <c r="J626" s="75"/>
      <c r="K626" s="75" t="s">
        <v>162</v>
      </c>
      <c r="L626" s="75" t="s">
        <v>509</v>
      </c>
      <c r="M626" s="75" t="s">
        <v>535</v>
      </c>
      <c r="N626" s="75" t="s">
        <v>509</v>
      </c>
      <c r="O626" s="75" t="s">
        <v>535</v>
      </c>
      <c r="P626" s="75" t="s">
        <v>1470</v>
      </c>
    </row>
    <row r="627" spans="1:16">
      <c r="A627" s="63" t="s">
        <v>4282</v>
      </c>
      <c r="B627" s="14" t="str">
        <f>VLOOKUP(P627,'护理记录单文书字典(数据)'!B$4:C$99,2,0)</f>
        <v>6B4C59350CFAB211B4B450B5017BE817</v>
      </c>
      <c r="C627" s="75" t="s">
        <v>2112</v>
      </c>
      <c r="D627" s="75" t="s">
        <v>2978</v>
      </c>
      <c r="E627" s="92" t="s">
        <v>2048</v>
      </c>
      <c r="F627" s="87">
        <v>1</v>
      </c>
      <c r="G627" s="87">
        <v>1</v>
      </c>
      <c r="H627" s="75"/>
      <c r="I627" s="75"/>
      <c r="J627" s="75"/>
      <c r="K627" s="75" t="s">
        <v>162</v>
      </c>
      <c r="L627" s="75" t="s">
        <v>509</v>
      </c>
      <c r="M627" s="75" t="s">
        <v>535</v>
      </c>
      <c r="N627" s="75" t="s">
        <v>509</v>
      </c>
      <c r="O627" s="75" t="s">
        <v>535</v>
      </c>
      <c r="P627" s="75" t="s">
        <v>1470</v>
      </c>
    </row>
    <row r="628" spans="1:16">
      <c r="A628" s="63" t="s">
        <v>4282</v>
      </c>
      <c r="B628" s="14" t="str">
        <f>VLOOKUP(P628,'护理记录单文书字典(数据)'!B$4:C$99,2,0)</f>
        <v>6B4C59350CFAB211B4B450B5017BE817</v>
      </c>
      <c r="C628" s="75" t="s">
        <v>2856</v>
      </c>
      <c r="D628" s="75" t="s">
        <v>2857</v>
      </c>
      <c r="E628" s="92" t="s">
        <v>2048</v>
      </c>
      <c r="F628" s="87">
        <v>1</v>
      </c>
      <c r="G628" s="87">
        <v>1</v>
      </c>
      <c r="H628" s="75"/>
      <c r="I628" s="75"/>
      <c r="J628" s="75"/>
      <c r="K628" s="75" t="s">
        <v>162</v>
      </c>
      <c r="L628" s="75" t="s">
        <v>509</v>
      </c>
      <c r="M628" s="75" t="s">
        <v>535</v>
      </c>
      <c r="N628" s="75" t="s">
        <v>509</v>
      </c>
      <c r="O628" s="75" t="s">
        <v>535</v>
      </c>
      <c r="P628" s="75" t="s">
        <v>1470</v>
      </c>
    </row>
    <row r="629" spans="1:16">
      <c r="A629" s="63" t="s">
        <v>4282</v>
      </c>
      <c r="B629" s="14" t="str">
        <f>VLOOKUP(P629,'护理记录单文书字典(数据)'!B$4:C$99,2,0)</f>
        <v>6B4C59350CFAB211B4B450B5017BE817</v>
      </c>
      <c r="C629" s="75" t="s">
        <v>2859</v>
      </c>
      <c r="D629" s="75" t="s">
        <v>2860</v>
      </c>
      <c r="E629" s="92" t="s">
        <v>2048</v>
      </c>
      <c r="F629" s="87">
        <v>1</v>
      </c>
      <c r="G629" s="87">
        <v>1</v>
      </c>
      <c r="H629" s="75"/>
      <c r="I629" s="75"/>
      <c r="J629" s="75"/>
      <c r="K629" s="75" t="s">
        <v>162</v>
      </c>
      <c r="L629" s="75" t="s">
        <v>509</v>
      </c>
      <c r="M629" s="75" t="s">
        <v>535</v>
      </c>
      <c r="N629" s="75" t="s">
        <v>509</v>
      </c>
      <c r="O629" s="75" t="s">
        <v>535</v>
      </c>
      <c r="P629" s="75" t="s">
        <v>1470</v>
      </c>
    </row>
    <row r="630" spans="1:16">
      <c r="A630" s="63" t="s">
        <v>4282</v>
      </c>
      <c r="B630" s="14" t="str">
        <f>VLOOKUP(P630,'护理记录单文书字典(数据)'!B$4:C$99,2,0)</f>
        <v>6B4C59350CFAB211B4B450B5017BE817</v>
      </c>
      <c r="C630" s="75" t="s">
        <v>2863</v>
      </c>
      <c r="D630" s="75" t="s">
        <v>102</v>
      </c>
      <c r="E630" s="92" t="s">
        <v>2048</v>
      </c>
      <c r="F630" s="87">
        <v>1</v>
      </c>
      <c r="G630" s="87">
        <v>1</v>
      </c>
      <c r="H630" s="75"/>
      <c r="I630" s="75"/>
      <c r="J630" s="75"/>
      <c r="K630" s="75" t="s">
        <v>162</v>
      </c>
      <c r="L630" s="75" t="s">
        <v>509</v>
      </c>
      <c r="M630" s="75" t="s">
        <v>535</v>
      </c>
      <c r="N630" s="75" t="s">
        <v>509</v>
      </c>
      <c r="O630" s="75" t="s">
        <v>535</v>
      </c>
      <c r="P630" s="75" t="s">
        <v>1470</v>
      </c>
    </row>
    <row r="631" spans="1:16">
      <c r="A631" s="63" t="s">
        <v>4282</v>
      </c>
      <c r="B631" s="14" t="str">
        <f>VLOOKUP(P631,'护理记录单文书字典(数据)'!B$4:C$99,2,0)</f>
        <v>6B4C59350CFAB211B4B450B5017BE817</v>
      </c>
      <c r="C631" s="75" t="s">
        <v>2864</v>
      </c>
      <c r="D631" s="75" t="s">
        <v>101</v>
      </c>
      <c r="E631" s="92" t="s">
        <v>2048</v>
      </c>
      <c r="F631" s="87">
        <v>1</v>
      </c>
      <c r="G631" s="87">
        <v>1</v>
      </c>
      <c r="H631" s="75"/>
      <c r="I631" s="75"/>
      <c r="J631" s="75"/>
      <c r="K631" s="75" t="s">
        <v>162</v>
      </c>
      <c r="L631" s="75" t="s">
        <v>509</v>
      </c>
      <c r="M631" s="75" t="s">
        <v>535</v>
      </c>
      <c r="N631" s="75" t="s">
        <v>509</v>
      </c>
      <c r="O631" s="75" t="s">
        <v>535</v>
      </c>
      <c r="P631" s="75" t="s">
        <v>1470</v>
      </c>
    </row>
    <row r="632" spans="1:16">
      <c r="A632" s="63" t="s">
        <v>4282</v>
      </c>
      <c r="B632" s="14" t="str">
        <f>VLOOKUP(P632,'护理记录单文书字典(数据)'!B$4:C$99,2,0)</f>
        <v>6B4C59350CFAB211B4B450B5017BE817</v>
      </c>
      <c r="C632" s="75" t="s">
        <v>2979</v>
      </c>
      <c r="D632" s="75" t="s">
        <v>1478</v>
      </c>
      <c r="E632" s="92" t="s">
        <v>2052</v>
      </c>
      <c r="F632" s="87">
        <v>1</v>
      </c>
      <c r="G632" s="87">
        <v>1</v>
      </c>
      <c r="H632" s="75" t="s">
        <v>1477</v>
      </c>
      <c r="I632" s="75"/>
      <c r="J632" s="75"/>
      <c r="K632" s="75" t="s">
        <v>162</v>
      </c>
      <c r="L632" s="75" t="s">
        <v>509</v>
      </c>
      <c r="M632" s="75" t="s">
        <v>535</v>
      </c>
      <c r="N632" s="75" t="s">
        <v>509</v>
      </c>
      <c r="O632" s="75" t="s">
        <v>535</v>
      </c>
      <c r="P632" s="75" t="s">
        <v>1470</v>
      </c>
    </row>
    <row r="633" spans="1:16">
      <c r="A633" s="63" t="s">
        <v>4282</v>
      </c>
      <c r="B633" s="14" t="str">
        <f>VLOOKUP(P633,'护理记录单文书字典(数据)'!B$4:C$99,2,0)</f>
        <v>6B4C59350CFAB211B4B450B5017BE817</v>
      </c>
      <c r="C633" s="75" t="s">
        <v>2980</v>
      </c>
      <c r="D633" s="75" t="s">
        <v>1437</v>
      </c>
      <c r="E633" s="92" t="s">
        <v>2052</v>
      </c>
      <c r="F633" s="87">
        <v>1</v>
      </c>
      <c r="G633" s="87">
        <v>1</v>
      </c>
      <c r="H633" s="75" t="s">
        <v>1436</v>
      </c>
      <c r="I633" s="75"/>
      <c r="J633" s="75"/>
      <c r="K633" s="75" t="s">
        <v>162</v>
      </c>
      <c r="L633" s="75" t="s">
        <v>509</v>
      </c>
      <c r="M633" s="75" t="s">
        <v>535</v>
      </c>
      <c r="N633" s="75" t="s">
        <v>509</v>
      </c>
      <c r="O633" s="75" t="s">
        <v>535</v>
      </c>
      <c r="P633" s="75" t="s">
        <v>1470</v>
      </c>
    </row>
    <row r="634" spans="1:16">
      <c r="A634" s="63" t="s">
        <v>4282</v>
      </c>
      <c r="B634" s="14" t="str">
        <f>VLOOKUP(P634,'护理记录单文书字典(数据)'!B$4:C$99,2,0)</f>
        <v>6B4C59350CFAB211B4B450B5017BE817</v>
      </c>
      <c r="C634" s="75" t="s">
        <v>2981</v>
      </c>
      <c r="D634" s="75" t="s">
        <v>2982</v>
      </c>
      <c r="E634" s="92" t="s">
        <v>2048</v>
      </c>
      <c r="F634" s="87">
        <v>1</v>
      </c>
      <c r="G634" s="87">
        <v>1</v>
      </c>
      <c r="H634" s="75"/>
      <c r="I634" s="75"/>
      <c r="J634" s="75"/>
      <c r="K634" s="75" t="s">
        <v>162</v>
      </c>
      <c r="L634" s="75" t="s">
        <v>509</v>
      </c>
      <c r="M634" s="75" t="s">
        <v>535</v>
      </c>
      <c r="N634" s="75" t="s">
        <v>509</v>
      </c>
      <c r="O634" s="75" t="s">
        <v>535</v>
      </c>
      <c r="P634" s="75" t="s">
        <v>1470</v>
      </c>
    </row>
    <row r="635" spans="1:16">
      <c r="A635" s="63" t="s">
        <v>4282</v>
      </c>
      <c r="B635" s="14" t="str">
        <f>VLOOKUP(P635,'护理记录单文书字典(数据)'!B$4:C$99,2,0)</f>
        <v>6B4C59350CFAB211B4B450B5017BE817</v>
      </c>
      <c r="C635" s="75" t="s">
        <v>2900</v>
      </c>
      <c r="D635" s="75" t="s">
        <v>1154</v>
      </c>
      <c r="E635" s="92" t="s">
        <v>2052</v>
      </c>
      <c r="F635" s="87">
        <v>1</v>
      </c>
      <c r="G635" s="87">
        <v>1</v>
      </c>
      <c r="H635" s="75" t="s">
        <v>1153</v>
      </c>
      <c r="I635" s="75"/>
      <c r="J635" s="75"/>
      <c r="K635" s="75" t="s">
        <v>162</v>
      </c>
      <c r="L635" s="75" t="s">
        <v>509</v>
      </c>
      <c r="M635" s="75" t="s">
        <v>535</v>
      </c>
      <c r="N635" s="75" t="s">
        <v>509</v>
      </c>
      <c r="O635" s="75" t="s">
        <v>535</v>
      </c>
      <c r="P635" s="75" t="s">
        <v>1470</v>
      </c>
    </row>
    <row r="636" spans="1:16">
      <c r="A636" s="63" t="s">
        <v>4282</v>
      </c>
      <c r="B636" s="14" t="str">
        <f>VLOOKUP(P636,'护理记录单文书字典(数据)'!B$4:C$99,2,0)</f>
        <v>6B4C59350CFAB211B4B450B5017BE817</v>
      </c>
      <c r="C636" s="75" t="s">
        <v>2983</v>
      </c>
      <c r="D636" s="75" t="s">
        <v>1484</v>
      </c>
      <c r="E636" s="92" t="s">
        <v>2052</v>
      </c>
      <c r="F636" s="87">
        <v>1</v>
      </c>
      <c r="G636" s="87">
        <v>1</v>
      </c>
      <c r="H636" s="75" t="s">
        <v>1483</v>
      </c>
      <c r="I636" s="75"/>
      <c r="J636" s="75"/>
      <c r="K636" s="75" t="s">
        <v>162</v>
      </c>
      <c r="L636" s="75" t="s">
        <v>509</v>
      </c>
      <c r="M636" s="75" t="s">
        <v>535</v>
      </c>
      <c r="N636" s="75" t="s">
        <v>509</v>
      </c>
      <c r="O636" s="75" t="s">
        <v>535</v>
      </c>
      <c r="P636" s="75" t="s">
        <v>1470</v>
      </c>
    </row>
    <row r="637" spans="1:16">
      <c r="A637" s="63" t="s">
        <v>4282</v>
      </c>
      <c r="B637" s="14" t="str">
        <f>VLOOKUP(P637,'护理记录单文书字典(数据)'!B$4:C$99,2,0)</f>
        <v>6B4C59350CFAB211B4B450B5017BE817</v>
      </c>
      <c r="C637" s="75" t="s">
        <v>2984</v>
      </c>
      <c r="D637" s="75" t="s">
        <v>2985</v>
      </c>
      <c r="E637" s="92" t="s">
        <v>2052</v>
      </c>
      <c r="F637" s="87">
        <v>1</v>
      </c>
      <c r="G637" s="87">
        <v>1</v>
      </c>
      <c r="H637" s="75" t="s">
        <v>1488</v>
      </c>
      <c r="I637" s="75"/>
      <c r="J637" s="75"/>
      <c r="K637" s="75" t="s">
        <v>162</v>
      </c>
      <c r="L637" s="75" t="s">
        <v>509</v>
      </c>
      <c r="M637" s="75" t="s">
        <v>535</v>
      </c>
      <c r="N637" s="75" t="s">
        <v>509</v>
      </c>
      <c r="O637" s="75" t="s">
        <v>535</v>
      </c>
      <c r="P637" s="75" t="s">
        <v>1470</v>
      </c>
    </row>
    <row r="638" spans="1:16">
      <c r="A638" s="63" t="s">
        <v>4282</v>
      </c>
      <c r="B638" s="14" t="str">
        <f>VLOOKUP(P638,'护理记录单文书字典(数据)'!B$4:C$99,2,0)</f>
        <v>6B4C59350CFAB211B4B450B5017BE817</v>
      </c>
      <c r="C638" s="75" t="s">
        <v>2986</v>
      </c>
      <c r="D638" s="75" t="s">
        <v>2987</v>
      </c>
      <c r="E638" s="92" t="s">
        <v>2048</v>
      </c>
      <c r="F638" s="87">
        <v>1</v>
      </c>
      <c r="G638" s="87">
        <v>1</v>
      </c>
      <c r="H638" s="75"/>
      <c r="I638" s="75"/>
      <c r="J638" s="75"/>
      <c r="K638" s="75" t="s">
        <v>162</v>
      </c>
      <c r="L638" s="75" t="s">
        <v>509</v>
      </c>
      <c r="M638" s="75" t="s">
        <v>535</v>
      </c>
      <c r="N638" s="75" t="s">
        <v>509</v>
      </c>
      <c r="O638" s="75" t="s">
        <v>535</v>
      </c>
      <c r="P638" s="75" t="s">
        <v>1470</v>
      </c>
    </row>
    <row r="639" spans="1:16">
      <c r="A639" s="63" t="s">
        <v>4282</v>
      </c>
      <c r="B639" s="14" t="str">
        <f>VLOOKUP(P639,'护理记录单文书字典(数据)'!B$4:C$99,2,0)</f>
        <v>6B4C59350CFAB211B4B450B5017BE817</v>
      </c>
      <c r="C639" s="75" t="s">
        <v>2988</v>
      </c>
      <c r="D639" s="75" t="s">
        <v>2989</v>
      </c>
      <c r="E639" s="92" t="s">
        <v>2052</v>
      </c>
      <c r="F639" s="87">
        <v>1</v>
      </c>
      <c r="G639" s="87">
        <v>1</v>
      </c>
      <c r="H639" s="75" t="s">
        <v>1493</v>
      </c>
      <c r="I639" s="75"/>
      <c r="J639" s="75"/>
      <c r="K639" s="75" t="s">
        <v>162</v>
      </c>
      <c r="L639" s="75" t="s">
        <v>509</v>
      </c>
      <c r="M639" s="75" t="s">
        <v>535</v>
      </c>
      <c r="N639" s="75" t="s">
        <v>509</v>
      </c>
      <c r="O639" s="75" t="s">
        <v>535</v>
      </c>
      <c r="P639" s="75" t="s">
        <v>1470</v>
      </c>
    </row>
    <row r="640" spans="1:16">
      <c r="A640" s="63" t="s">
        <v>4282</v>
      </c>
      <c r="B640" s="14" t="str">
        <f>VLOOKUP(P640,'护理记录单文书字典(数据)'!B$4:C$99,2,0)</f>
        <v>6B4C59350CFAB211B4B450B5017BE817</v>
      </c>
      <c r="C640" s="75" t="s">
        <v>2990</v>
      </c>
      <c r="D640" s="75" t="s">
        <v>1496</v>
      </c>
      <c r="E640" s="92" t="s">
        <v>2052</v>
      </c>
      <c r="F640" s="87">
        <v>1</v>
      </c>
      <c r="G640" s="87">
        <v>1</v>
      </c>
      <c r="H640" s="75" t="s">
        <v>1495</v>
      </c>
      <c r="I640" s="75"/>
      <c r="J640" s="75"/>
      <c r="K640" s="75" t="s">
        <v>162</v>
      </c>
      <c r="L640" s="75" t="s">
        <v>509</v>
      </c>
      <c r="M640" s="75" t="s">
        <v>535</v>
      </c>
      <c r="N640" s="75" t="s">
        <v>509</v>
      </c>
      <c r="O640" s="75" t="s">
        <v>535</v>
      </c>
      <c r="P640" s="75" t="s">
        <v>1470</v>
      </c>
    </row>
    <row r="641" spans="1:16">
      <c r="A641" s="63" t="s">
        <v>4282</v>
      </c>
      <c r="B641" s="14" t="str">
        <f>VLOOKUP(P641,'护理记录单文书字典(数据)'!B$4:C$99,2,0)</f>
        <v>6B4C59350CFAB211B4B450B5017BE817</v>
      </c>
      <c r="C641" s="75" t="s">
        <v>2991</v>
      </c>
      <c r="D641" s="75" t="s">
        <v>1498</v>
      </c>
      <c r="E641" s="92" t="s">
        <v>2052</v>
      </c>
      <c r="F641" s="87">
        <v>1</v>
      </c>
      <c r="G641" s="87">
        <v>1</v>
      </c>
      <c r="H641" s="75" t="s">
        <v>1497</v>
      </c>
      <c r="I641" s="75"/>
      <c r="J641" s="75"/>
      <c r="K641" s="75" t="s">
        <v>162</v>
      </c>
      <c r="L641" s="75" t="s">
        <v>509</v>
      </c>
      <c r="M641" s="75" t="s">
        <v>535</v>
      </c>
      <c r="N641" s="75" t="s">
        <v>509</v>
      </c>
      <c r="O641" s="75" t="s">
        <v>535</v>
      </c>
      <c r="P641" s="75" t="s">
        <v>1470</v>
      </c>
    </row>
    <row r="642" spans="1:16">
      <c r="A642" s="63" t="s">
        <v>4282</v>
      </c>
      <c r="B642" s="14" t="str">
        <f>VLOOKUP(P642,'护理记录单文书字典(数据)'!B$4:C$99,2,0)</f>
        <v>6B4C59350CFAB211B4B450B5017BE817</v>
      </c>
      <c r="C642" s="75" t="s">
        <v>2992</v>
      </c>
      <c r="D642" s="75" t="s">
        <v>2993</v>
      </c>
      <c r="E642" s="92" t="s">
        <v>2048</v>
      </c>
      <c r="F642" s="87">
        <v>1</v>
      </c>
      <c r="G642" s="87">
        <v>1</v>
      </c>
      <c r="H642" s="75"/>
      <c r="I642" s="75"/>
      <c r="J642" s="75"/>
      <c r="K642" s="75" t="s">
        <v>162</v>
      </c>
      <c r="L642" s="75" t="s">
        <v>509</v>
      </c>
      <c r="M642" s="75" t="s">
        <v>535</v>
      </c>
      <c r="N642" s="75" t="s">
        <v>509</v>
      </c>
      <c r="O642" s="75" t="s">
        <v>535</v>
      </c>
      <c r="P642" s="75" t="s">
        <v>1470</v>
      </c>
    </row>
    <row r="643" spans="1:16">
      <c r="A643" s="63" t="s">
        <v>4282</v>
      </c>
      <c r="B643" s="14" t="str">
        <f>VLOOKUP(P643,'护理记录单文书字典(数据)'!B$4:C$99,2,0)</f>
        <v>6B4C59350CFAB211B4B450B5017BE817</v>
      </c>
      <c r="C643" s="75" t="s">
        <v>2994</v>
      </c>
      <c r="D643" s="75" t="s">
        <v>1500</v>
      </c>
      <c r="E643" s="92" t="s">
        <v>2052</v>
      </c>
      <c r="F643" s="87">
        <v>1</v>
      </c>
      <c r="G643" s="87">
        <v>1</v>
      </c>
      <c r="H643" s="75" t="s">
        <v>1499</v>
      </c>
      <c r="I643" s="75"/>
      <c r="J643" s="75"/>
      <c r="K643" s="75" t="s">
        <v>162</v>
      </c>
      <c r="L643" s="75" t="s">
        <v>509</v>
      </c>
      <c r="M643" s="75" t="s">
        <v>535</v>
      </c>
      <c r="N643" s="75" t="s">
        <v>509</v>
      </c>
      <c r="O643" s="75" t="s">
        <v>535</v>
      </c>
      <c r="P643" s="75" t="s">
        <v>1470</v>
      </c>
    </row>
    <row r="644" spans="1:16">
      <c r="A644" s="63" t="s">
        <v>4282</v>
      </c>
      <c r="B644" s="14" t="str">
        <f>VLOOKUP(P644,'护理记录单文书字典(数据)'!B$4:C$99,2,0)</f>
        <v>6B4C59350CFAB211B4B450B5017BE817</v>
      </c>
      <c r="C644" s="75" t="s">
        <v>2995</v>
      </c>
      <c r="D644" s="75" t="s">
        <v>1502</v>
      </c>
      <c r="E644" s="92" t="s">
        <v>2052</v>
      </c>
      <c r="F644" s="87">
        <v>1</v>
      </c>
      <c r="G644" s="87">
        <v>1</v>
      </c>
      <c r="H644" s="75" t="s">
        <v>1501</v>
      </c>
      <c r="I644" s="75"/>
      <c r="J644" s="75"/>
      <c r="K644" s="75" t="s">
        <v>162</v>
      </c>
      <c r="L644" s="75" t="s">
        <v>509</v>
      </c>
      <c r="M644" s="75" t="s">
        <v>535</v>
      </c>
      <c r="N644" s="75" t="s">
        <v>509</v>
      </c>
      <c r="O644" s="75" t="s">
        <v>535</v>
      </c>
      <c r="P644" s="75" t="s">
        <v>1470</v>
      </c>
    </row>
    <row r="645" spans="1:16">
      <c r="A645" s="63" t="s">
        <v>4282</v>
      </c>
      <c r="B645" s="14" t="str">
        <f>VLOOKUP(P645,'护理记录单文书字典(数据)'!B$4:C$99,2,0)</f>
        <v>6B4C59350CFAB211B4B450B5017BE817</v>
      </c>
      <c r="C645" s="75" t="s">
        <v>2996</v>
      </c>
      <c r="D645" s="75" t="s">
        <v>1507</v>
      </c>
      <c r="E645" s="92" t="s">
        <v>2052</v>
      </c>
      <c r="F645" s="87">
        <v>1</v>
      </c>
      <c r="G645" s="87">
        <v>1</v>
      </c>
      <c r="H645" s="75" t="s">
        <v>1506</v>
      </c>
      <c r="I645" s="75"/>
      <c r="J645" s="75"/>
      <c r="K645" s="75" t="s">
        <v>162</v>
      </c>
      <c r="L645" s="75" t="s">
        <v>509</v>
      </c>
      <c r="M645" s="75" t="s">
        <v>535</v>
      </c>
      <c r="N645" s="75" t="s">
        <v>509</v>
      </c>
      <c r="O645" s="75" t="s">
        <v>535</v>
      </c>
      <c r="P645" s="75" t="s">
        <v>1470</v>
      </c>
    </row>
    <row r="646" spans="1:16">
      <c r="A646" s="63" t="s">
        <v>4282</v>
      </c>
      <c r="B646" s="14" t="str">
        <f>VLOOKUP(P646,'护理记录单文书字典(数据)'!B$4:C$99,2,0)</f>
        <v>6B4C59350CFAB211B4B450B5017BE817</v>
      </c>
      <c r="C646" s="75" t="s">
        <v>2997</v>
      </c>
      <c r="D646" s="75" t="s">
        <v>1512</v>
      </c>
      <c r="E646" s="92" t="s">
        <v>2052</v>
      </c>
      <c r="F646" s="87">
        <v>1</v>
      </c>
      <c r="G646" s="87">
        <v>1</v>
      </c>
      <c r="H646" s="75" t="s">
        <v>1511</v>
      </c>
      <c r="I646" s="75"/>
      <c r="J646" s="75"/>
      <c r="K646" s="75" t="s">
        <v>162</v>
      </c>
      <c r="L646" s="75" t="s">
        <v>509</v>
      </c>
      <c r="M646" s="75" t="s">
        <v>535</v>
      </c>
      <c r="N646" s="75" t="s">
        <v>509</v>
      </c>
      <c r="O646" s="75" t="s">
        <v>535</v>
      </c>
      <c r="P646" s="75" t="s">
        <v>1470</v>
      </c>
    </row>
    <row r="647" spans="1:16">
      <c r="A647" s="63" t="s">
        <v>4282</v>
      </c>
      <c r="B647" s="14" t="str">
        <f>VLOOKUP(P647,'护理记录单文书字典(数据)'!B$4:C$99,2,0)</f>
        <v>6B4C59350CFAB211B4B450B5017BE817</v>
      </c>
      <c r="C647" s="75" t="s">
        <v>2998</v>
      </c>
      <c r="D647" s="75" t="s">
        <v>1517</v>
      </c>
      <c r="E647" s="92" t="s">
        <v>2052</v>
      </c>
      <c r="F647" s="87">
        <v>1</v>
      </c>
      <c r="G647" s="87">
        <v>1</v>
      </c>
      <c r="H647" s="75" t="s">
        <v>1516</v>
      </c>
      <c r="I647" s="75"/>
      <c r="J647" s="75"/>
      <c r="K647" s="75" t="s">
        <v>162</v>
      </c>
      <c r="L647" s="75" t="s">
        <v>509</v>
      </c>
      <c r="M647" s="75" t="s">
        <v>535</v>
      </c>
      <c r="N647" s="75" t="s">
        <v>509</v>
      </c>
      <c r="O647" s="75" t="s">
        <v>535</v>
      </c>
      <c r="P647" s="75" t="s">
        <v>1470</v>
      </c>
    </row>
    <row r="648" spans="1:16">
      <c r="A648" s="63" t="s">
        <v>4282</v>
      </c>
      <c r="B648" s="14" t="str">
        <f>VLOOKUP(P648,'护理记录单文书字典(数据)'!B$4:C$99,2,0)</f>
        <v>6B4C59350CFAB211B4B450B5017BE817</v>
      </c>
      <c r="C648" s="75" t="s">
        <v>2999</v>
      </c>
      <c r="D648" s="75" t="s">
        <v>1521</v>
      </c>
      <c r="E648" s="92" t="s">
        <v>2052</v>
      </c>
      <c r="F648" s="87">
        <v>1</v>
      </c>
      <c r="G648" s="87">
        <v>1</v>
      </c>
      <c r="H648" s="75" t="s">
        <v>1520</v>
      </c>
      <c r="I648" s="75"/>
      <c r="J648" s="75"/>
      <c r="K648" s="75" t="s">
        <v>162</v>
      </c>
      <c r="L648" s="75" t="s">
        <v>509</v>
      </c>
      <c r="M648" s="75" t="s">
        <v>535</v>
      </c>
      <c r="N648" s="75" t="s">
        <v>509</v>
      </c>
      <c r="O648" s="75" t="s">
        <v>535</v>
      </c>
      <c r="P648" s="75" t="s">
        <v>1470</v>
      </c>
    </row>
    <row r="649" spans="1:16">
      <c r="A649" s="63" t="s">
        <v>4282</v>
      </c>
      <c r="B649" s="14" t="str">
        <f>VLOOKUP(P649,'护理记录单文书字典(数据)'!B$4:C$99,2,0)</f>
        <v>6B4C59350CFAB211B4B450B5017BE817</v>
      </c>
      <c r="C649" s="75" t="s">
        <v>3000</v>
      </c>
      <c r="D649" s="75" t="s">
        <v>1523</v>
      </c>
      <c r="E649" s="92" t="s">
        <v>2052</v>
      </c>
      <c r="F649" s="87">
        <v>1</v>
      </c>
      <c r="G649" s="87">
        <v>1</v>
      </c>
      <c r="H649" s="75" t="s">
        <v>1522</v>
      </c>
      <c r="I649" s="75"/>
      <c r="J649" s="75"/>
      <c r="K649" s="75" t="s">
        <v>162</v>
      </c>
      <c r="L649" s="75" t="s">
        <v>509</v>
      </c>
      <c r="M649" s="75" t="s">
        <v>535</v>
      </c>
      <c r="N649" s="75" t="s">
        <v>509</v>
      </c>
      <c r="O649" s="75" t="s">
        <v>535</v>
      </c>
      <c r="P649" s="75" t="s">
        <v>1470</v>
      </c>
    </row>
    <row r="650" spans="1:16">
      <c r="A650" s="63" t="s">
        <v>4282</v>
      </c>
      <c r="B650" s="14" t="str">
        <f>VLOOKUP(P650,'护理记录单文书字典(数据)'!B$4:C$99,2,0)</f>
        <v>6B4C59350CFAB211B4B450B5017BE817</v>
      </c>
      <c r="C650" s="75" t="s">
        <v>3001</v>
      </c>
      <c r="D650" s="75" t="s">
        <v>3002</v>
      </c>
      <c r="E650" s="92" t="s">
        <v>2052</v>
      </c>
      <c r="F650" s="87">
        <v>1</v>
      </c>
      <c r="G650" s="87">
        <v>1</v>
      </c>
      <c r="H650" s="75" t="s">
        <v>2737</v>
      </c>
      <c r="I650" s="75"/>
      <c r="J650" s="75"/>
      <c r="K650" s="75" t="s">
        <v>162</v>
      </c>
      <c r="L650" s="75" t="s">
        <v>509</v>
      </c>
      <c r="M650" s="75" t="s">
        <v>535</v>
      </c>
      <c r="N650" s="75" t="s">
        <v>509</v>
      </c>
      <c r="O650" s="75" t="s">
        <v>535</v>
      </c>
      <c r="P650" s="75" t="s">
        <v>1470</v>
      </c>
    </row>
    <row r="651" spans="1:16">
      <c r="A651" s="63" t="s">
        <v>4282</v>
      </c>
      <c r="B651" s="14" t="str">
        <f>VLOOKUP(P651,'护理记录单文书字典(数据)'!B$4:C$99,2,0)</f>
        <v>6B4C59350CFAB211B4B450B5017BE817</v>
      </c>
      <c r="C651" s="75" t="s">
        <v>3003</v>
      </c>
      <c r="D651" s="75" t="s">
        <v>3004</v>
      </c>
      <c r="E651" s="92" t="s">
        <v>2052</v>
      </c>
      <c r="F651" s="87">
        <v>1</v>
      </c>
      <c r="G651" s="87">
        <v>1</v>
      </c>
      <c r="H651" s="75" t="s">
        <v>2737</v>
      </c>
      <c r="I651" s="75"/>
      <c r="J651" s="75"/>
      <c r="K651" s="75" t="s">
        <v>162</v>
      </c>
      <c r="L651" s="75" t="s">
        <v>509</v>
      </c>
      <c r="M651" s="75" t="s">
        <v>535</v>
      </c>
      <c r="N651" s="75" t="s">
        <v>509</v>
      </c>
      <c r="O651" s="75" t="s">
        <v>535</v>
      </c>
      <c r="P651" s="75" t="s">
        <v>1470</v>
      </c>
    </row>
    <row r="652" spans="1:16">
      <c r="A652" s="63" t="s">
        <v>4282</v>
      </c>
      <c r="B652" s="14" t="str">
        <f>VLOOKUP(P652,'护理记录单文书字典(数据)'!B$4:C$99,2,0)</f>
        <v>6B4C59350CFAB211B4B450B5017BE817</v>
      </c>
      <c r="C652" s="75" t="s">
        <v>3005</v>
      </c>
      <c r="D652" s="75" t="s">
        <v>2741</v>
      </c>
      <c r="E652" s="92" t="s">
        <v>2052</v>
      </c>
      <c r="F652" s="87">
        <v>1</v>
      </c>
      <c r="G652" s="87">
        <v>1</v>
      </c>
      <c r="H652" s="75" t="s">
        <v>2740</v>
      </c>
      <c r="I652" s="75"/>
      <c r="J652" s="75"/>
      <c r="K652" s="75" t="s">
        <v>162</v>
      </c>
      <c r="L652" s="75" t="s">
        <v>509</v>
      </c>
      <c r="M652" s="75" t="s">
        <v>535</v>
      </c>
      <c r="N652" s="75" t="s">
        <v>509</v>
      </c>
      <c r="O652" s="75" t="s">
        <v>535</v>
      </c>
      <c r="P652" s="75" t="s">
        <v>1470</v>
      </c>
    </row>
    <row r="653" spans="1:16">
      <c r="A653" s="63" t="s">
        <v>4282</v>
      </c>
      <c r="B653" s="14" t="str">
        <f>VLOOKUP(P653,'护理记录单文书字典(数据)'!B$4:C$99,2,0)</f>
        <v>6B4C59350CFAB211B4B450B5017BE817</v>
      </c>
      <c r="C653" s="159" t="s">
        <v>4640</v>
      </c>
      <c r="D653" s="75" t="s">
        <v>3006</v>
      </c>
      <c r="E653" s="92" t="s">
        <v>2048</v>
      </c>
      <c r="F653" s="87">
        <v>1</v>
      </c>
      <c r="G653" s="87">
        <v>1</v>
      </c>
      <c r="H653" s="75"/>
      <c r="I653" s="75"/>
      <c r="J653" s="75"/>
      <c r="K653" s="75" t="s">
        <v>162</v>
      </c>
      <c r="L653" s="75" t="s">
        <v>509</v>
      </c>
      <c r="M653" s="75" t="s">
        <v>535</v>
      </c>
      <c r="N653" s="75" t="s">
        <v>509</v>
      </c>
      <c r="O653" s="75" t="s">
        <v>535</v>
      </c>
      <c r="P653" s="75" t="s">
        <v>1470</v>
      </c>
    </row>
    <row r="654" spans="1:16">
      <c r="A654" s="63" t="s">
        <v>4282</v>
      </c>
      <c r="B654" s="14" t="str">
        <f>VLOOKUP(P654,'护理记录单文书字典(数据)'!B$4:C$99,2,0)</f>
        <v>6B4C59350CFAB211B4B450B5017BE817</v>
      </c>
      <c r="C654" s="159" t="s">
        <v>2105</v>
      </c>
      <c r="D654" s="75" t="s">
        <v>2103</v>
      </c>
      <c r="E654" s="102" t="s">
        <v>4652</v>
      </c>
      <c r="F654" s="87">
        <v>1</v>
      </c>
      <c r="G654" s="87">
        <v>1</v>
      </c>
      <c r="H654" s="75"/>
      <c r="I654" s="75"/>
      <c r="J654" s="75"/>
      <c r="K654" s="75" t="s">
        <v>162</v>
      </c>
      <c r="L654" s="75" t="s">
        <v>509</v>
      </c>
      <c r="M654" s="75" t="s">
        <v>535</v>
      </c>
      <c r="N654" s="75" t="s">
        <v>509</v>
      </c>
      <c r="O654" s="75" t="s">
        <v>535</v>
      </c>
      <c r="P654" s="75" t="s">
        <v>1470</v>
      </c>
    </row>
    <row r="655" spans="1:16">
      <c r="A655" s="63" t="s">
        <v>4282</v>
      </c>
      <c r="B655" s="14" t="str">
        <f>VLOOKUP(P655,'护理记录单文书字典(数据)'!B$4:C$99,2,0)</f>
        <v>768793350CFAB211BD98291F1176296E</v>
      </c>
      <c r="C655" s="75" t="s">
        <v>2046</v>
      </c>
      <c r="D655" s="75" t="s">
        <v>2047</v>
      </c>
      <c r="E655" s="92" t="s">
        <v>2048</v>
      </c>
      <c r="F655" s="87">
        <v>1</v>
      </c>
      <c r="G655" s="87">
        <v>1</v>
      </c>
      <c r="H655" s="75"/>
      <c r="I655" s="75"/>
      <c r="J655" s="75"/>
      <c r="K655" s="75" t="s">
        <v>162</v>
      </c>
      <c r="L655" s="75" t="s">
        <v>509</v>
      </c>
      <c r="M655" s="75" t="s">
        <v>535</v>
      </c>
      <c r="N655" s="75" t="s">
        <v>509</v>
      </c>
      <c r="O655" s="75" t="s">
        <v>535</v>
      </c>
      <c r="P655" s="75" t="s">
        <v>1687</v>
      </c>
    </row>
    <row r="656" spans="1:16">
      <c r="A656" s="63" t="s">
        <v>4282</v>
      </c>
      <c r="B656" s="14" t="str">
        <f>VLOOKUP(P656,'护理记录单文书字典(数据)'!B$4:C$99,2,0)</f>
        <v>768793350CFAB211BD98291F1176296E</v>
      </c>
      <c r="C656" s="75" t="s">
        <v>3007</v>
      </c>
      <c r="D656" s="75" t="s">
        <v>1685</v>
      </c>
      <c r="E656" s="92" t="s">
        <v>2052</v>
      </c>
      <c r="F656" s="87">
        <v>1</v>
      </c>
      <c r="G656" s="87">
        <v>1</v>
      </c>
      <c r="H656" s="75" t="s">
        <v>1684</v>
      </c>
      <c r="I656" s="75"/>
      <c r="J656" s="75"/>
      <c r="K656" s="75" t="s">
        <v>162</v>
      </c>
      <c r="L656" s="75" t="s">
        <v>509</v>
      </c>
      <c r="M656" s="75" t="s">
        <v>535</v>
      </c>
      <c r="N656" s="75" t="s">
        <v>509</v>
      </c>
      <c r="O656" s="75" t="s">
        <v>535</v>
      </c>
      <c r="P656" s="75" t="s">
        <v>1687</v>
      </c>
    </row>
    <row r="657" spans="1:16">
      <c r="A657" s="63" t="s">
        <v>4282</v>
      </c>
      <c r="B657" s="14" t="str">
        <f>VLOOKUP(P657,'护理记录单文书字典(数据)'!B$4:C$99,2,0)</f>
        <v>768793350CFAB211BD98291F1176296E</v>
      </c>
      <c r="C657" s="75" t="s">
        <v>3008</v>
      </c>
      <c r="D657" s="75" t="s">
        <v>1692</v>
      </c>
      <c r="E657" s="92" t="s">
        <v>2052</v>
      </c>
      <c r="F657" s="87">
        <v>1</v>
      </c>
      <c r="G657" s="87">
        <v>1</v>
      </c>
      <c r="H657" s="75" t="s">
        <v>1691</v>
      </c>
      <c r="I657" s="75"/>
      <c r="J657" s="75"/>
      <c r="K657" s="75" t="s">
        <v>162</v>
      </c>
      <c r="L657" s="75" t="s">
        <v>509</v>
      </c>
      <c r="M657" s="75" t="s">
        <v>535</v>
      </c>
      <c r="N657" s="75" t="s">
        <v>509</v>
      </c>
      <c r="O657" s="75" t="s">
        <v>535</v>
      </c>
      <c r="P657" s="75" t="s">
        <v>1687</v>
      </c>
    </row>
    <row r="658" spans="1:16">
      <c r="A658" s="63" t="s">
        <v>4282</v>
      </c>
      <c r="B658" s="14" t="str">
        <f>VLOOKUP(P658,'护理记录单文书字典(数据)'!B$4:C$99,2,0)</f>
        <v>768793350CFAB211BD98291F1176296E</v>
      </c>
      <c r="C658" s="75" t="s">
        <v>3009</v>
      </c>
      <c r="D658" s="75" t="s">
        <v>1695</v>
      </c>
      <c r="E658" s="92" t="s">
        <v>2052</v>
      </c>
      <c r="F658" s="87">
        <v>1</v>
      </c>
      <c r="G658" s="87">
        <v>1</v>
      </c>
      <c r="H658" s="75" t="s">
        <v>1694</v>
      </c>
      <c r="I658" s="75"/>
      <c r="J658" s="75"/>
      <c r="K658" s="75" t="s">
        <v>162</v>
      </c>
      <c r="L658" s="75" t="s">
        <v>509</v>
      </c>
      <c r="M658" s="75" t="s">
        <v>535</v>
      </c>
      <c r="N658" s="75" t="s">
        <v>509</v>
      </c>
      <c r="O658" s="75" t="s">
        <v>535</v>
      </c>
      <c r="P658" s="75" t="s">
        <v>1687</v>
      </c>
    </row>
    <row r="659" spans="1:16">
      <c r="A659" s="63" t="s">
        <v>4282</v>
      </c>
      <c r="B659" s="14" t="str">
        <f>VLOOKUP(P659,'护理记录单文书字典(数据)'!B$4:C$99,2,0)</f>
        <v>768793350CFAB211BD98291F1176296E</v>
      </c>
      <c r="C659" s="75" t="s">
        <v>3010</v>
      </c>
      <c r="D659" s="75" t="s">
        <v>1698</v>
      </c>
      <c r="E659" s="92" t="s">
        <v>2052</v>
      </c>
      <c r="F659" s="87">
        <v>1</v>
      </c>
      <c r="G659" s="87">
        <v>1</v>
      </c>
      <c r="H659" s="75" t="s">
        <v>1697</v>
      </c>
      <c r="I659" s="75"/>
      <c r="J659" s="75"/>
      <c r="K659" s="75" t="s">
        <v>162</v>
      </c>
      <c r="L659" s="75" t="s">
        <v>509</v>
      </c>
      <c r="M659" s="75" t="s">
        <v>535</v>
      </c>
      <c r="N659" s="75" t="s">
        <v>509</v>
      </c>
      <c r="O659" s="75" t="s">
        <v>535</v>
      </c>
      <c r="P659" s="75" t="s">
        <v>1687</v>
      </c>
    </row>
    <row r="660" spans="1:16">
      <c r="A660" s="63" t="s">
        <v>4282</v>
      </c>
      <c r="B660" s="14" t="str">
        <f>VLOOKUP(P660,'护理记录单文书字典(数据)'!B$4:C$99,2,0)</f>
        <v>768793350CFAB211BD98291F1176296E</v>
      </c>
      <c r="C660" s="75" t="s">
        <v>3011</v>
      </c>
      <c r="D660" s="75" t="s">
        <v>1701</v>
      </c>
      <c r="E660" s="92" t="s">
        <v>2052</v>
      </c>
      <c r="F660" s="87">
        <v>1</v>
      </c>
      <c r="G660" s="87">
        <v>1</v>
      </c>
      <c r="H660" s="75" t="s">
        <v>1700</v>
      </c>
      <c r="I660" s="75"/>
      <c r="J660" s="75"/>
      <c r="K660" s="75" t="s">
        <v>162</v>
      </c>
      <c r="L660" s="75" t="s">
        <v>509</v>
      </c>
      <c r="M660" s="75" t="s">
        <v>535</v>
      </c>
      <c r="N660" s="75" t="s">
        <v>509</v>
      </c>
      <c r="O660" s="75" t="s">
        <v>535</v>
      </c>
      <c r="P660" s="75" t="s">
        <v>1687</v>
      </c>
    </row>
    <row r="661" spans="1:16">
      <c r="A661" s="63" t="s">
        <v>4282</v>
      </c>
      <c r="B661" s="14" t="str">
        <f>VLOOKUP(P661,'护理记录单文书字典(数据)'!B$4:C$99,2,0)</f>
        <v>768793350CFAB211BD98291F1176296E</v>
      </c>
      <c r="C661" s="75" t="s">
        <v>3012</v>
      </c>
      <c r="D661" s="75" t="s">
        <v>1704</v>
      </c>
      <c r="E661" s="92" t="s">
        <v>2052</v>
      </c>
      <c r="F661" s="87">
        <v>1</v>
      </c>
      <c r="G661" s="87">
        <v>1</v>
      </c>
      <c r="H661" s="75" t="s">
        <v>1703</v>
      </c>
      <c r="I661" s="75"/>
      <c r="J661" s="75"/>
      <c r="K661" s="75" t="s">
        <v>162</v>
      </c>
      <c r="L661" s="75" t="s">
        <v>509</v>
      </c>
      <c r="M661" s="75" t="s">
        <v>535</v>
      </c>
      <c r="N661" s="75" t="s">
        <v>509</v>
      </c>
      <c r="O661" s="75" t="s">
        <v>535</v>
      </c>
      <c r="P661" s="75" t="s">
        <v>1687</v>
      </c>
    </row>
    <row r="662" spans="1:16">
      <c r="A662" s="63" t="s">
        <v>4282</v>
      </c>
      <c r="B662" s="14" t="str">
        <f>VLOOKUP(P662,'护理记录单文书字典(数据)'!B$4:C$99,2,0)</f>
        <v>768793350CFAB211BD98291F1176296E</v>
      </c>
      <c r="C662" s="75" t="s">
        <v>3013</v>
      </c>
      <c r="D662" s="75" t="s">
        <v>1707</v>
      </c>
      <c r="E662" s="92" t="s">
        <v>2052</v>
      </c>
      <c r="F662" s="87">
        <v>1</v>
      </c>
      <c r="G662" s="87">
        <v>1</v>
      </c>
      <c r="H662" s="75" t="s">
        <v>1706</v>
      </c>
      <c r="I662" s="75"/>
      <c r="J662" s="75"/>
      <c r="K662" s="75" t="s">
        <v>162</v>
      </c>
      <c r="L662" s="75" t="s">
        <v>509</v>
      </c>
      <c r="M662" s="75" t="s">
        <v>535</v>
      </c>
      <c r="N662" s="75" t="s">
        <v>509</v>
      </c>
      <c r="O662" s="75" t="s">
        <v>535</v>
      </c>
      <c r="P662" s="75" t="s">
        <v>1687</v>
      </c>
    </row>
    <row r="663" spans="1:16">
      <c r="A663" s="63" t="s">
        <v>4282</v>
      </c>
      <c r="B663" s="14" t="str">
        <f>VLOOKUP(P663,'护理记录单文书字典(数据)'!B$4:C$99,2,0)</f>
        <v>768793350CFAB211BD98291F1176296E</v>
      </c>
      <c r="C663" s="75" t="s">
        <v>3014</v>
      </c>
      <c r="D663" s="75" t="s">
        <v>1710</v>
      </c>
      <c r="E663" s="92" t="s">
        <v>2052</v>
      </c>
      <c r="F663" s="87">
        <v>1</v>
      </c>
      <c r="G663" s="87">
        <v>1</v>
      </c>
      <c r="H663" s="75" t="s">
        <v>1709</v>
      </c>
      <c r="I663" s="75"/>
      <c r="J663" s="75"/>
      <c r="K663" s="75" t="s">
        <v>162</v>
      </c>
      <c r="L663" s="75" t="s">
        <v>509</v>
      </c>
      <c r="M663" s="75" t="s">
        <v>535</v>
      </c>
      <c r="N663" s="75" t="s">
        <v>509</v>
      </c>
      <c r="O663" s="75" t="s">
        <v>535</v>
      </c>
      <c r="P663" s="75" t="s">
        <v>1687</v>
      </c>
    </row>
    <row r="664" spans="1:16">
      <c r="A664" s="63" t="s">
        <v>4282</v>
      </c>
      <c r="B664" s="14" t="str">
        <f>VLOOKUP(P664,'护理记录单文书字典(数据)'!B$4:C$99,2,0)</f>
        <v>768793350CFAB211BD98291F1176296E</v>
      </c>
      <c r="C664" s="75" t="s">
        <v>3015</v>
      </c>
      <c r="D664" s="75" t="s">
        <v>1713</v>
      </c>
      <c r="E664" s="92" t="s">
        <v>2052</v>
      </c>
      <c r="F664" s="87">
        <v>1</v>
      </c>
      <c r="G664" s="87">
        <v>1</v>
      </c>
      <c r="H664" s="75" t="s">
        <v>1712</v>
      </c>
      <c r="I664" s="75"/>
      <c r="J664" s="75"/>
      <c r="K664" s="75" t="s">
        <v>162</v>
      </c>
      <c r="L664" s="75" t="s">
        <v>509</v>
      </c>
      <c r="M664" s="75" t="s">
        <v>535</v>
      </c>
      <c r="N664" s="75" t="s">
        <v>509</v>
      </c>
      <c r="O664" s="75" t="s">
        <v>535</v>
      </c>
      <c r="P664" s="75" t="s">
        <v>1687</v>
      </c>
    </row>
    <row r="665" spans="1:16">
      <c r="A665" s="63" t="s">
        <v>4282</v>
      </c>
      <c r="B665" s="14" t="str">
        <f>VLOOKUP(P665,'护理记录单文书字典(数据)'!B$4:C$99,2,0)</f>
        <v>768793350CFAB211BD98291F1176296E</v>
      </c>
      <c r="C665" s="75" t="s">
        <v>3016</v>
      </c>
      <c r="D665" s="75" t="s">
        <v>1716</v>
      </c>
      <c r="E665" s="92" t="s">
        <v>2052</v>
      </c>
      <c r="F665" s="87">
        <v>1</v>
      </c>
      <c r="G665" s="87">
        <v>1</v>
      </c>
      <c r="H665" s="75" t="s">
        <v>1715</v>
      </c>
      <c r="I665" s="75"/>
      <c r="J665" s="75"/>
      <c r="K665" s="75" t="s">
        <v>162</v>
      </c>
      <c r="L665" s="75" t="s">
        <v>509</v>
      </c>
      <c r="M665" s="75" t="s">
        <v>535</v>
      </c>
      <c r="N665" s="75" t="s">
        <v>509</v>
      </c>
      <c r="O665" s="75" t="s">
        <v>535</v>
      </c>
      <c r="P665" s="75" t="s">
        <v>1687</v>
      </c>
    </row>
    <row r="666" spans="1:16">
      <c r="A666" s="63" t="s">
        <v>4282</v>
      </c>
      <c r="B666" s="14" t="str">
        <f>VLOOKUP(P666,'护理记录单文书字典(数据)'!B$4:C$99,2,0)</f>
        <v>768793350CFAB211BD98291F1176296E</v>
      </c>
      <c r="C666" s="75" t="s">
        <v>3017</v>
      </c>
      <c r="D666" s="75" t="s">
        <v>1719</v>
      </c>
      <c r="E666" s="92" t="s">
        <v>2052</v>
      </c>
      <c r="F666" s="87">
        <v>1</v>
      </c>
      <c r="G666" s="87">
        <v>1</v>
      </c>
      <c r="H666" s="75" t="s">
        <v>1718</v>
      </c>
      <c r="I666" s="75"/>
      <c r="J666" s="75"/>
      <c r="K666" s="75" t="s">
        <v>162</v>
      </c>
      <c r="L666" s="75" t="s">
        <v>509</v>
      </c>
      <c r="M666" s="75" t="s">
        <v>535</v>
      </c>
      <c r="N666" s="75" t="s">
        <v>509</v>
      </c>
      <c r="O666" s="75" t="s">
        <v>535</v>
      </c>
      <c r="P666" s="75" t="s">
        <v>1687</v>
      </c>
    </row>
    <row r="667" spans="1:16">
      <c r="A667" s="63" t="s">
        <v>4282</v>
      </c>
      <c r="B667" s="14" t="str">
        <f>VLOOKUP(P667,'护理记录单文书字典(数据)'!B$4:C$99,2,0)</f>
        <v>768793350CFAB211BD98291F1176296E</v>
      </c>
      <c r="C667" s="75" t="s">
        <v>3018</v>
      </c>
      <c r="D667" s="75" t="s">
        <v>1722</v>
      </c>
      <c r="E667" s="92" t="s">
        <v>2052</v>
      </c>
      <c r="F667" s="87">
        <v>1</v>
      </c>
      <c r="G667" s="87">
        <v>1</v>
      </c>
      <c r="H667" s="75" t="s">
        <v>1721</v>
      </c>
      <c r="I667" s="75"/>
      <c r="J667" s="75"/>
      <c r="K667" s="75" t="s">
        <v>162</v>
      </c>
      <c r="L667" s="75" t="s">
        <v>509</v>
      </c>
      <c r="M667" s="75" t="s">
        <v>535</v>
      </c>
      <c r="N667" s="75" t="s">
        <v>509</v>
      </c>
      <c r="O667" s="75" t="s">
        <v>535</v>
      </c>
      <c r="P667" s="75" t="s">
        <v>1687</v>
      </c>
    </row>
    <row r="668" spans="1:16">
      <c r="A668" s="63" t="s">
        <v>4282</v>
      </c>
      <c r="B668" s="14" t="str">
        <f>VLOOKUP(P668,'护理记录单文书字典(数据)'!B$4:C$99,2,0)</f>
        <v>768793350CFAB211BD98291F1176296E</v>
      </c>
      <c r="C668" s="75" t="s">
        <v>3019</v>
      </c>
      <c r="D668" s="75" t="s">
        <v>1724</v>
      </c>
      <c r="E668" s="92" t="s">
        <v>2052</v>
      </c>
      <c r="F668" s="87">
        <v>1</v>
      </c>
      <c r="G668" s="87">
        <v>1</v>
      </c>
      <c r="H668" s="75" t="s">
        <v>1723</v>
      </c>
      <c r="I668" s="75"/>
      <c r="J668" s="75"/>
      <c r="K668" s="75" t="s">
        <v>162</v>
      </c>
      <c r="L668" s="75" t="s">
        <v>509</v>
      </c>
      <c r="M668" s="75" t="s">
        <v>535</v>
      </c>
      <c r="N668" s="75" t="s">
        <v>509</v>
      </c>
      <c r="O668" s="75" t="s">
        <v>535</v>
      </c>
      <c r="P668" s="75" t="s">
        <v>1687</v>
      </c>
    </row>
    <row r="669" spans="1:16">
      <c r="A669" s="63" t="s">
        <v>4282</v>
      </c>
      <c r="B669" s="14" t="str">
        <f>VLOOKUP(P669,'护理记录单文书字典(数据)'!B$4:C$99,2,0)</f>
        <v>768793350CFAB211BD98291F1176296E</v>
      </c>
      <c r="C669" s="75" t="s">
        <v>3020</v>
      </c>
      <c r="D669" s="75" t="s">
        <v>1726</v>
      </c>
      <c r="E669" s="92" t="s">
        <v>2052</v>
      </c>
      <c r="F669" s="87">
        <v>1</v>
      </c>
      <c r="G669" s="87">
        <v>1</v>
      </c>
      <c r="H669" s="75" t="s">
        <v>1725</v>
      </c>
      <c r="I669" s="75"/>
      <c r="J669" s="75"/>
      <c r="K669" s="75" t="s">
        <v>162</v>
      </c>
      <c r="L669" s="75" t="s">
        <v>509</v>
      </c>
      <c r="M669" s="75" t="s">
        <v>535</v>
      </c>
      <c r="N669" s="75" t="s">
        <v>509</v>
      </c>
      <c r="O669" s="75" t="s">
        <v>535</v>
      </c>
      <c r="P669" s="75" t="s">
        <v>1687</v>
      </c>
    </row>
    <row r="670" spans="1:16">
      <c r="A670" s="63" t="s">
        <v>4282</v>
      </c>
      <c r="B670" s="14" t="str">
        <f>VLOOKUP(P670,'护理记录单文书字典(数据)'!B$4:C$99,2,0)</f>
        <v>768793350CFAB211BD98291F1176296E</v>
      </c>
      <c r="C670" s="75" t="s">
        <v>3021</v>
      </c>
      <c r="D670" s="75" t="s">
        <v>1728</v>
      </c>
      <c r="E670" s="92" t="s">
        <v>2052</v>
      </c>
      <c r="F670" s="87">
        <v>1</v>
      </c>
      <c r="G670" s="87">
        <v>1</v>
      </c>
      <c r="H670" s="75" t="s">
        <v>1727</v>
      </c>
      <c r="I670" s="75"/>
      <c r="J670" s="75"/>
      <c r="K670" s="75" t="s">
        <v>162</v>
      </c>
      <c r="L670" s="75" t="s">
        <v>509</v>
      </c>
      <c r="M670" s="75" t="s">
        <v>535</v>
      </c>
      <c r="N670" s="75" t="s">
        <v>509</v>
      </c>
      <c r="O670" s="75" t="s">
        <v>535</v>
      </c>
      <c r="P670" s="75" t="s">
        <v>1687</v>
      </c>
    </row>
    <row r="671" spans="1:16">
      <c r="A671" s="63" t="s">
        <v>4282</v>
      </c>
      <c r="B671" s="14" t="str">
        <f>VLOOKUP(P671,'护理记录单文书字典(数据)'!B$4:C$99,2,0)</f>
        <v>768793350CFAB211BD98291F1176296E</v>
      </c>
      <c r="C671" s="75" t="s">
        <v>3022</v>
      </c>
      <c r="D671" s="75" t="s">
        <v>1731</v>
      </c>
      <c r="E671" s="92" t="s">
        <v>2052</v>
      </c>
      <c r="F671" s="87">
        <v>1</v>
      </c>
      <c r="G671" s="87">
        <v>1</v>
      </c>
      <c r="H671" s="75" t="s">
        <v>1730</v>
      </c>
      <c r="I671" s="75"/>
      <c r="J671" s="75"/>
      <c r="K671" s="75" t="s">
        <v>162</v>
      </c>
      <c r="L671" s="75" t="s">
        <v>509</v>
      </c>
      <c r="M671" s="75" t="s">
        <v>535</v>
      </c>
      <c r="N671" s="75" t="s">
        <v>509</v>
      </c>
      <c r="O671" s="75" t="s">
        <v>535</v>
      </c>
      <c r="P671" s="75" t="s">
        <v>1687</v>
      </c>
    </row>
    <row r="672" spans="1:16">
      <c r="A672" s="63" t="s">
        <v>4282</v>
      </c>
      <c r="B672" s="14" t="str">
        <f>VLOOKUP(P672,'护理记录单文书字典(数据)'!B$4:C$99,2,0)</f>
        <v>768793350CFAB211BD98291F1176296E</v>
      </c>
      <c r="C672" s="75" t="s">
        <v>3023</v>
      </c>
      <c r="D672" s="75" t="s">
        <v>1733</v>
      </c>
      <c r="E672" s="92" t="s">
        <v>2052</v>
      </c>
      <c r="F672" s="87">
        <v>1</v>
      </c>
      <c r="G672" s="87">
        <v>1</v>
      </c>
      <c r="H672" s="75" t="s">
        <v>1732</v>
      </c>
      <c r="I672" s="75"/>
      <c r="J672" s="75"/>
      <c r="K672" s="75" t="s">
        <v>162</v>
      </c>
      <c r="L672" s="75" t="s">
        <v>509</v>
      </c>
      <c r="M672" s="75" t="s">
        <v>535</v>
      </c>
      <c r="N672" s="75" t="s">
        <v>509</v>
      </c>
      <c r="O672" s="75" t="s">
        <v>535</v>
      </c>
      <c r="P672" s="75" t="s">
        <v>1687</v>
      </c>
    </row>
    <row r="673" spans="1:16">
      <c r="A673" s="63" t="s">
        <v>4282</v>
      </c>
      <c r="B673" s="14" t="str">
        <f>VLOOKUP(P673,'护理记录单文书字典(数据)'!B$4:C$99,2,0)</f>
        <v>768793350CFAB211BD98291F1176296E</v>
      </c>
      <c r="C673" s="75" t="s">
        <v>3024</v>
      </c>
      <c r="D673" s="75" t="s">
        <v>1735</v>
      </c>
      <c r="E673" s="92" t="s">
        <v>2052</v>
      </c>
      <c r="F673" s="87">
        <v>1</v>
      </c>
      <c r="G673" s="87">
        <v>1</v>
      </c>
      <c r="H673" s="75" t="s">
        <v>1734</v>
      </c>
      <c r="I673" s="75"/>
      <c r="J673" s="75"/>
      <c r="K673" s="75" t="s">
        <v>162</v>
      </c>
      <c r="L673" s="75" t="s">
        <v>509</v>
      </c>
      <c r="M673" s="75" t="s">
        <v>535</v>
      </c>
      <c r="N673" s="75" t="s">
        <v>509</v>
      </c>
      <c r="O673" s="75" t="s">
        <v>535</v>
      </c>
      <c r="P673" s="75" t="s">
        <v>1687</v>
      </c>
    </row>
    <row r="674" spans="1:16">
      <c r="A674" s="63" t="s">
        <v>4282</v>
      </c>
      <c r="B674" s="14" t="str">
        <f>VLOOKUP(P674,'护理记录单文书字典(数据)'!B$4:C$99,2,0)</f>
        <v>768793350CFAB211BD98291F1176296E</v>
      </c>
      <c r="C674" s="75" t="s">
        <v>3025</v>
      </c>
      <c r="D674" s="75" t="s">
        <v>1738</v>
      </c>
      <c r="E674" s="92" t="s">
        <v>2052</v>
      </c>
      <c r="F674" s="87">
        <v>1</v>
      </c>
      <c r="G674" s="87">
        <v>1</v>
      </c>
      <c r="H674" s="75" t="s">
        <v>1737</v>
      </c>
      <c r="I674" s="75"/>
      <c r="J674" s="75"/>
      <c r="K674" s="75" t="s">
        <v>162</v>
      </c>
      <c r="L674" s="75" t="s">
        <v>509</v>
      </c>
      <c r="M674" s="75" t="s">
        <v>535</v>
      </c>
      <c r="N674" s="75" t="s">
        <v>509</v>
      </c>
      <c r="O674" s="75" t="s">
        <v>535</v>
      </c>
      <c r="P674" s="75" t="s">
        <v>1687</v>
      </c>
    </row>
    <row r="675" spans="1:16">
      <c r="A675" s="63" t="s">
        <v>4282</v>
      </c>
      <c r="B675" s="14" t="str">
        <f>VLOOKUP(P675,'护理记录单文书字典(数据)'!B$4:C$99,2,0)</f>
        <v>768793350CFAB211BD98291F1176296E</v>
      </c>
      <c r="C675" s="75" t="s">
        <v>3026</v>
      </c>
      <c r="D675" s="75" t="s">
        <v>1741</v>
      </c>
      <c r="E675" s="92" t="s">
        <v>2052</v>
      </c>
      <c r="F675" s="87">
        <v>1</v>
      </c>
      <c r="G675" s="87">
        <v>1</v>
      </c>
      <c r="H675" s="75" t="s">
        <v>1740</v>
      </c>
      <c r="I675" s="75"/>
      <c r="J675" s="75"/>
      <c r="K675" s="75" t="s">
        <v>162</v>
      </c>
      <c r="L675" s="75" t="s">
        <v>509</v>
      </c>
      <c r="M675" s="75" t="s">
        <v>535</v>
      </c>
      <c r="N675" s="75" t="s">
        <v>509</v>
      </c>
      <c r="O675" s="75" t="s">
        <v>535</v>
      </c>
      <c r="P675" s="75" t="s">
        <v>1687</v>
      </c>
    </row>
    <row r="676" spans="1:16">
      <c r="A676" s="63" t="s">
        <v>4282</v>
      </c>
      <c r="B676" s="14" t="str">
        <f>VLOOKUP(P676,'护理记录单文书字典(数据)'!B$4:C$99,2,0)</f>
        <v>768793350CFAB211BD98291F1176296E</v>
      </c>
      <c r="C676" s="75" t="s">
        <v>3027</v>
      </c>
      <c r="D676" s="75" t="s">
        <v>3028</v>
      </c>
      <c r="E676" s="92" t="s">
        <v>2048</v>
      </c>
      <c r="F676" s="87">
        <v>1</v>
      </c>
      <c r="G676" s="87">
        <v>1</v>
      </c>
      <c r="H676" s="75"/>
      <c r="I676" s="75"/>
      <c r="J676" s="75"/>
      <c r="K676" s="75" t="s">
        <v>162</v>
      </c>
      <c r="L676" s="75" t="s">
        <v>509</v>
      </c>
      <c r="M676" s="75" t="s">
        <v>535</v>
      </c>
      <c r="N676" s="75" t="s">
        <v>509</v>
      </c>
      <c r="O676" s="75" t="s">
        <v>535</v>
      </c>
      <c r="P676" s="75" t="s">
        <v>1687</v>
      </c>
    </row>
    <row r="677" spans="1:16">
      <c r="A677" s="63" t="s">
        <v>4282</v>
      </c>
      <c r="B677" s="14" t="str">
        <f>VLOOKUP(P677,'护理记录单文书字典(数据)'!B$4:C$99,2,0)</f>
        <v>768793350CFAB211BD98291F1176296E</v>
      </c>
      <c r="C677" s="75" t="s">
        <v>2057</v>
      </c>
      <c r="D677" s="75" t="s">
        <v>2906</v>
      </c>
      <c r="E677" s="92" t="s">
        <v>2048</v>
      </c>
      <c r="F677" s="87">
        <v>1</v>
      </c>
      <c r="G677" s="87">
        <v>1</v>
      </c>
      <c r="H677" s="75"/>
      <c r="I677" s="75"/>
      <c r="J677" s="75"/>
      <c r="K677" s="75" t="s">
        <v>162</v>
      </c>
      <c r="L677" s="75" t="s">
        <v>509</v>
      </c>
      <c r="M677" s="75" t="s">
        <v>535</v>
      </c>
      <c r="N677" s="75" t="s">
        <v>509</v>
      </c>
      <c r="O677" s="75" t="s">
        <v>535</v>
      </c>
      <c r="P677" s="75" t="s">
        <v>1687</v>
      </c>
    </row>
    <row r="678" spans="1:16">
      <c r="A678" s="63" t="s">
        <v>4282</v>
      </c>
      <c r="B678" s="14" t="str">
        <f>VLOOKUP(P678,'护理记录单文书字典(数据)'!B$4:C$99,2,0)</f>
        <v>0AEAAF350CFAB21185A773F8CE3DC446</v>
      </c>
      <c r="C678" s="75" t="s">
        <v>2046</v>
      </c>
      <c r="D678" s="75" t="s">
        <v>2047</v>
      </c>
      <c r="E678" s="92" t="s">
        <v>2048</v>
      </c>
      <c r="F678" s="87">
        <v>1</v>
      </c>
      <c r="G678" s="87">
        <v>1</v>
      </c>
      <c r="H678" s="75"/>
      <c r="I678" s="75"/>
      <c r="J678" s="75"/>
      <c r="K678" s="75" t="s">
        <v>162</v>
      </c>
      <c r="L678" s="75" t="s">
        <v>509</v>
      </c>
      <c r="M678" s="75" t="s">
        <v>535</v>
      </c>
      <c r="N678" s="75" t="s">
        <v>509</v>
      </c>
      <c r="O678" s="75" t="s">
        <v>535</v>
      </c>
      <c r="P678" s="75" t="s">
        <v>1745</v>
      </c>
    </row>
    <row r="679" spans="1:16">
      <c r="A679" s="63" t="s">
        <v>4282</v>
      </c>
      <c r="B679" s="14" t="str">
        <f>VLOOKUP(P679,'护理记录单文书字典(数据)'!B$4:C$99,2,0)</f>
        <v>0AEAAF350CFAB21185A773F8CE3DC446</v>
      </c>
      <c r="C679" s="75" t="s">
        <v>3029</v>
      </c>
      <c r="D679" s="75" t="s">
        <v>1743</v>
      </c>
      <c r="E679" s="92" t="s">
        <v>2052</v>
      </c>
      <c r="F679" s="87">
        <v>1</v>
      </c>
      <c r="G679" s="87">
        <v>1</v>
      </c>
      <c r="H679" s="75" t="s">
        <v>1742</v>
      </c>
      <c r="I679" s="75"/>
      <c r="J679" s="75"/>
      <c r="K679" s="75" t="s">
        <v>162</v>
      </c>
      <c r="L679" s="75" t="s">
        <v>509</v>
      </c>
      <c r="M679" s="75" t="s">
        <v>535</v>
      </c>
      <c r="N679" s="75" t="s">
        <v>509</v>
      </c>
      <c r="O679" s="75" t="s">
        <v>535</v>
      </c>
      <c r="P679" s="75" t="s">
        <v>1745</v>
      </c>
    </row>
    <row r="680" spans="1:16">
      <c r="A680" s="63" t="s">
        <v>4282</v>
      </c>
      <c r="B680" s="14" t="str">
        <f>VLOOKUP(P680,'护理记录单文书字典(数据)'!B$4:C$99,2,0)</f>
        <v>0AEAAF350CFAB21185A773F8CE3DC446</v>
      </c>
      <c r="C680" s="75" t="s">
        <v>3030</v>
      </c>
      <c r="D680" s="75" t="s">
        <v>1749</v>
      </c>
      <c r="E680" s="92" t="s">
        <v>2052</v>
      </c>
      <c r="F680" s="87">
        <v>1</v>
      </c>
      <c r="G680" s="87">
        <v>1</v>
      </c>
      <c r="H680" s="75" t="s">
        <v>1748</v>
      </c>
      <c r="I680" s="75"/>
      <c r="J680" s="75"/>
      <c r="K680" s="75" t="s">
        <v>162</v>
      </c>
      <c r="L680" s="75" t="s">
        <v>509</v>
      </c>
      <c r="M680" s="75" t="s">
        <v>535</v>
      </c>
      <c r="N680" s="75" t="s">
        <v>509</v>
      </c>
      <c r="O680" s="75" t="s">
        <v>535</v>
      </c>
      <c r="P680" s="75" t="s">
        <v>1745</v>
      </c>
    </row>
    <row r="681" spans="1:16">
      <c r="A681" s="63" t="s">
        <v>4282</v>
      </c>
      <c r="B681" s="14" t="str">
        <f>VLOOKUP(P681,'护理记录单文书字典(数据)'!B$4:C$99,2,0)</f>
        <v>0AEAAF350CFAB21185A773F8CE3DC446</v>
      </c>
      <c r="C681" s="75" t="s">
        <v>3031</v>
      </c>
      <c r="D681" s="75" t="s">
        <v>1755</v>
      </c>
      <c r="E681" s="92" t="s">
        <v>2052</v>
      </c>
      <c r="F681" s="87">
        <v>1</v>
      </c>
      <c r="G681" s="87">
        <v>1</v>
      </c>
      <c r="H681" s="75" t="s">
        <v>1754</v>
      </c>
      <c r="I681" s="75"/>
      <c r="J681" s="75"/>
      <c r="K681" s="75" t="s">
        <v>162</v>
      </c>
      <c r="L681" s="75" t="s">
        <v>509</v>
      </c>
      <c r="M681" s="75" t="s">
        <v>535</v>
      </c>
      <c r="N681" s="75" t="s">
        <v>509</v>
      </c>
      <c r="O681" s="75" t="s">
        <v>535</v>
      </c>
      <c r="P681" s="75" t="s">
        <v>1745</v>
      </c>
    </row>
    <row r="682" spans="1:16">
      <c r="A682" s="63" t="s">
        <v>4282</v>
      </c>
      <c r="B682" s="14" t="str">
        <f>VLOOKUP(P682,'护理记录单文书字典(数据)'!B$4:C$99,2,0)</f>
        <v>0AEAAF350CFAB21185A773F8CE3DC446</v>
      </c>
      <c r="C682" s="75" t="s">
        <v>3032</v>
      </c>
      <c r="D682" s="75" t="s">
        <v>1759</v>
      </c>
      <c r="E682" s="92" t="s">
        <v>2052</v>
      </c>
      <c r="F682" s="87">
        <v>1</v>
      </c>
      <c r="G682" s="87">
        <v>1</v>
      </c>
      <c r="H682" s="75" t="s">
        <v>1758</v>
      </c>
      <c r="I682" s="75"/>
      <c r="J682" s="75"/>
      <c r="K682" s="75" t="s">
        <v>162</v>
      </c>
      <c r="L682" s="75" t="s">
        <v>509</v>
      </c>
      <c r="M682" s="75" t="s">
        <v>535</v>
      </c>
      <c r="N682" s="75" t="s">
        <v>509</v>
      </c>
      <c r="O682" s="75" t="s">
        <v>535</v>
      </c>
      <c r="P682" s="75" t="s">
        <v>1745</v>
      </c>
    </row>
    <row r="683" spans="1:16">
      <c r="A683" s="63" t="s">
        <v>4282</v>
      </c>
      <c r="B683" s="14" t="str">
        <f>VLOOKUP(P683,'护理记录单文书字典(数据)'!B$4:C$99,2,0)</f>
        <v>0AEAAF350CFAB21185A773F8CE3DC446</v>
      </c>
      <c r="C683" s="75" t="s">
        <v>3033</v>
      </c>
      <c r="D683" s="75" t="s">
        <v>1764</v>
      </c>
      <c r="E683" s="92" t="s">
        <v>2052</v>
      </c>
      <c r="F683" s="87">
        <v>1</v>
      </c>
      <c r="G683" s="87">
        <v>1</v>
      </c>
      <c r="H683" s="75" t="s">
        <v>1763</v>
      </c>
      <c r="I683" s="75"/>
      <c r="J683" s="75"/>
      <c r="K683" s="75" t="s">
        <v>162</v>
      </c>
      <c r="L683" s="75" t="s">
        <v>509</v>
      </c>
      <c r="M683" s="75" t="s">
        <v>535</v>
      </c>
      <c r="N683" s="75" t="s">
        <v>509</v>
      </c>
      <c r="O683" s="75" t="s">
        <v>535</v>
      </c>
      <c r="P683" s="75" t="s">
        <v>1745</v>
      </c>
    </row>
    <row r="684" spans="1:16">
      <c r="A684" s="63" t="s">
        <v>4282</v>
      </c>
      <c r="B684" s="14" t="str">
        <f>VLOOKUP(P684,'护理记录单文书字典(数据)'!B$4:C$99,2,0)</f>
        <v>0AEAAF350CFAB21185A773F8CE3DC446</v>
      </c>
      <c r="C684" s="75" t="s">
        <v>3034</v>
      </c>
      <c r="D684" s="75" t="s">
        <v>1769</v>
      </c>
      <c r="E684" s="92" t="s">
        <v>2052</v>
      </c>
      <c r="F684" s="87">
        <v>1</v>
      </c>
      <c r="G684" s="87">
        <v>1</v>
      </c>
      <c r="H684" s="75" t="s">
        <v>1768</v>
      </c>
      <c r="I684" s="75"/>
      <c r="J684" s="75"/>
      <c r="K684" s="75" t="s">
        <v>162</v>
      </c>
      <c r="L684" s="75" t="s">
        <v>509</v>
      </c>
      <c r="M684" s="75" t="s">
        <v>535</v>
      </c>
      <c r="N684" s="75" t="s">
        <v>509</v>
      </c>
      <c r="O684" s="75" t="s">
        <v>535</v>
      </c>
      <c r="P684" s="75" t="s">
        <v>1745</v>
      </c>
    </row>
    <row r="685" spans="1:16">
      <c r="A685" s="63" t="s">
        <v>4282</v>
      </c>
      <c r="B685" s="14" t="str">
        <f>VLOOKUP(P685,'护理记录单文书字典(数据)'!B$4:C$99,2,0)</f>
        <v>0AEAAF350CFAB21185A773F8CE3DC446</v>
      </c>
      <c r="C685" s="75" t="s">
        <v>3035</v>
      </c>
      <c r="D685" s="75" t="s">
        <v>1774</v>
      </c>
      <c r="E685" s="92" t="s">
        <v>2052</v>
      </c>
      <c r="F685" s="87">
        <v>1</v>
      </c>
      <c r="G685" s="87">
        <v>1</v>
      </c>
      <c r="H685" s="75" t="s">
        <v>1773</v>
      </c>
      <c r="I685" s="75"/>
      <c r="J685" s="75"/>
      <c r="K685" s="75" t="s">
        <v>162</v>
      </c>
      <c r="L685" s="75" t="s">
        <v>509</v>
      </c>
      <c r="M685" s="75" t="s">
        <v>535</v>
      </c>
      <c r="N685" s="75" t="s">
        <v>509</v>
      </c>
      <c r="O685" s="75" t="s">
        <v>535</v>
      </c>
      <c r="P685" s="75" t="s">
        <v>1745</v>
      </c>
    </row>
    <row r="686" spans="1:16">
      <c r="A686" s="63" t="s">
        <v>4282</v>
      </c>
      <c r="B686" s="14" t="str">
        <f>VLOOKUP(P686,'护理记录单文书字典(数据)'!B$4:C$99,2,0)</f>
        <v>0AEAAF350CFAB21185A773F8CE3DC446</v>
      </c>
      <c r="C686" s="75" t="s">
        <v>3036</v>
      </c>
      <c r="D686" s="75" t="s">
        <v>1780</v>
      </c>
      <c r="E686" s="92" t="s">
        <v>2052</v>
      </c>
      <c r="F686" s="87">
        <v>1</v>
      </c>
      <c r="G686" s="87">
        <v>1</v>
      </c>
      <c r="H686" s="75" t="s">
        <v>1779</v>
      </c>
      <c r="I686" s="75"/>
      <c r="J686" s="75"/>
      <c r="K686" s="75" t="s">
        <v>162</v>
      </c>
      <c r="L686" s="75" t="s">
        <v>509</v>
      </c>
      <c r="M686" s="75" t="s">
        <v>535</v>
      </c>
      <c r="N686" s="75" t="s">
        <v>509</v>
      </c>
      <c r="O686" s="75" t="s">
        <v>535</v>
      </c>
      <c r="P686" s="75" t="s">
        <v>1745</v>
      </c>
    </row>
    <row r="687" spans="1:16">
      <c r="A687" s="63" t="s">
        <v>4282</v>
      </c>
      <c r="B687" s="14" t="str">
        <f>VLOOKUP(P687,'护理记录单文书字典(数据)'!B$4:C$99,2,0)</f>
        <v>0AEAAF350CFAB21185A773F8CE3DC446</v>
      </c>
      <c r="C687" s="75" t="s">
        <v>3037</v>
      </c>
      <c r="D687" s="75" t="s">
        <v>1784</v>
      </c>
      <c r="E687" s="92" t="s">
        <v>2052</v>
      </c>
      <c r="F687" s="87">
        <v>1</v>
      </c>
      <c r="G687" s="87">
        <v>1</v>
      </c>
      <c r="H687" s="75" t="s">
        <v>1783</v>
      </c>
      <c r="I687" s="75"/>
      <c r="J687" s="75"/>
      <c r="K687" s="75" t="s">
        <v>162</v>
      </c>
      <c r="L687" s="75" t="s">
        <v>509</v>
      </c>
      <c r="M687" s="75" t="s">
        <v>535</v>
      </c>
      <c r="N687" s="75" t="s">
        <v>509</v>
      </c>
      <c r="O687" s="75" t="s">
        <v>535</v>
      </c>
      <c r="P687" s="75" t="s">
        <v>1745</v>
      </c>
    </row>
    <row r="688" spans="1:16">
      <c r="A688" s="63" t="s">
        <v>4282</v>
      </c>
      <c r="B688" s="14" t="str">
        <f>VLOOKUP(P688,'护理记录单文书字典(数据)'!B$4:C$99,2,0)</f>
        <v>0AEAAF350CFAB21185A773F8CE3DC446</v>
      </c>
      <c r="C688" s="75" t="s">
        <v>3038</v>
      </c>
      <c r="D688" s="75" t="s">
        <v>1788</v>
      </c>
      <c r="E688" s="92" t="s">
        <v>2052</v>
      </c>
      <c r="F688" s="87">
        <v>1</v>
      </c>
      <c r="G688" s="87">
        <v>1</v>
      </c>
      <c r="H688" s="75" t="s">
        <v>1787</v>
      </c>
      <c r="I688" s="75"/>
      <c r="J688" s="75"/>
      <c r="K688" s="75" t="s">
        <v>162</v>
      </c>
      <c r="L688" s="75" t="s">
        <v>509</v>
      </c>
      <c r="M688" s="75" t="s">
        <v>535</v>
      </c>
      <c r="N688" s="75" t="s">
        <v>509</v>
      </c>
      <c r="O688" s="75" t="s">
        <v>535</v>
      </c>
      <c r="P688" s="75" t="s">
        <v>1745</v>
      </c>
    </row>
    <row r="689" spans="1:16">
      <c r="A689" s="63" t="s">
        <v>4282</v>
      </c>
      <c r="B689" s="14" t="str">
        <f>VLOOKUP(P689,'护理记录单文书字典(数据)'!B$4:C$99,2,0)</f>
        <v>0AEAAF350CFAB21185A773F8CE3DC446</v>
      </c>
      <c r="C689" s="75" t="s">
        <v>3039</v>
      </c>
      <c r="D689" s="75" t="s">
        <v>3040</v>
      </c>
      <c r="E689" s="92" t="s">
        <v>2048</v>
      </c>
      <c r="F689" s="87">
        <v>1</v>
      </c>
      <c r="G689" s="87">
        <v>1</v>
      </c>
      <c r="H689" s="75"/>
      <c r="I689" s="75"/>
      <c r="J689" s="75"/>
      <c r="K689" s="75" t="s">
        <v>162</v>
      </c>
      <c r="L689" s="75" t="s">
        <v>509</v>
      </c>
      <c r="M689" s="75" t="s">
        <v>535</v>
      </c>
      <c r="N689" s="75" t="s">
        <v>509</v>
      </c>
      <c r="O689" s="75" t="s">
        <v>535</v>
      </c>
      <c r="P689" s="75" t="s">
        <v>1745</v>
      </c>
    </row>
    <row r="690" spans="1:16">
      <c r="A690" s="63" t="s">
        <v>4282</v>
      </c>
      <c r="B690" s="14" t="str">
        <f>VLOOKUP(P690,'护理记录单文书字典(数据)'!B$4:C$99,2,0)</f>
        <v>0AEAAF350CFAB21185A773F8CE3DC446</v>
      </c>
      <c r="C690" s="75" t="s">
        <v>3041</v>
      </c>
      <c r="D690" s="75" t="s">
        <v>3042</v>
      </c>
      <c r="E690" s="92" t="s">
        <v>2048</v>
      </c>
      <c r="F690" s="87">
        <v>1</v>
      </c>
      <c r="G690" s="87">
        <v>1</v>
      </c>
      <c r="H690" s="75"/>
      <c r="I690" s="75"/>
      <c r="J690" s="75"/>
      <c r="K690" s="75" t="s">
        <v>162</v>
      </c>
      <c r="L690" s="75" t="s">
        <v>509</v>
      </c>
      <c r="M690" s="75" t="s">
        <v>535</v>
      </c>
      <c r="N690" s="75" t="s">
        <v>509</v>
      </c>
      <c r="O690" s="75" t="s">
        <v>535</v>
      </c>
      <c r="P690" s="75" t="s">
        <v>1745</v>
      </c>
    </row>
    <row r="691" spans="1:16">
      <c r="A691" s="63" t="s">
        <v>4282</v>
      </c>
      <c r="B691" s="14" t="str">
        <f>VLOOKUP(P691,'护理记录单文书字典(数据)'!B$4:C$99,2,0)</f>
        <v>0AEAAF350CFAB21185A773F8CE3DC446</v>
      </c>
      <c r="C691" s="75" t="s">
        <v>3043</v>
      </c>
      <c r="D691" s="75" t="s">
        <v>3044</v>
      </c>
      <c r="E691" s="92" t="s">
        <v>2048</v>
      </c>
      <c r="F691" s="87">
        <v>1</v>
      </c>
      <c r="G691" s="87">
        <v>1</v>
      </c>
      <c r="H691" s="75"/>
      <c r="I691" s="75"/>
      <c r="J691" s="75"/>
      <c r="K691" s="75" t="s">
        <v>162</v>
      </c>
      <c r="L691" s="75" t="s">
        <v>509</v>
      </c>
      <c r="M691" s="75" t="s">
        <v>535</v>
      </c>
      <c r="N691" s="75" t="s">
        <v>509</v>
      </c>
      <c r="O691" s="75" t="s">
        <v>535</v>
      </c>
      <c r="P691" s="75" t="s">
        <v>1745</v>
      </c>
    </row>
    <row r="692" spans="1:16">
      <c r="A692" s="63" t="s">
        <v>4282</v>
      </c>
      <c r="B692" s="14" t="str">
        <f>VLOOKUP(P692,'护理记录单文书字典(数据)'!B$4:C$99,2,0)</f>
        <v>0AEAAF350CFAB21185A773F8CE3DC446</v>
      </c>
      <c r="C692" s="75" t="s">
        <v>3045</v>
      </c>
      <c r="D692" s="75" t="s">
        <v>3046</v>
      </c>
      <c r="E692" s="92" t="s">
        <v>2048</v>
      </c>
      <c r="F692" s="87">
        <v>1</v>
      </c>
      <c r="G692" s="87">
        <v>1</v>
      </c>
      <c r="H692" s="75"/>
      <c r="I692" s="75"/>
      <c r="J692" s="75"/>
      <c r="K692" s="75" t="s">
        <v>162</v>
      </c>
      <c r="L692" s="75" t="s">
        <v>509</v>
      </c>
      <c r="M692" s="75" t="s">
        <v>535</v>
      </c>
      <c r="N692" s="75" t="s">
        <v>509</v>
      </c>
      <c r="O692" s="75" t="s">
        <v>535</v>
      </c>
      <c r="P692" s="75" t="s">
        <v>1745</v>
      </c>
    </row>
    <row r="693" spans="1:16">
      <c r="A693" s="63" t="s">
        <v>4282</v>
      </c>
      <c r="B693" s="14" t="str">
        <f>VLOOKUP(P693,'护理记录单文书字典(数据)'!B$4:C$99,2,0)</f>
        <v>0AEAAF350CFAB21185A773F8CE3DC446</v>
      </c>
      <c r="C693" s="75" t="s">
        <v>3047</v>
      </c>
      <c r="D693" s="75" t="s">
        <v>3048</v>
      </c>
      <c r="E693" s="92" t="s">
        <v>2048</v>
      </c>
      <c r="F693" s="87">
        <v>1</v>
      </c>
      <c r="G693" s="87">
        <v>1</v>
      </c>
      <c r="H693" s="75"/>
      <c r="I693" s="75"/>
      <c r="J693" s="75"/>
      <c r="K693" s="75" t="s">
        <v>162</v>
      </c>
      <c r="L693" s="75" t="s">
        <v>509</v>
      </c>
      <c r="M693" s="75" t="s">
        <v>535</v>
      </c>
      <c r="N693" s="75" t="s">
        <v>509</v>
      </c>
      <c r="O693" s="75" t="s">
        <v>535</v>
      </c>
      <c r="P693" s="75" t="s">
        <v>1745</v>
      </c>
    </row>
    <row r="694" spans="1:16">
      <c r="A694" s="63" t="s">
        <v>4282</v>
      </c>
      <c r="B694" s="14" t="str">
        <f>VLOOKUP(P694,'护理记录单文书字典(数据)'!B$4:C$99,2,0)</f>
        <v>0AEAAF350CFAB21185A773F8CE3DC446</v>
      </c>
      <c r="C694" s="75" t="s">
        <v>3049</v>
      </c>
      <c r="D694" s="75" t="s">
        <v>3050</v>
      </c>
      <c r="E694" s="92" t="s">
        <v>2048</v>
      </c>
      <c r="F694" s="87">
        <v>1</v>
      </c>
      <c r="G694" s="87">
        <v>1</v>
      </c>
      <c r="H694" s="75"/>
      <c r="I694" s="75"/>
      <c r="J694" s="75"/>
      <c r="K694" s="75" t="s">
        <v>162</v>
      </c>
      <c r="L694" s="75" t="s">
        <v>509</v>
      </c>
      <c r="M694" s="75" t="s">
        <v>535</v>
      </c>
      <c r="N694" s="75" t="s">
        <v>509</v>
      </c>
      <c r="O694" s="75" t="s">
        <v>535</v>
      </c>
      <c r="P694" s="75" t="s">
        <v>1745</v>
      </c>
    </row>
    <row r="695" spans="1:16">
      <c r="A695" s="63" t="s">
        <v>4282</v>
      </c>
      <c r="B695" s="14" t="str">
        <f>VLOOKUP(P695,'护理记录单文书字典(数据)'!B$4:C$99,2,0)</f>
        <v>0AEAAF350CFAB21185A773F8CE3DC446</v>
      </c>
      <c r="C695" s="75" t="s">
        <v>3051</v>
      </c>
      <c r="D695" s="75" t="s">
        <v>3052</v>
      </c>
      <c r="E695" s="92" t="s">
        <v>2048</v>
      </c>
      <c r="F695" s="87">
        <v>1</v>
      </c>
      <c r="G695" s="87">
        <v>1</v>
      </c>
      <c r="H695" s="75"/>
      <c r="I695" s="75"/>
      <c r="J695" s="75"/>
      <c r="K695" s="75" t="s">
        <v>162</v>
      </c>
      <c r="L695" s="75" t="s">
        <v>509</v>
      </c>
      <c r="M695" s="75" t="s">
        <v>535</v>
      </c>
      <c r="N695" s="75" t="s">
        <v>509</v>
      </c>
      <c r="O695" s="75" t="s">
        <v>535</v>
      </c>
      <c r="P695" s="75" t="s">
        <v>1745</v>
      </c>
    </row>
    <row r="696" spans="1:16">
      <c r="A696" s="63" t="s">
        <v>4282</v>
      </c>
      <c r="B696" s="14" t="str">
        <f>VLOOKUP(P696,'护理记录单文书字典(数据)'!B$4:C$99,2,0)</f>
        <v>0AEAAF350CFAB21185A773F8CE3DC446</v>
      </c>
      <c r="C696" s="75" t="s">
        <v>3053</v>
      </c>
      <c r="D696" s="75" t="s">
        <v>3054</v>
      </c>
      <c r="E696" s="92" t="s">
        <v>2048</v>
      </c>
      <c r="F696" s="87">
        <v>1</v>
      </c>
      <c r="G696" s="87">
        <v>1</v>
      </c>
      <c r="H696" s="75"/>
      <c r="I696" s="75"/>
      <c r="J696" s="75"/>
      <c r="K696" s="75" t="s">
        <v>162</v>
      </c>
      <c r="L696" s="75" t="s">
        <v>509</v>
      </c>
      <c r="M696" s="75" t="s">
        <v>535</v>
      </c>
      <c r="N696" s="75" t="s">
        <v>509</v>
      </c>
      <c r="O696" s="75" t="s">
        <v>535</v>
      </c>
      <c r="P696" s="75" t="s">
        <v>1745</v>
      </c>
    </row>
    <row r="697" spans="1:16">
      <c r="A697" s="63" t="s">
        <v>4282</v>
      </c>
      <c r="B697" s="14" t="str">
        <f>VLOOKUP(P697,'护理记录单文书字典(数据)'!B$4:C$99,2,0)</f>
        <v>0AEAAF350CFAB21185A773F8CE3DC446</v>
      </c>
      <c r="C697" s="75" t="s">
        <v>3055</v>
      </c>
      <c r="D697" s="75" t="s">
        <v>3056</v>
      </c>
      <c r="E697" s="92" t="s">
        <v>2048</v>
      </c>
      <c r="F697" s="87">
        <v>1</v>
      </c>
      <c r="G697" s="87">
        <v>1</v>
      </c>
      <c r="H697" s="75"/>
      <c r="I697" s="75"/>
      <c r="J697" s="75"/>
      <c r="K697" s="75" t="s">
        <v>162</v>
      </c>
      <c r="L697" s="75" t="s">
        <v>509</v>
      </c>
      <c r="M697" s="75" t="s">
        <v>535</v>
      </c>
      <c r="N697" s="75" t="s">
        <v>509</v>
      </c>
      <c r="O697" s="75" t="s">
        <v>535</v>
      </c>
      <c r="P697" s="75" t="s">
        <v>1745</v>
      </c>
    </row>
    <row r="698" spans="1:16">
      <c r="A698" s="63" t="s">
        <v>4282</v>
      </c>
      <c r="B698" s="14" t="str">
        <f>VLOOKUP(P698,'护理记录单文书字典(数据)'!B$4:C$99,2,0)</f>
        <v>0AEAAF350CFAB21185A773F8CE3DC446</v>
      </c>
      <c r="C698" s="75" t="s">
        <v>3057</v>
      </c>
      <c r="D698" s="75" t="s">
        <v>3058</v>
      </c>
      <c r="E698" s="92" t="s">
        <v>2048</v>
      </c>
      <c r="F698" s="87">
        <v>1</v>
      </c>
      <c r="G698" s="87">
        <v>1</v>
      </c>
      <c r="H698" s="75"/>
      <c r="I698" s="75"/>
      <c r="J698" s="75"/>
      <c r="K698" s="75" t="s">
        <v>162</v>
      </c>
      <c r="L698" s="75" t="s">
        <v>509</v>
      </c>
      <c r="M698" s="75" t="s">
        <v>535</v>
      </c>
      <c r="N698" s="75" t="s">
        <v>509</v>
      </c>
      <c r="O698" s="75" t="s">
        <v>535</v>
      </c>
      <c r="P698" s="75" t="s">
        <v>1745</v>
      </c>
    </row>
    <row r="699" spans="1:16">
      <c r="A699" s="63" t="s">
        <v>4282</v>
      </c>
      <c r="B699" s="14" t="str">
        <f>VLOOKUP(P699,'护理记录单文书字典(数据)'!B$4:C$99,2,0)</f>
        <v>0AEAAF350CFAB21185A773F8CE3DC446</v>
      </c>
      <c r="C699" s="75" t="s">
        <v>3059</v>
      </c>
      <c r="D699" s="75" t="s">
        <v>3060</v>
      </c>
      <c r="E699" s="92" t="s">
        <v>2048</v>
      </c>
      <c r="F699" s="87">
        <v>1</v>
      </c>
      <c r="G699" s="87">
        <v>1</v>
      </c>
      <c r="H699" s="75"/>
      <c r="I699" s="75"/>
      <c r="J699" s="75"/>
      <c r="K699" s="75" t="s">
        <v>162</v>
      </c>
      <c r="L699" s="75" t="s">
        <v>509</v>
      </c>
      <c r="M699" s="75" t="s">
        <v>535</v>
      </c>
      <c r="N699" s="75" t="s">
        <v>509</v>
      </c>
      <c r="O699" s="75" t="s">
        <v>535</v>
      </c>
      <c r="P699" s="75" t="s">
        <v>1745</v>
      </c>
    </row>
    <row r="700" spans="1:16">
      <c r="A700" s="63" t="s">
        <v>4282</v>
      </c>
      <c r="B700" s="14" t="str">
        <f>VLOOKUP(P700,'护理记录单文书字典(数据)'!B$4:C$99,2,0)</f>
        <v>0AEAAF350CFAB21185A773F8CE3DC446</v>
      </c>
      <c r="C700" s="75" t="s">
        <v>3061</v>
      </c>
      <c r="D700" s="75" t="s">
        <v>3062</v>
      </c>
      <c r="E700" s="92" t="s">
        <v>2048</v>
      </c>
      <c r="F700" s="87">
        <v>1</v>
      </c>
      <c r="G700" s="87">
        <v>1</v>
      </c>
      <c r="H700" s="75"/>
      <c r="I700" s="75"/>
      <c r="J700" s="75"/>
      <c r="K700" s="75" t="s">
        <v>162</v>
      </c>
      <c r="L700" s="75" t="s">
        <v>509</v>
      </c>
      <c r="M700" s="75" t="s">
        <v>535</v>
      </c>
      <c r="N700" s="75" t="s">
        <v>509</v>
      </c>
      <c r="O700" s="75" t="s">
        <v>535</v>
      </c>
      <c r="P700" s="75" t="s">
        <v>1745</v>
      </c>
    </row>
    <row r="701" spans="1:16">
      <c r="A701" s="63" t="s">
        <v>4282</v>
      </c>
      <c r="B701" s="14" t="str">
        <f>VLOOKUP(P701,'护理记录单文书字典(数据)'!B$4:C$99,2,0)</f>
        <v>0AEAAF350CFAB21185A773F8CE3DC446</v>
      </c>
      <c r="C701" s="75" t="s">
        <v>3063</v>
      </c>
      <c r="D701" s="75" t="s">
        <v>3064</v>
      </c>
      <c r="E701" s="92" t="s">
        <v>2048</v>
      </c>
      <c r="F701" s="87">
        <v>1</v>
      </c>
      <c r="G701" s="87">
        <v>1</v>
      </c>
      <c r="H701" s="75"/>
      <c r="I701" s="75"/>
      <c r="J701" s="75"/>
      <c r="K701" s="75" t="s">
        <v>162</v>
      </c>
      <c r="L701" s="75" t="s">
        <v>509</v>
      </c>
      <c r="M701" s="75" t="s">
        <v>535</v>
      </c>
      <c r="N701" s="75" t="s">
        <v>509</v>
      </c>
      <c r="O701" s="75" t="s">
        <v>535</v>
      </c>
      <c r="P701" s="75" t="s">
        <v>1745</v>
      </c>
    </row>
    <row r="702" spans="1:16">
      <c r="A702" s="63" t="s">
        <v>4282</v>
      </c>
      <c r="B702" s="14" t="str">
        <f>VLOOKUP(P702,'护理记录单文书字典(数据)'!B$4:C$99,2,0)</f>
        <v>0AEAAF350CFAB21185A773F8CE3DC446</v>
      </c>
      <c r="C702" s="75" t="s">
        <v>3065</v>
      </c>
      <c r="D702" s="75" t="s">
        <v>3066</v>
      </c>
      <c r="E702" s="92" t="s">
        <v>2048</v>
      </c>
      <c r="F702" s="87">
        <v>1</v>
      </c>
      <c r="G702" s="87">
        <v>1</v>
      </c>
      <c r="H702" s="75"/>
      <c r="I702" s="75"/>
      <c r="J702" s="75"/>
      <c r="K702" s="75" t="s">
        <v>162</v>
      </c>
      <c r="L702" s="75" t="s">
        <v>509</v>
      </c>
      <c r="M702" s="75" t="s">
        <v>535</v>
      </c>
      <c r="N702" s="75" t="s">
        <v>509</v>
      </c>
      <c r="O702" s="75" t="s">
        <v>535</v>
      </c>
      <c r="P702" s="75" t="s">
        <v>1745</v>
      </c>
    </row>
    <row r="703" spans="1:16">
      <c r="A703" s="63" t="s">
        <v>4282</v>
      </c>
      <c r="B703" s="14" t="str">
        <f>VLOOKUP(P703,'护理记录单文书字典(数据)'!B$4:C$99,2,0)</f>
        <v>0AEAAF350CFAB21185A773F8CE3DC446</v>
      </c>
      <c r="C703" s="75" t="s">
        <v>3067</v>
      </c>
      <c r="D703" s="75" t="s">
        <v>3068</v>
      </c>
      <c r="E703" s="92" t="s">
        <v>2048</v>
      </c>
      <c r="F703" s="87">
        <v>1</v>
      </c>
      <c r="G703" s="87">
        <v>1</v>
      </c>
      <c r="H703" s="75"/>
      <c r="I703" s="75"/>
      <c r="J703" s="75"/>
      <c r="K703" s="75" t="s">
        <v>162</v>
      </c>
      <c r="L703" s="75" t="s">
        <v>509</v>
      </c>
      <c r="M703" s="75" t="s">
        <v>535</v>
      </c>
      <c r="N703" s="75" t="s">
        <v>509</v>
      </c>
      <c r="O703" s="75" t="s">
        <v>535</v>
      </c>
      <c r="P703" s="75" t="s">
        <v>1745</v>
      </c>
    </row>
    <row r="704" spans="1:16">
      <c r="A704" s="63" t="s">
        <v>4282</v>
      </c>
      <c r="B704" s="14" t="str">
        <f>VLOOKUP(P704,'护理记录单文书字典(数据)'!B$4:C$99,2,0)</f>
        <v>0AEAAF350CFAB21185A773F8CE3DC446</v>
      </c>
      <c r="C704" s="75" t="s">
        <v>3069</v>
      </c>
      <c r="D704" s="75" t="s">
        <v>3070</v>
      </c>
      <c r="E704" s="92" t="s">
        <v>2048</v>
      </c>
      <c r="F704" s="87">
        <v>1</v>
      </c>
      <c r="G704" s="87">
        <v>1</v>
      </c>
      <c r="H704" s="75"/>
      <c r="I704" s="75"/>
      <c r="J704" s="75"/>
      <c r="K704" s="75" t="s">
        <v>162</v>
      </c>
      <c r="L704" s="75" t="s">
        <v>509</v>
      </c>
      <c r="M704" s="75" t="s">
        <v>535</v>
      </c>
      <c r="N704" s="75" t="s">
        <v>509</v>
      </c>
      <c r="O704" s="75" t="s">
        <v>535</v>
      </c>
      <c r="P704" s="75" t="s">
        <v>1745</v>
      </c>
    </row>
    <row r="705" spans="1:16">
      <c r="A705" s="63" t="s">
        <v>4282</v>
      </c>
      <c r="B705" s="14" t="str">
        <f>VLOOKUP(P705,'护理记录单文书字典(数据)'!B$4:C$99,2,0)</f>
        <v>0AEAAF350CFAB21185A773F8CE3DC446</v>
      </c>
      <c r="C705" s="75" t="s">
        <v>3071</v>
      </c>
      <c r="D705" s="75" t="s">
        <v>3072</v>
      </c>
      <c r="E705" s="92" t="s">
        <v>2048</v>
      </c>
      <c r="F705" s="87">
        <v>1</v>
      </c>
      <c r="G705" s="87">
        <v>1</v>
      </c>
      <c r="H705" s="75"/>
      <c r="I705" s="75"/>
      <c r="J705" s="75"/>
      <c r="K705" s="75" t="s">
        <v>162</v>
      </c>
      <c r="L705" s="75" t="s">
        <v>509</v>
      </c>
      <c r="M705" s="75" t="s">
        <v>535</v>
      </c>
      <c r="N705" s="75" t="s">
        <v>509</v>
      </c>
      <c r="O705" s="75" t="s">
        <v>535</v>
      </c>
      <c r="P705" s="75" t="s">
        <v>1745</v>
      </c>
    </row>
    <row r="706" spans="1:16">
      <c r="A706" s="63" t="s">
        <v>4282</v>
      </c>
      <c r="B706" s="14" t="str">
        <f>VLOOKUP(P706,'护理记录单文书字典(数据)'!B$4:C$99,2,0)</f>
        <v>0AEAAF350CFAB21185A773F8CE3DC446</v>
      </c>
      <c r="C706" s="75" t="s">
        <v>3073</v>
      </c>
      <c r="D706" s="75" t="s">
        <v>3074</v>
      </c>
      <c r="E706" s="92" t="s">
        <v>2048</v>
      </c>
      <c r="F706" s="87">
        <v>1</v>
      </c>
      <c r="G706" s="87">
        <v>1</v>
      </c>
      <c r="H706" s="75"/>
      <c r="I706" s="75"/>
      <c r="J706" s="75"/>
      <c r="K706" s="75" t="s">
        <v>162</v>
      </c>
      <c r="L706" s="75" t="s">
        <v>509</v>
      </c>
      <c r="M706" s="75" t="s">
        <v>535</v>
      </c>
      <c r="N706" s="75" t="s">
        <v>509</v>
      </c>
      <c r="O706" s="75" t="s">
        <v>535</v>
      </c>
      <c r="P706" s="75" t="s">
        <v>1745</v>
      </c>
    </row>
    <row r="707" spans="1:16">
      <c r="A707" s="63" t="s">
        <v>4282</v>
      </c>
      <c r="B707" s="14" t="str">
        <f>VLOOKUP(P707,'护理记录单文书字典(数据)'!B$4:C$99,2,0)</f>
        <v>0AEAAF350CFAB21185A773F8CE3DC446</v>
      </c>
      <c r="C707" s="75" t="s">
        <v>3075</v>
      </c>
      <c r="D707" s="75" t="s">
        <v>3076</v>
      </c>
      <c r="E707" s="92" t="s">
        <v>2048</v>
      </c>
      <c r="F707" s="87">
        <v>1</v>
      </c>
      <c r="G707" s="87">
        <v>1</v>
      </c>
      <c r="H707" s="75"/>
      <c r="I707" s="75"/>
      <c r="J707" s="75"/>
      <c r="K707" s="75" t="s">
        <v>162</v>
      </c>
      <c r="L707" s="75" t="s">
        <v>509</v>
      </c>
      <c r="M707" s="75" t="s">
        <v>535</v>
      </c>
      <c r="N707" s="75" t="s">
        <v>509</v>
      </c>
      <c r="O707" s="75" t="s">
        <v>535</v>
      </c>
      <c r="P707" s="75" t="s">
        <v>1745</v>
      </c>
    </row>
    <row r="708" spans="1:16">
      <c r="A708" s="63" t="s">
        <v>4282</v>
      </c>
      <c r="B708" s="14" t="str">
        <f>VLOOKUP(P708,'护理记录单文书字典(数据)'!B$4:C$99,2,0)</f>
        <v>0AEAAF350CFAB21185A773F8CE3DC446</v>
      </c>
      <c r="C708" s="75" t="s">
        <v>3077</v>
      </c>
      <c r="D708" s="75" t="s">
        <v>3078</v>
      </c>
      <c r="E708" s="92" t="s">
        <v>2048</v>
      </c>
      <c r="F708" s="87">
        <v>1</v>
      </c>
      <c r="G708" s="87">
        <v>1</v>
      </c>
      <c r="H708" s="75"/>
      <c r="I708" s="75"/>
      <c r="J708" s="75"/>
      <c r="K708" s="75" t="s">
        <v>162</v>
      </c>
      <c r="L708" s="75" t="s">
        <v>509</v>
      </c>
      <c r="M708" s="75" t="s">
        <v>535</v>
      </c>
      <c r="N708" s="75" t="s">
        <v>509</v>
      </c>
      <c r="O708" s="75" t="s">
        <v>535</v>
      </c>
      <c r="P708" s="75" t="s">
        <v>1745</v>
      </c>
    </row>
    <row r="709" spans="1:16">
      <c r="A709" s="63" t="s">
        <v>4282</v>
      </c>
      <c r="B709" s="14" t="str">
        <f>VLOOKUP(P709,'护理记录单文书字典(数据)'!B$4:C$99,2,0)</f>
        <v>0AEAAF350CFAB21185A773F8CE3DC446</v>
      </c>
      <c r="C709" s="75" t="s">
        <v>3079</v>
      </c>
      <c r="D709" s="75" t="s">
        <v>3080</v>
      </c>
      <c r="E709" s="92" t="s">
        <v>2048</v>
      </c>
      <c r="F709" s="87">
        <v>1</v>
      </c>
      <c r="G709" s="87">
        <v>1</v>
      </c>
      <c r="H709" s="75"/>
      <c r="I709" s="75"/>
      <c r="J709" s="75"/>
      <c r="K709" s="75" t="s">
        <v>162</v>
      </c>
      <c r="L709" s="75" t="s">
        <v>509</v>
      </c>
      <c r="M709" s="75" t="s">
        <v>535</v>
      </c>
      <c r="N709" s="75" t="s">
        <v>509</v>
      </c>
      <c r="O709" s="75" t="s">
        <v>535</v>
      </c>
      <c r="P709" s="75" t="s">
        <v>1745</v>
      </c>
    </row>
    <row r="710" spans="1:16">
      <c r="A710" s="63" t="s">
        <v>4282</v>
      </c>
      <c r="B710" s="14" t="str">
        <f>VLOOKUP(P710,'护理记录单文书字典(数据)'!B$4:C$99,2,0)</f>
        <v>0AEAAF350CFAB21185A773F8CE3DC446</v>
      </c>
      <c r="C710" s="75" t="s">
        <v>3081</v>
      </c>
      <c r="D710" s="75" t="s">
        <v>3082</v>
      </c>
      <c r="E710" s="92" t="s">
        <v>2048</v>
      </c>
      <c r="F710" s="87">
        <v>1</v>
      </c>
      <c r="G710" s="87">
        <v>1</v>
      </c>
      <c r="H710" s="75"/>
      <c r="I710" s="75"/>
      <c r="J710" s="75"/>
      <c r="K710" s="75" t="s">
        <v>162</v>
      </c>
      <c r="L710" s="75" t="s">
        <v>509</v>
      </c>
      <c r="M710" s="75" t="s">
        <v>535</v>
      </c>
      <c r="N710" s="75" t="s">
        <v>509</v>
      </c>
      <c r="O710" s="75" t="s">
        <v>535</v>
      </c>
      <c r="P710" s="75" t="s">
        <v>1745</v>
      </c>
    </row>
    <row r="711" spans="1:16">
      <c r="A711" s="63" t="s">
        <v>4282</v>
      </c>
      <c r="B711" s="14" t="str">
        <f>VLOOKUP(P711,'护理记录单文书字典(数据)'!B$4:C$99,2,0)</f>
        <v>0AEAAF350CFAB21185A773F8CE3DC446</v>
      </c>
      <c r="C711" s="75" t="s">
        <v>3083</v>
      </c>
      <c r="D711" s="75" t="s">
        <v>3084</v>
      </c>
      <c r="E711" s="92" t="s">
        <v>2048</v>
      </c>
      <c r="F711" s="87">
        <v>1</v>
      </c>
      <c r="G711" s="87">
        <v>1</v>
      </c>
      <c r="H711" s="75"/>
      <c r="I711" s="75"/>
      <c r="J711" s="75"/>
      <c r="K711" s="75" t="s">
        <v>162</v>
      </c>
      <c r="L711" s="75" t="s">
        <v>509</v>
      </c>
      <c r="M711" s="75" t="s">
        <v>535</v>
      </c>
      <c r="N711" s="75" t="s">
        <v>509</v>
      </c>
      <c r="O711" s="75" t="s">
        <v>535</v>
      </c>
      <c r="P711" s="75" t="s">
        <v>1745</v>
      </c>
    </row>
    <row r="712" spans="1:16">
      <c r="A712" s="63" t="s">
        <v>4282</v>
      </c>
      <c r="B712" s="14" t="str">
        <f>VLOOKUP(P712,'护理记录单文书字典(数据)'!B$4:C$99,2,0)</f>
        <v>0AEAAF350CFAB21185A773F8CE3DC446</v>
      </c>
      <c r="C712" s="75" t="s">
        <v>3085</v>
      </c>
      <c r="D712" s="75" t="s">
        <v>3086</v>
      </c>
      <c r="E712" s="92" t="s">
        <v>2048</v>
      </c>
      <c r="F712" s="87">
        <v>1</v>
      </c>
      <c r="G712" s="87">
        <v>1</v>
      </c>
      <c r="H712" s="75"/>
      <c r="I712" s="75"/>
      <c r="J712" s="75"/>
      <c r="K712" s="75" t="s">
        <v>162</v>
      </c>
      <c r="L712" s="75" t="s">
        <v>509</v>
      </c>
      <c r="M712" s="75" t="s">
        <v>535</v>
      </c>
      <c r="N712" s="75" t="s">
        <v>509</v>
      </c>
      <c r="O712" s="75" t="s">
        <v>535</v>
      </c>
      <c r="P712" s="75" t="s">
        <v>1745</v>
      </c>
    </row>
    <row r="713" spans="1:16">
      <c r="A713" s="63" t="s">
        <v>4282</v>
      </c>
      <c r="B713" s="14" t="str">
        <f>VLOOKUP(P713,'护理记录单文书字典(数据)'!B$4:C$99,2,0)</f>
        <v>0AEAAF350CFAB21185A773F8CE3DC446</v>
      </c>
      <c r="C713" s="75" t="s">
        <v>3087</v>
      </c>
      <c r="D713" s="75" t="s">
        <v>3088</v>
      </c>
      <c r="E713" s="92" t="s">
        <v>2048</v>
      </c>
      <c r="F713" s="87">
        <v>1</v>
      </c>
      <c r="G713" s="87">
        <v>1</v>
      </c>
      <c r="H713" s="75"/>
      <c r="I713" s="75"/>
      <c r="J713" s="75"/>
      <c r="K713" s="75" t="s">
        <v>162</v>
      </c>
      <c r="L713" s="75" t="s">
        <v>509</v>
      </c>
      <c r="M713" s="75" t="s">
        <v>535</v>
      </c>
      <c r="N713" s="75" t="s">
        <v>509</v>
      </c>
      <c r="O713" s="75" t="s">
        <v>535</v>
      </c>
      <c r="P713" s="75" t="s">
        <v>1745</v>
      </c>
    </row>
    <row r="714" spans="1:16">
      <c r="A714" s="63" t="s">
        <v>4282</v>
      </c>
      <c r="B714" s="14" t="str">
        <f>VLOOKUP(P714,'护理记录单文书字典(数据)'!B$4:C$99,2,0)</f>
        <v>0AEAAF350CFAB21185A773F8CE3DC446</v>
      </c>
      <c r="C714" s="75" t="s">
        <v>3089</v>
      </c>
      <c r="D714" s="75" t="s">
        <v>3090</v>
      </c>
      <c r="E714" s="92" t="s">
        <v>2048</v>
      </c>
      <c r="F714" s="87">
        <v>1</v>
      </c>
      <c r="G714" s="87">
        <v>1</v>
      </c>
      <c r="H714" s="75"/>
      <c r="I714" s="75"/>
      <c r="J714" s="75"/>
      <c r="K714" s="75" t="s">
        <v>162</v>
      </c>
      <c r="L714" s="75" t="s">
        <v>509</v>
      </c>
      <c r="M714" s="75" t="s">
        <v>535</v>
      </c>
      <c r="N714" s="75" t="s">
        <v>509</v>
      </c>
      <c r="O714" s="75" t="s">
        <v>535</v>
      </c>
      <c r="P714" s="75" t="s">
        <v>1745</v>
      </c>
    </row>
    <row r="715" spans="1:16">
      <c r="A715" s="63" t="s">
        <v>4282</v>
      </c>
      <c r="B715" s="14" t="str">
        <f>VLOOKUP(P715,'护理记录单文书字典(数据)'!B$4:C$99,2,0)</f>
        <v>0AEAAF350CFAB21185A773F8CE3DC446</v>
      </c>
      <c r="C715" s="75" t="s">
        <v>3091</v>
      </c>
      <c r="D715" s="75" t="s">
        <v>3092</v>
      </c>
      <c r="E715" s="92" t="s">
        <v>2048</v>
      </c>
      <c r="F715" s="87">
        <v>1</v>
      </c>
      <c r="G715" s="87">
        <v>1</v>
      </c>
      <c r="H715" s="75"/>
      <c r="I715" s="75"/>
      <c r="J715" s="75"/>
      <c r="K715" s="75" t="s">
        <v>162</v>
      </c>
      <c r="L715" s="75" t="s">
        <v>509</v>
      </c>
      <c r="M715" s="75" t="s">
        <v>535</v>
      </c>
      <c r="N715" s="75" t="s">
        <v>509</v>
      </c>
      <c r="O715" s="75" t="s">
        <v>535</v>
      </c>
      <c r="P715" s="75" t="s">
        <v>1745</v>
      </c>
    </row>
    <row r="716" spans="1:16">
      <c r="A716" s="63" t="s">
        <v>4282</v>
      </c>
      <c r="B716" s="14" t="str">
        <f>VLOOKUP(P716,'护理记录单文书字典(数据)'!B$4:C$99,2,0)</f>
        <v>0AEAAF350CFAB21185A773F8CE3DC446</v>
      </c>
      <c r="C716" s="75" t="s">
        <v>3093</v>
      </c>
      <c r="D716" s="75" t="s">
        <v>3094</v>
      </c>
      <c r="E716" s="92" t="s">
        <v>2048</v>
      </c>
      <c r="F716" s="87">
        <v>1</v>
      </c>
      <c r="G716" s="87">
        <v>1</v>
      </c>
      <c r="H716" s="75"/>
      <c r="I716" s="75"/>
      <c r="J716" s="75"/>
      <c r="K716" s="75" t="s">
        <v>162</v>
      </c>
      <c r="L716" s="75" t="s">
        <v>509</v>
      </c>
      <c r="M716" s="75" t="s">
        <v>535</v>
      </c>
      <c r="N716" s="75" t="s">
        <v>509</v>
      </c>
      <c r="O716" s="75" t="s">
        <v>535</v>
      </c>
      <c r="P716" s="75" t="s">
        <v>1745</v>
      </c>
    </row>
    <row r="717" spans="1:16">
      <c r="A717" s="63" t="s">
        <v>4282</v>
      </c>
      <c r="B717" s="14" t="str">
        <f>VLOOKUP(P717,'护理记录单文书字典(数据)'!B$4:C$99,2,0)</f>
        <v>0AEAAF350CFAB21185A773F8CE3DC446</v>
      </c>
      <c r="C717" s="75" t="s">
        <v>3095</v>
      </c>
      <c r="D717" s="75" t="s">
        <v>3096</v>
      </c>
      <c r="E717" s="92" t="s">
        <v>2048</v>
      </c>
      <c r="F717" s="87">
        <v>1</v>
      </c>
      <c r="G717" s="87">
        <v>1</v>
      </c>
      <c r="H717" s="75"/>
      <c r="I717" s="75"/>
      <c r="J717" s="75"/>
      <c r="K717" s="75" t="s">
        <v>162</v>
      </c>
      <c r="L717" s="75" t="s">
        <v>509</v>
      </c>
      <c r="M717" s="75" t="s">
        <v>535</v>
      </c>
      <c r="N717" s="75" t="s">
        <v>509</v>
      </c>
      <c r="O717" s="75" t="s">
        <v>535</v>
      </c>
      <c r="P717" s="75" t="s">
        <v>1745</v>
      </c>
    </row>
    <row r="718" spans="1:16">
      <c r="A718" s="63" t="s">
        <v>4282</v>
      </c>
      <c r="B718" s="14" t="str">
        <f>VLOOKUP(P718,'护理记录单文书字典(数据)'!B$4:C$99,2,0)</f>
        <v>0AEAAF350CFAB21185A773F8CE3DC446</v>
      </c>
      <c r="C718" s="75" t="s">
        <v>3097</v>
      </c>
      <c r="D718" s="75" t="s">
        <v>3098</v>
      </c>
      <c r="E718" s="92" t="s">
        <v>2048</v>
      </c>
      <c r="F718" s="87">
        <v>1</v>
      </c>
      <c r="G718" s="87">
        <v>1</v>
      </c>
      <c r="H718" s="75"/>
      <c r="I718" s="75"/>
      <c r="J718" s="75"/>
      <c r="K718" s="75" t="s">
        <v>162</v>
      </c>
      <c r="L718" s="75" t="s">
        <v>509</v>
      </c>
      <c r="M718" s="75" t="s">
        <v>535</v>
      </c>
      <c r="N718" s="75" t="s">
        <v>509</v>
      </c>
      <c r="O718" s="75" t="s">
        <v>535</v>
      </c>
      <c r="P718" s="75" t="s">
        <v>1745</v>
      </c>
    </row>
    <row r="719" spans="1:16">
      <c r="A719" s="63" t="s">
        <v>4282</v>
      </c>
      <c r="B719" s="14" t="str">
        <f>VLOOKUP(P719,'护理记录单文书字典(数据)'!B$4:C$99,2,0)</f>
        <v>0AEAAF350CFAB21185A773F8CE3DC446</v>
      </c>
      <c r="C719" s="75" t="s">
        <v>3027</v>
      </c>
      <c r="D719" s="75" t="s">
        <v>3028</v>
      </c>
      <c r="E719" s="92" t="s">
        <v>2048</v>
      </c>
      <c r="F719" s="87">
        <v>1</v>
      </c>
      <c r="G719" s="87">
        <v>1</v>
      </c>
      <c r="H719" s="75"/>
      <c r="I719" s="75"/>
      <c r="J719" s="75"/>
      <c r="K719" s="75" t="s">
        <v>162</v>
      </c>
      <c r="L719" s="75" t="s">
        <v>509</v>
      </c>
      <c r="M719" s="75" t="s">
        <v>535</v>
      </c>
      <c r="N719" s="75" t="s">
        <v>509</v>
      </c>
      <c r="O719" s="75" t="s">
        <v>535</v>
      </c>
      <c r="P719" s="75" t="s">
        <v>1745</v>
      </c>
    </row>
    <row r="720" spans="1:16">
      <c r="A720" s="63" t="s">
        <v>4282</v>
      </c>
      <c r="B720" s="14" t="str">
        <f>VLOOKUP(P720,'护理记录单文书字典(数据)'!B$4:C$99,2,0)</f>
        <v>0AEAAF350CFAB21185A773F8CE3DC446</v>
      </c>
      <c r="C720" s="75" t="s">
        <v>2057</v>
      </c>
      <c r="D720" s="75" t="s">
        <v>2906</v>
      </c>
      <c r="E720" s="92" t="s">
        <v>2048</v>
      </c>
      <c r="F720" s="87">
        <v>1</v>
      </c>
      <c r="G720" s="87">
        <v>1</v>
      </c>
      <c r="H720" s="75"/>
      <c r="I720" s="75"/>
      <c r="J720" s="75"/>
      <c r="K720" s="75" t="s">
        <v>162</v>
      </c>
      <c r="L720" s="75" t="s">
        <v>509</v>
      </c>
      <c r="M720" s="75" t="s">
        <v>535</v>
      </c>
      <c r="N720" s="75" t="s">
        <v>509</v>
      </c>
      <c r="O720" s="75" t="s">
        <v>535</v>
      </c>
      <c r="P720" s="75" t="s">
        <v>1745</v>
      </c>
    </row>
    <row r="721" spans="1:16">
      <c r="A721" s="63" t="s">
        <v>4282</v>
      </c>
      <c r="B721" s="14" t="str">
        <f>VLOOKUP(P721,'护理记录单文书字典(数据)'!B$4:C$99,2,0)</f>
        <v>7DD6F5350CFAB211FEB4D8A80F3F0F36</v>
      </c>
      <c r="C721" s="75" t="s">
        <v>3099</v>
      </c>
      <c r="D721" s="75" t="s">
        <v>3100</v>
      </c>
      <c r="E721" s="92" t="s">
        <v>2048</v>
      </c>
      <c r="F721" s="87">
        <v>1</v>
      </c>
      <c r="G721" s="87">
        <v>1</v>
      </c>
      <c r="H721" s="75"/>
      <c r="I721" s="75"/>
      <c r="J721" s="75"/>
      <c r="K721" s="75" t="s">
        <v>162</v>
      </c>
      <c r="L721" s="75" t="s">
        <v>509</v>
      </c>
      <c r="M721" s="75" t="s">
        <v>535</v>
      </c>
      <c r="N721" s="75" t="s">
        <v>509</v>
      </c>
      <c r="O721" s="75" t="s">
        <v>535</v>
      </c>
      <c r="P721" s="75" t="s">
        <v>1943</v>
      </c>
    </row>
    <row r="722" spans="1:16">
      <c r="A722" s="63" t="s">
        <v>4282</v>
      </c>
      <c r="B722" s="14" t="str">
        <f>VLOOKUP(P722,'护理记录单文书字典(数据)'!B$4:C$99,2,0)</f>
        <v>7DD6F5350CFAB211FEB4D8A80F3F0F36</v>
      </c>
      <c r="C722" s="75" t="s">
        <v>3101</v>
      </c>
      <c r="D722" s="75" t="s">
        <v>3102</v>
      </c>
      <c r="E722" s="92" t="s">
        <v>2048</v>
      </c>
      <c r="F722" s="87">
        <v>1</v>
      </c>
      <c r="G722" s="87">
        <v>1</v>
      </c>
      <c r="H722" s="75"/>
      <c r="I722" s="75"/>
      <c r="J722" s="75"/>
      <c r="K722" s="75" t="s">
        <v>162</v>
      </c>
      <c r="L722" s="75" t="s">
        <v>509</v>
      </c>
      <c r="M722" s="75" t="s">
        <v>535</v>
      </c>
      <c r="N722" s="75" t="s">
        <v>509</v>
      </c>
      <c r="O722" s="75" t="s">
        <v>535</v>
      </c>
      <c r="P722" s="75" t="s">
        <v>1943</v>
      </c>
    </row>
    <row r="723" spans="1:16">
      <c r="A723" s="63" t="s">
        <v>4282</v>
      </c>
      <c r="B723" s="14" t="str">
        <f>VLOOKUP(P723,'护理记录单文书字典(数据)'!B$4:C$99,2,0)</f>
        <v>7DD6F5350CFAB211FEB4D8A80F3F0F36</v>
      </c>
      <c r="C723" s="75" t="s">
        <v>3103</v>
      </c>
      <c r="D723" s="75" t="s">
        <v>3104</v>
      </c>
      <c r="E723" s="92" t="s">
        <v>2048</v>
      </c>
      <c r="F723" s="87">
        <v>1</v>
      </c>
      <c r="G723" s="87">
        <v>1</v>
      </c>
      <c r="H723" s="75"/>
      <c r="I723" s="75"/>
      <c r="J723" s="75"/>
      <c r="K723" s="75" t="s">
        <v>162</v>
      </c>
      <c r="L723" s="75" t="s">
        <v>509</v>
      </c>
      <c r="M723" s="75" t="s">
        <v>535</v>
      </c>
      <c r="N723" s="75" t="s">
        <v>509</v>
      </c>
      <c r="O723" s="75" t="s">
        <v>535</v>
      </c>
      <c r="P723" s="75" t="s">
        <v>1943</v>
      </c>
    </row>
    <row r="724" spans="1:16">
      <c r="A724" s="63" t="s">
        <v>4282</v>
      </c>
      <c r="B724" s="14" t="str">
        <f>VLOOKUP(P724,'护理记录单文书字典(数据)'!B$4:C$99,2,0)</f>
        <v>7DD6F5350CFAB211FEB4D8A80F3F0F36</v>
      </c>
      <c r="C724" s="75" t="s">
        <v>3105</v>
      </c>
      <c r="D724" s="75" t="s">
        <v>3106</v>
      </c>
      <c r="E724" s="92" t="s">
        <v>2048</v>
      </c>
      <c r="F724" s="87">
        <v>1</v>
      </c>
      <c r="G724" s="87">
        <v>1</v>
      </c>
      <c r="H724" s="75"/>
      <c r="I724" s="75"/>
      <c r="J724" s="75"/>
      <c r="K724" s="75" t="s">
        <v>162</v>
      </c>
      <c r="L724" s="75" t="s">
        <v>509</v>
      </c>
      <c r="M724" s="75" t="s">
        <v>535</v>
      </c>
      <c r="N724" s="75" t="s">
        <v>509</v>
      </c>
      <c r="O724" s="75" t="s">
        <v>535</v>
      </c>
      <c r="P724" s="75" t="s">
        <v>1943</v>
      </c>
    </row>
    <row r="725" spans="1:16">
      <c r="A725" s="63" t="s">
        <v>4282</v>
      </c>
      <c r="B725" s="14" t="str">
        <f>VLOOKUP(P725,'护理记录单文书字典(数据)'!B$4:C$99,2,0)</f>
        <v>7DD6F5350CFAB211FEB4D8A80F3F0F36</v>
      </c>
      <c r="C725" s="75" t="s">
        <v>3107</v>
      </c>
      <c r="D725" s="75" t="s">
        <v>3108</v>
      </c>
      <c r="E725" s="92" t="s">
        <v>2048</v>
      </c>
      <c r="F725" s="87">
        <v>1</v>
      </c>
      <c r="G725" s="87">
        <v>1</v>
      </c>
      <c r="H725" s="75"/>
      <c r="I725" s="75"/>
      <c r="J725" s="75"/>
      <c r="K725" s="75" t="s">
        <v>162</v>
      </c>
      <c r="L725" s="75" t="s">
        <v>509</v>
      </c>
      <c r="M725" s="75" t="s">
        <v>535</v>
      </c>
      <c r="N725" s="75" t="s">
        <v>509</v>
      </c>
      <c r="O725" s="75" t="s">
        <v>535</v>
      </c>
      <c r="P725" s="75" t="s">
        <v>1943</v>
      </c>
    </row>
    <row r="726" spans="1:16">
      <c r="A726" s="63" t="s">
        <v>4282</v>
      </c>
      <c r="B726" s="14" t="str">
        <f>VLOOKUP(P726,'护理记录单文书字典(数据)'!B$4:C$99,2,0)</f>
        <v>7DD6F5350CFAB211FEB4D8A80F3F0F36</v>
      </c>
      <c r="C726" s="75" t="s">
        <v>3109</v>
      </c>
      <c r="D726" s="75" t="s">
        <v>3110</v>
      </c>
      <c r="E726" s="92" t="s">
        <v>2048</v>
      </c>
      <c r="F726" s="87">
        <v>1</v>
      </c>
      <c r="G726" s="87">
        <v>1</v>
      </c>
      <c r="H726" s="75"/>
      <c r="I726" s="75"/>
      <c r="J726" s="75"/>
      <c r="K726" s="75" t="s">
        <v>162</v>
      </c>
      <c r="L726" s="75" t="s">
        <v>509</v>
      </c>
      <c r="M726" s="75" t="s">
        <v>535</v>
      </c>
      <c r="N726" s="75" t="s">
        <v>509</v>
      </c>
      <c r="O726" s="75" t="s">
        <v>535</v>
      </c>
      <c r="P726" s="75" t="s">
        <v>1943</v>
      </c>
    </row>
    <row r="727" spans="1:16">
      <c r="A727" s="63" t="s">
        <v>4282</v>
      </c>
      <c r="B727" s="14" t="str">
        <f>VLOOKUP(P727,'护理记录单文书字典(数据)'!B$4:C$99,2,0)</f>
        <v>7DD6F5350CFAB211FEB4D8A80F3F0F36</v>
      </c>
      <c r="C727" s="75" t="s">
        <v>3111</v>
      </c>
      <c r="D727" s="75" t="s">
        <v>3112</v>
      </c>
      <c r="E727" s="92" t="s">
        <v>2048</v>
      </c>
      <c r="F727" s="87">
        <v>1</v>
      </c>
      <c r="G727" s="87">
        <v>1</v>
      </c>
      <c r="H727" s="75"/>
      <c r="I727" s="75"/>
      <c r="J727" s="75"/>
      <c r="K727" s="75" t="s">
        <v>162</v>
      </c>
      <c r="L727" s="75" t="s">
        <v>509</v>
      </c>
      <c r="M727" s="75" t="s">
        <v>535</v>
      </c>
      <c r="N727" s="75" t="s">
        <v>509</v>
      </c>
      <c r="O727" s="75" t="s">
        <v>535</v>
      </c>
      <c r="P727" s="75" t="s">
        <v>1943</v>
      </c>
    </row>
    <row r="728" spans="1:16">
      <c r="A728" s="63" t="s">
        <v>4282</v>
      </c>
      <c r="B728" s="14" t="str">
        <f>VLOOKUP(P728,'护理记录单文书字典(数据)'!B$4:C$99,2,0)</f>
        <v>7DD6F5350CFAB211FEB4D8A80F3F0F36</v>
      </c>
      <c r="C728" s="75" t="s">
        <v>3113</v>
      </c>
      <c r="D728" s="75" t="s">
        <v>3114</v>
      </c>
      <c r="E728" s="92" t="s">
        <v>2048</v>
      </c>
      <c r="F728" s="87">
        <v>1</v>
      </c>
      <c r="G728" s="87">
        <v>1</v>
      </c>
      <c r="H728" s="75"/>
      <c r="I728" s="75"/>
      <c r="J728" s="75"/>
      <c r="K728" s="75" t="s">
        <v>162</v>
      </c>
      <c r="L728" s="75" t="s">
        <v>509</v>
      </c>
      <c r="M728" s="75" t="s">
        <v>535</v>
      </c>
      <c r="N728" s="75" t="s">
        <v>509</v>
      </c>
      <c r="O728" s="75" t="s">
        <v>535</v>
      </c>
      <c r="P728" s="75" t="s">
        <v>1943</v>
      </c>
    </row>
    <row r="729" spans="1:16">
      <c r="A729" s="63" t="s">
        <v>4282</v>
      </c>
      <c r="B729" s="14" t="str">
        <f>VLOOKUP(P729,'护理记录单文书字典(数据)'!B$4:C$99,2,0)</f>
        <v>7DD6F5350CFAB211FEB4D8A80F3F0F36</v>
      </c>
      <c r="C729" s="75" t="s">
        <v>3115</v>
      </c>
      <c r="D729" s="75" t="s">
        <v>3116</v>
      </c>
      <c r="E729" s="92" t="s">
        <v>2048</v>
      </c>
      <c r="F729" s="87">
        <v>1</v>
      </c>
      <c r="G729" s="87">
        <v>1</v>
      </c>
      <c r="H729" s="75"/>
      <c r="I729" s="75"/>
      <c r="J729" s="75"/>
      <c r="K729" s="75" t="s">
        <v>162</v>
      </c>
      <c r="L729" s="75" t="s">
        <v>509</v>
      </c>
      <c r="M729" s="75" t="s">
        <v>535</v>
      </c>
      <c r="N729" s="75" t="s">
        <v>509</v>
      </c>
      <c r="O729" s="75" t="s">
        <v>535</v>
      </c>
      <c r="P729" s="75" t="s">
        <v>1943</v>
      </c>
    </row>
    <row r="730" spans="1:16">
      <c r="A730" s="63" t="s">
        <v>4282</v>
      </c>
      <c r="B730" s="14" t="str">
        <f>VLOOKUP(P730,'护理记录单文书字典(数据)'!B$4:C$99,2,0)</f>
        <v>7DD6F5350CFAB211FEB4D8A80F3F0F36</v>
      </c>
      <c r="C730" s="75" t="s">
        <v>3117</v>
      </c>
      <c r="D730" s="75" t="s">
        <v>3118</v>
      </c>
      <c r="E730" s="92" t="s">
        <v>2048</v>
      </c>
      <c r="F730" s="87">
        <v>1</v>
      </c>
      <c r="G730" s="87">
        <v>1</v>
      </c>
      <c r="H730" s="75"/>
      <c r="I730" s="75"/>
      <c r="J730" s="75"/>
      <c r="K730" s="75" t="s">
        <v>162</v>
      </c>
      <c r="L730" s="75" t="s">
        <v>509</v>
      </c>
      <c r="M730" s="75" t="s">
        <v>535</v>
      </c>
      <c r="N730" s="75" t="s">
        <v>509</v>
      </c>
      <c r="O730" s="75" t="s">
        <v>535</v>
      </c>
      <c r="P730" s="75" t="s">
        <v>1943</v>
      </c>
    </row>
    <row r="731" spans="1:16">
      <c r="A731" s="63" t="s">
        <v>4282</v>
      </c>
      <c r="B731" s="14" t="str">
        <f>VLOOKUP(P731,'护理记录单文书字典(数据)'!B$4:C$99,2,0)</f>
        <v>7DD6F5350CFAB211FEB4D8A80F3F0F36</v>
      </c>
      <c r="C731" s="75" t="s">
        <v>3119</v>
      </c>
      <c r="D731" s="75" t="s">
        <v>3120</v>
      </c>
      <c r="E731" s="92" t="s">
        <v>2052</v>
      </c>
      <c r="F731" s="87">
        <v>1</v>
      </c>
      <c r="G731" s="87">
        <v>1</v>
      </c>
      <c r="H731" s="75" t="s">
        <v>1897</v>
      </c>
      <c r="I731" s="75"/>
      <c r="J731" s="75"/>
      <c r="K731" s="75" t="s">
        <v>162</v>
      </c>
      <c r="L731" s="75" t="s">
        <v>509</v>
      </c>
      <c r="M731" s="75" t="s">
        <v>535</v>
      </c>
      <c r="N731" s="75" t="s">
        <v>509</v>
      </c>
      <c r="O731" s="75" t="s">
        <v>535</v>
      </c>
      <c r="P731" s="75" t="s">
        <v>1943</v>
      </c>
    </row>
    <row r="732" spans="1:16">
      <c r="A732" s="63" t="s">
        <v>4282</v>
      </c>
      <c r="B732" s="14" t="str">
        <f>VLOOKUP(P732,'护理记录单文书字典(数据)'!B$4:C$99,2,0)</f>
        <v>7DD6F5350CFAB211FEB4D8A80F3F0F36</v>
      </c>
      <c r="C732" s="75" t="s">
        <v>3121</v>
      </c>
      <c r="D732" s="75" t="s">
        <v>3122</v>
      </c>
      <c r="E732" s="92" t="s">
        <v>2052</v>
      </c>
      <c r="F732" s="87">
        <v>1</v>
      </c>
      <c r="G732" s="87">
        <v>1</v>
      </c>
      <c r="H732" s="75" t="s">
        <v>1944</v>
      </c>
      <c r="I732" s="75"/>
      <c r="J732" s="75"/>
      <c r="K732" s="75" t="s">
        <v>162</v>
      </c>
      <c r="L732" s="75" t="s">
        <v>509</v>
      </c>
      <c r="M732" s="75" t="s">
        <v>535</v>
      </c>
      <c r="N732" s="75" t="s">
        <v>509</v>
      </c>
      <c r="O732" s="75" t="s">
        <v>535</v>
      </c>
      <c r="P732" s="75" t="s">
        <v>1943</v>
      </c>
    </row>
    <row r="733" spans="1:16">
      <c r="A733" s="63" t="s">
        <v>4282</v>
      </c>
      <c r="B733" s="14" t="str">
        <f>VLOOKUP(P733,'护理记录单文书字典(数据)'!B$4:C$99,2,0)</f>
        <v>7DD6F5350CFAB211FEB4D8A80F3F0F36</v>
      </c>
      <c r="C733" s="75" t="s">
        <v>3123</v>
      </c>
      <c r="D733" s="75" t="s">
        <v>1949</v>
      </c>
      <c r="E733" s="92" t="s">
        <v>2052</v>
      </c>
      <c r="F733" s="87">
        <v>1</v>
      </c>
      <c r="G733" s="87">
        <v>1</v>
      </c>
      <c r="H733" s="75" t="s">
        <v>1948</v>
      </c>
      <c r="I733" s="75"/>
      <c r="J733" s="75"/>
      <c r="K733" s="75" t="s">
        <v>162</v>
      </c>
      <c r="L733" s="75" t="s">
        <v>509</v>
      </c>
      <c r="M733" s="75" t="s">
        <v>535</v>
      </c>
      <c r="N733" s="75" t="s">
        <v>509</v>
      </c>
      <c r="O733" s="75" t="s">
        <v>535</v>
      </c>
      <c r="P733" s="75" t="s">
        <v>1943</v>
      </c>
    </row>
    <row r="734" spans="1:16">
      <c r="A734" s="63" t="s">
        <v>4282</v>
      </c>
      <c r="B734" s="14" t="str">
        <f>VLOOKUP(P734,'护理记录单文书字典(数据)'!B$4:C$99,2,0)</f>
        <v>7DD6F5350CFAB211FEB4D8A80F3F0F36</v>
      </c>
      <c r="C734" s="75" t="s">
        <v>3124</v>
      </c>
      <c r="D734" s="75" t="s">
        <v>1951</v>
      </c>
      <c r="E734" s="92" t="s">
        <v>2052</v>
      </c>
      <c r="F734" s="87">
        <v>1</v>
      </c>
      <c r="G734" s="87">
        <v>1</v>
      </c>
      <c r="H734" s="75" t="s">
        <v>1950</v>
      </c>
      <c r="I734" s="75"/>
      <c r="J734" s="75"/>
      <c r="K734" s="75" t="s">
        <v>162</v>
      </c>
      <c r="L734" s="75" t="s">
        <v>509</v>
      </c>
      <c r="M734" s="75" t="s">
        <v>535</v>
      </c>
      <c r="N734" s="75" t="s">
        <v>509</v>
      </c>
      <c r="O734" s="75" t="s">
        <v>535</v>
      </c>
      <c r="P734" s="75" t="s">
        <v>1943</v>
      </c>
    </row>
    <row r="735" spans="1:16">
      <c r="A735" s="63" t="s">
        <v>4282</v>
      </c>
      <c r="B735" s="14" t="str">
        <f>VLOOKUP(P735,'护理记录单文书字典(数据)'!B$4:C$99,2,0)</f>
        <v>7DD6F5350CFAB211FEB4D8A80F3F0F36</v>
      </c>
      <c r="C735" s="75" t="s">
        <v>3125</v>
      </c>
      <c r="D735" s="75" t="s">
        <v>1955</v>
      </c>
      <c r="E735" s="92" t="s">
        <v>2052</v>
      </c>
      <c r="F735" s="87">
        <v>1</v>
      </c>
      <c r="G735" s="87">
        <v>1</v>
      </c>
      <c r="H735" s="75" t="s">
        <v>1954</v>
      </c>
      <c r="I735" s="75"/>
      <c r="J735" s="75"/>
      <c r="K735" s="75" t="s">
        <v>162</v>
      </c>
      <c r="L735" s="75" t="s">
        <v>509</v>
      </c>
      <c r="M735" s="75" t="s">
        <v>535</v>
      </c>
      <c r="N735" s="75" t="s">
        <v>509</v>
      </c>
      <c r="O735" s="75" t="s">
        <v>535</v>
      </c>
      <c r="P735" s="75" t="s">
        <v>1943</v>
      </c>
    </row>
    <row r="736" spans="1:16">
      <c r="A736" s="63" t="s">
        <v>4282</v>
      </c>
      <c r="B736" s="14" t="str">
        <f>VLOOKUP(P736,'护理记录单文书字典(数据)'!B$4:C$99,2,0)</f>
        <v>7DD6F5350CFAB211FEB4D8A80F3F0F36</v>
      </c>
      <c r="C736" s="75" t="s">
        <v>3126</v>
      </c>
      <c r="D736" s="75" t="s">
        <v>3127</v>
      </c>
      <c r="E736" s="92" t="s">
        <v>2052</v>
      </c>
      <c r="F736" s="87">
        <v>1</v>
      </c>
      <c r="G736" s="87">
        <v>1</v>
      </c>
      <c r="H736" s="75" t="s">
        <v>1957</v>
      </c>
      <c r="I736" s="75"/>
      <c r="J736" s="75"/>
      <c r="K736" s="75" t="s">
        <v>162</v>
      </c>
      <c r="L736" s="75" t="s">
        <v>509</v>
      </c>
      <c r="M736" s="75" t="s">
        <v>535</v>
      </c>
      <c r="N736" s="75" t="s">
        <v>509</v>
      </c>
      <c r="O736" s="75" t="s">
        <v>535</v>
      </c>
      <c r="P736" s="75" t="s">
        <v>1943</v>
      </c>
    </row>
    <row r="737" spans="1:16">
      <c r="A737" s="63" t="s">
        <v>4282</v>
      </c>
      <c r="B737" s="14" t="str">
        <f>VLOOKUP(P737,'护理记录单文书字典(数据)'!B$4:C$99,2,0)</f>
        <v>7DD6F5350CFAB211FEB4D8A80F3F0F36</v>
      </c>
      <c r="C737" s="75" t="s">
        <v>3128</v>
      </c>
      <c r="D737" s="75" t="s">
        <v>1963</v>
      </c>
      <c r="E737" s="92" t="s">
        <v>2052</v>
      </c>
      <c r="F737" s="87">
        <v>1</v>
      </c>
      <c r="G737" s="87">
        <v>1</v>
      </c>
      <c r="H737" s="75" t="s">
        <v>1962</v>
      </c>
      <c r="I737" s="75"/>
      <c r="J737" s="75"/>
      <c r="K737" s="75" t="s">
        <v>162</v>
      </c>
      <c r="L737" s="75" t="s">
        <v>509</v>
      </c>
      <c r="M737" s="75" t="s">
        <v>535</v>
      </c>
      <c r="N737" s="75" t="s">
        <v>509</v>
      </c>
      <c r="O737" s="75" t="s">
        <v>535</v>
      </c>
      <c r="P737" s="75" t="s">
        <v>1943</v>
      </c>
    </row>
    <row r="738" spans="1:16">
      <c r="A738" s="63" t="s">
        <v>4282</v>
      </c>
      <c r="B738" s="14" t="str">
        <f>VLOOKUP(P738,'护理记录单文书字典(数据)'!B$4:C$99,2,0)</f>
        <v>7DD6F5350CFAB211FEB4D8A80F3F0F36</v>
      </c>
      <c r="C738" s="75" t="s">
        <v>3129</v>
      </c>
      <c r="D738" s="75" t="s">
        <v>2746</v>
      </c>
      <c r="E738" s="92" t="s">
        <v>2052</v>
      </c>
      <c r="F738" s="87">
        <v>1</v>
      </c>
      <c r="G738" s="87">
        <v>1</v>
      </c>
      <c r="H738" s="75" t="s">
        <v>2745</v>
      </c>
      <c r="I738" s="75"/>
      <c r="J738" s="75"/>
      <c r="K738" s="75" t="s">
        <v>162</v>
      </c>
      <c r="L738" s="75" t="s">
        <v>509</v>
      </c>
      <c r="M738" s="75" t="s">
        <v>535</v>
      </c>
      <c r="N738" s="75" t="s">
        <v>509</v>
      </c>
      <c r="O738" s="75" t="s">
        <v>535</v>
      </c>
      <c r="P738" s="75" t="s">
        <v>1943</v>
      </c>
    </row>
    <row r="739" spans="1:16">
      <c r="A739" s="63" t="s">
        <v>4282</v>
      </c>
      <c r="B739" s="14" t="str">
        <f>VLOOKUP(P739,'护理记录单文书字典(数据)'!B$4:C$99,2,0)</f>
        <v>7DD6F5350CFAB211FEB4D8A80F3F0F36</v>
      </c>
      <c r="C739" s="75" t="s">
        <v>3130</v>
      </c>
      <c r="D739" s="75" t="s">
        <v>3131</v>
      </c>
      <c r="E739" s="92" t="s">
        <v>2048</v>
      </c>
      <c r="F739" s="87">
        <v>1</v>
      </c>
      <c r="G739" s="87">
        <v>1</v>
      </c>
      <c r="H739" s="75"/>
      <c r="I739" s="75"/>
      <c r="J739" s="75"/>
      <c r="K739" s="75" t="s">
        <v>162</v>
      </c>
      <c r="L739" s="75" t="s">
        <v>509</v>
      </c>
      <c r="M739" s="75" t="s">
        <v>535</v>
      </c>
      <c r="N739" s="75" t="s">
        <v>509</v>
      </c>
      <c r="O739" s="75" t="s">
        <v>535</v>
      </c>
      <c r="P739" s="75" t="s">
        <v>1943</v>
      </c>
    </row>
    <row r="740" spans="1:16">
      <c r="A740" s="63" t="s">
        <v>4282</v>
      </c>
      <c r="B740" s="14" t="str">
        <f>VLOOKUP(P740,'护理记录单文书字典(数据)'!B$4:C$99,2,0)</f>
        <v>7DD6F5350CFAB211FEB4D8A80F3F0F36</v>
      </c>
      <c r="C740" s="75" t="s">
        <v>3132</v>
      </c>
      <c r="D740" s="75" t="s">
        <v>3133</v>
      </c>
      <c r="E740" s="92" t="s">
        <v>2048</v>
      </c>
      <c r="F740" s="87">
        <v>1</v>
      </c>
      <c r="G740" s="87">
        <v>1</v>
      </c>
      <c r="H740" s="75"/>
      <c r="I740" s="75"/>
      <c r="J740" s="75"/>
      <c r="K740" s="75" t="s">
        <v>162</v>
      </c>
      <c r="L740" s="75" t="s">
        <v>509</v>
      </c>
      <c r="M740" s="75" t="s">
        <v>535</v>
      </c>
      <c r="N740" s="75" t="s">
        <v>509</v>
      </c>
      <c r="O740" s="75" t="s">
        <v>535</v>
      </c>
      <c r="P740" s="75" t="s">
        <v>1943</v>
      </c>
    </row>
    <row r="741" spans="1:16">
      <c r="A741" s="63" t="s">
        <v>4282</v>
      </c>
      <c r="B741" s="14" t="str">
        <f>VLOOKUP(P741,'护理记录单文书字典(数据)'!B$4:C$99,2,0)</f>
        <v>7DD6F5350CFAB211FEB4D8A80F3F0F36</v>
      </c>
      <c r="C741" s="75" t="s">
        <v>3134</v>
      </c>
      <c r="D741" s="75" t="s">
        <v>3135</v>
      </c>
      <c r="E741" s="92" t="s">
        <v>2052</v>
      </c>
      <c r="F741" s="87">
        <v>1</v>
      </c>
      <c r="G741" s="87">
        <v>1</v>
      </c>
      <c r="H741" s="75" t="s">
        <v>1966</v>
      </c>
      <c r="I741" s="75"/>
      <c r="J741" s="75"/>
      <c r="K741" s="75" t="s">
        <v>162</v>
      </c>
      <c r="L741" s="75" t="s">
        <v>509</v>
      </c>
      <c r="M741" s="75" t="s">
        <v>535</v>
      </c>
      <c r="N741" s="75" t="s">
        <v>509</v>
      </c>
      <c r="O741" s="75" t="s">
        <v>535</v>
      </c>
      <c r="P741" s="75" t="s">
        <v>1943</v>
      </c>
    </row>
    <row r="742" spans="1:16">
      <c r="A742" s="63" t="s">
        <v>4282</v>
      </c>
      <c r="B742" s="14" t="str">
        <f>VLOOKUP(P742,'护理记录单文书字典(数据)'!B$4:C$99,2,0)</f>
        <v>7DD6F5350CFAB211FEB4D8A80F3F0F36</v>
      </c>
      <c r="C742" s="75" t="s">
        <v>3136</v>
      </c>
      <c r="D742" s="75" t="s">
        <v>3137</v>
      </c>
      <c r="E742" s="92" t="s">
        <v>2052</v>
      </c>
      <c r="F742" s="87">
        <v>1</v>
      </c>
      <c r="G742" s="87">
        <v>1</v>
      </c>
      <c r="H742" s="75" t="s">
        <v>1969</v>
      </c>
      <c r="I742" s="75"/>
      <c r="J742" s="75"/>
      <c r="K742" s="75" t="s">
        <v>162</v>
      </c>
      <c r="L742" s="75" t="s">
        <v>509</v>
      </c>
      <c r="M742" s="75" t="s">
        <v>535</v>
      </c>
      <c r="N742" s="75" t="s">
        <v>509</v>
      </c>
      <c r="O742" s="75" t="s">
        <v>535</v>
      </c>
      <c r="P742" s="75" t="s">
        <v>1943</v>
      </c>
    </row>
    <row r="743" spans="1:16">
      <c r="A743" s="63" t="s">
        <v>4282</v>
      </c>
      <c r="B743" s="14" t="str">
        <f>VLOOKUP(P743,'护理记录单文书字典(数据)'!B$4:C$99,2,0)</f>
        <v>7DD6F5350CFAB211FEB4D8A80F3F0F36</v>
      </c>
      <c r="C743" s="75" t="s">
        <v>3138</v>
      </c>
      <c r="D743" s="75" t="s">
        <v>3139</v>
      </c>
      <c r="E743" s="92" t="s">
        <v>2052</v>
      </c>
      <c r="F743" s="87">
        <v>1</v>
      </c>
      <c r="G743" s="87">
        <v>1</v>
      </c>
      <c r="H743" s="75" t="s">
        <v>1974</v>
      </c>
      <c r="I743" s="75"/>
      <c r="J743" s="75"/>
      <c r="K743" s="75" t="s">
        <v>162</v>
      </c>
      <c r="L743" s="75" t="s">
        <v>509</v>
      </c>
      <c r="M743" s="75" t="s">
        <v>535</v>
      </c>
      <c r="N743" s="75" t="s">
        <v>509</v>
      </c>
      <c r="O743" s="75" t="s">
        <v>535</v>
      </c>
      <c r="P743" s="75" t="s">
        <v>1943</v>
      </c>
    </row>
    <row r="744" spans="1:16">
      <c r="A744" s="63" t="s">
        <v>4282</v>
      </c>
      <c r="B744" s="14" t="str">
        <f>VLOOKUP(P744,'护理记录单文书字典(数据)'!B$4:C$99,2,0)</f>
        <v>7DD6F5350CFAB211FEB4D8A80F3F0F36</v>
      </c>
      <c r="C744" s="75" t="s">
        <v>3140</v>
      </c>
      <c r="D744" s="75" t="s">
        <v>3141</v>
      </c>
      <c r="E744" s="92" t="s">
        <v>2048</v>
      </c>
      <c r="F744" s="87">
        <v>1</v>
      </c>
      <c r="G744" s="87">
        <v>1</v>
      </c>
      <c r="H744" s="75"/>
      <c r="I744" s="75"/>
      <c r="J744" s="75"/>
      <c r="K744" s="75" t="s">
        <v>162</v>
      </c>
      <c r="L744" s="75" t="s">
        <v>509</v>
      </c>
      <c r="M744" s="75" t="s">
        <v>535</v>
      </c>
      <c r="N744" s="75" t="s">
        <v>509</v>
      </c>
      <c r="O744" s="75" t="s">
        <v>535</v>
      </c>
      <c r="P744" s="75" t="s">
        <v>1943</v>
      </c>
    </row>
    <row r="745" spans="1:16">
      <c r="A745" s="63" t="s">
        <v>4282</v>
      </c>
      <c r="B745" s="14" t="str">
        <f>VLOOKUP(P745,'护理记录单文书字典(数据)'!B$4:C$99,2,0)</f>
        <v>7DD6F5350CFAB211FEB4D8A80F3F0F36</v>
      </c>
      <c r="C745" s="75" t="s">
        <v>3142</v>
      </c>
      <c r="D745" s="75" t="s">
        <v>3143</v>
      </c>
      <c r="E745" s="92" t="s">
        <v>2048</v>
      </c>
      <c r="F745" s="87">
        <v>1</v>
      </c>
      <c r="G745" s="87">
        <v>1</v>
      </c>
      <c r="H745" s="75"/>
      <c r="I745" s="75"/>
      <c r="J745" s="75"/>
      <c r="K745" s="75" t="s">
        <v>162</v>
      </c>
      <c r="L745" s="75" t="s">
        <v>509</v>
      </c>
      <c r="M745" s="75" t="s">
        <v>535</v>
      </c>
      <c r="N745" s="75" t="s">
        <v>509</v>
      </c>
      <c r="O745" s="75" t="s">
        <v>535</v>
      </c>
      <c r="P745" s="75" t="s">
        <v>1943</v>
      </c>
    </row>
    <row r="746" spans="1:16">
      <c r="A746" s="63" t="s">
        <v>4282</v>
      </c>
      <c r="B746" s="14" t="str">
        <f>VLOOKUP(P746,'护理记录单文书字典(数据)'!B$4:C$99,2,0)</f>
        <v>7DD6F5350CFAB211FEB4D8A80F3F0F36</v>
      </c>
      <c r="C746" s="75" t="s">
        <v>3144</v>
      </c>
      <c r="D746" s="75" t="s">
        <v>3145</v>
      </c>
      <c r="E746" s="92" t="s">
        <v>2048</v>
      </c>
      <c r="F746" s="87">
        <v>1</v>
      </c>
      <c r="G746" s="87">
        <v>1</v>
      </c>
      <c r="H746" s="75"/>
      <c r="I746" s="75"/>
      <c r="J746" s="75"/>
      <c r="K746" s="75" t="s">
        <v>162</v>
      </c>
      <c r="L746" s="75" t="s">
        <v>509</v>
      </c>
      <c r="M746" s="75" t="s">
        <v>535</v>
      </c>
      <c r="N746" s="75" t="s">
        <v>509</v>
      </c>
      <c r="O746" s="75" t="s">
        <v>535</v>
      </c>
      <c r="P746" s="75" t="s">
        <v>1943</v>
      </c>
    </row>
    <row r="747" spans="1:16">
      <c r="A747" s="63" t="s">
        <v>4282</v>
      </c>
      <c r="B747" s="14" t="str">
        <f>VLOOKUP(P747,'护理记录单文书字典(数据)'!B$4:C$99,2,0)</f>
        <v>7DD6F5350CFAB211FEB4D8A80F3F0F36</v>
      </c>
      <c r="C747" s="75" t="s">
        <v>3146</v>
      </c>
      <c r="D747" s="75" t="s">
        <v>3147</v>
      </c>
      <c r="E747" s="92" t="s">
        <v>2048</v>
      </c>
      <c r="F747" s="87">
        <v>1</v>
      </c>
      <c r="G747" s="87">
        <v>1</v>
      </c>
      <c r="H747" s="75"/>
      <c r="I747" s="75"/>
      <c r="J747" s="75"/>
      <c r="K747" s="75" t="s">
        <v>162</v>
      </c>
      <c r="L747" s="75" t="s">
        <v>509</v>
      </c>
      <c r="M747" s="75" t="s">
        <v>535</v>
      </c>
      <c r="N747" s="75" t="s">
        <v>509</v>
      </c>
      <c r="O747" s="75" t="s">
        <v>535</v>
      </c>
      <c r="P747" s="75" t="s">
        <v>1943</v>
      </c>
    </row>
    <row r="748" spans="1:16">
      <c r="A748" s="63" t="s">
        <v>4282</v>
      </c>
      <c r="B748" s="14" t="str">
        <f>VLOOKUP(P748,'护理记录单文书字典(数据)'!B$4:C$99,2,0)</f>
        <v>7DD6F5350CFAB211FEB4D8A80F3F0F36</v>
      </c>
      <c r="C748" s="75" t="s">
        <v>3148</v>
      </c>
      <c r="D748" s="75" t="s">
        <v>3149</v>
      </c>
      <c r="E748" s="92" t="s">
        <v>2048</v>
      </c>
      <c r="F748" s="87">
        <v>1</v>
      </c>
      <c r="G748" s="87">
        <v>1</v>
      </c>
      <c r="H748" s="75"/>
      <c r="I748" s="75"/>
      <c r="J748" s="75"/>
      <c r="K748" s="75" t="s">
        <v>162</v>
      </c>
      <c r="L748" s="75" t="s">
        <v>509</v>
      </c>
      <c r="M748" s="75" t="s">
        <v>535</v>
      </c>
      <c r="N748" s="75" t="s">
        <v>509</v>
      </c>
      <c r="O748" s="75" t="s">
        <v>535</v>
      </c>
      <c r="P748" s="75" t="s">
        <v>1943</v>
      </c>
    </row>
    <row r="749" spans="1:16">
      <c r="A749" s="63" t="s">
        <v>4282</v>
      </c>
      <c r="B749" s="14" t="str">
        <f>VLOOKUP(P749,'护理记录单文书字典(数据)'!B$4:C$99,2,0)</f>
        <v>7DD6F5350CFAB211FEB4D8A80F3F0F36</v>
      </c>
      <c r="C749" s="75" t="s">
        <v>3150</v>
      </c>
      <c r="D749" s="75" t="s">
        <v>3151</v>
      </c>
      <c r="E749" s="92" t="s">
        <v>2048</v>
      </c>
      <c r="F749" s="87">
        <v>1</v>
      </c>
      <c r="G749" s="87">
        <v>1</v>
      </c>
      <c r="H749" s="75"/>
      <c r="I749" s="75"/>
      <c r="J749" s="75"/>
      <c r="K749" s="75" t="s">
        <v>162</v>
      </c>
      <c r="L749" s="75" t="s">
        <v>509</v>
      </c>
      <c r="M749" s="75" t="s">
        <v>535</v>
      </c>
      <c r="N749" s="75" t="s">
        <v>509</v>
      </c>
      <c r="O749" s="75" t="s">
        <v>535</v>
      </c>
      <c r="P749" s="75" t="s">
        <v>1943</v>
      </c>
    </row>
    <row r="750" spans="1:16">
      <c r="A750" s="63" t="s">
        <v>4282</v>
      </c>
      <c r="B750" s="14" t="str">
        <f>VLOOKUP(P750,'护理记录单文书字典(数据)'!B$4:C$99,2,0)</f>
        <v>7DD6F5350CFAB211FEB4D8A80F3F0F36</v>
      </c>
      <c r="C750" s="75" t="s">
        <v>3152</v>
      </c>
      <c r="D750" s="75" t="s">
        <v>3153</v>
      </c>
      <c r="E750" s="92" t="s">
        <v>2052</v>
      </c>
      <c r="F750" s="87">
        <v>1</v>
      </c>
      <c r="G750" s="87">
        <v>1</v>
      </c>
      <c r="H750" s="75" t="s">
        <v>1976</v>
      </c>
      <c r="I750" s="75"/>
      <c r="J750" s="75"/>
      <c r="K750" s="75" t="s">
        <v>162</v>
      </c>
      <c r="L750" s="75" t="s">
        <v>509</v>
      </c>
      <c r="M750" s="75" t="s">
        <v>535</v>
      </c>
      <c r="N750" s="75" t="s">
        <v>509</v>
      </c>
      <c r="O750" s="75" t="s">
        <v>535</v>
      </c>
      <c r="P750" s="75" t="s">
        <v>1943</v>
      </c>
    </row>
    <row r="751" spans="1:16">
      <c r="A751" s="63" t="s">
        <v>4282</v>
      </c>
      <c r="B751" s="14" t="str">
        <f>VLOOKUP(P751,'护理记录单文书字典(数据)'!B$4:C$99,2,0)</f>
        <v>7DD6F5350CFAB211FEB4D8A80F3F0F36</v>
      </c>
      <c r="C751" s="75" t="s">
        <v>3154</v>
      </c>
      <c r="D751" s="75" t="s">
        <v>3155</v>
      </c>
      <c r="E751" s="92" t="s">
        <v>2052</v>
      </c>
      <c r="F751" s="87">
        <v>1</v>
      </c>
      <c r="G751" s="87">
        <v>1</v>
      </c>
      <c r="H751" s="75" t="s">
        <v>1980</v>
      </c>
      <c r="I751" s="75"/>
      <c r="J751" s="75"/>
      <c r="K751" s="75" t="s">
        <v>162</v>
      </c>
      <c r="L751" s="75" t="s">
        <v>509</v>
      </c>
      <c r="M751" s="75" t="s">
        <v>535</v>
      </c>
      <c r="N751" s="75" t="s">
        <v>509</v>
      </c>
      <c r="O751" s="75" t="s">
        <v>535</v>
      </c>
      <c r="P751" s="75" t="s">
        <v>1943</v>
      </c>
    </row>
    <row r="752" spans="1:16">
      <c r="A752" s="63" t="s">
        <v>4282</v>
      </c>
      <c r="B752" s="14" t="str">
        <f>VLOOKUP(P752,'护理记录单文书字典(数据)'!B$4:C$99,2,0)</f>
        <v>7DD6F5350CFAB211FEB4D8A80F3F0F36</v>
      </c>
      <c r="C752" s="75" t="s">
        <v>3156</v>
      </c>
      <c r="D752" s="75" t="s">
        <v>3157</v>
      </c>
      <c r="E752" s="92" t="s">
        <v>2052</v>
      </c>
      <c r="F752" s="87">
        <v>1</v>
      </c>
      <c r="G752" s="87">
        <v>1</v>
      </c>
      <c r="H752" s="75" t="s">
        <v>1982</v>
      </c>
      <c r="I752" s="75"/>
      <c r="J752" s="75"/>
      <c r="K752" s="75" t="s">
        <v>162</v>
      </c>
      <c r="L752" s="75" t="s">
        <v>509</v>
      </c>
      <c r="M752" s="75" t="s">
        <v>535</v>
      </c>
      <c r="N752" s="75" t="s">
        <v>509</v>
      </c>
      <c r="O752" s="75" t="s">
        <v>535</v>
      </c>
      <c r="P752" s="75" t="s">
        <v>1943</v>
      </c>
    </row>
    <row r="753" spans="1:16">
      <c r="A753" s="63" t="s">
        <v>4282</v>
      </c>
      <c r="B753" s="14" t="str">
        <f>VLOOKUP(P753,'护理记录单文书字典(数据)'!B$4:C$99,2,0)</f>
        <v>7DD6F5350CFAB211FEB4D8A80F3F0F36</v>
      </c>
      <c r="C753" s="75" t="s">
        <v>2105</v>
      </c>
      <c r="D753" s="75" t="s">
        <v>2103</v>
      </c>
      <c r="E753" s="102" t="s">
        <v>2104</v>
      </c>
      <c r="F753" s="87">
        <v>1</v>
      </c>
      <c r="G753" s="87">
        <v>1</v>
      </c>
      <c r="H753" s="75"/>
      <c r="I753" s="75"/>
      <c r="J753" s="75"/>
      <c r="K753" s="75" t="s">
        <v>162</v>
      </c>
      <c r="L753" s="75" t="s">
        <v>509</v>
      </c>
      <c r="M753" s="75" t="s">
        <v>535</v>
      </c>
      <c r="N753" s="75" t="s">
        <v>509</v>
      </c>
      <c r="O753" s="75" t="s">
        <v>535</v>
      </c>
      <c r="P753" s="75" t="s">
        <v>1943</v>
      </c>
    </row>
    <row r="754" spans="1:16">
      <c r="A754" s="63" t="s">
        <v>4282</v>
      </c>
      <c r="B754" s="14" t="str">
        <f>VLOOKUP(P754,'护理记录单文书字典(数据)'!B$4:C$99,2,0)</f>
        <v>64A4EE350CFAB211D0BA40A010B3FD05</v>
      </c>
      <c r="C754" s="75" t="s">
        <v>3158</v>
      </c>
      <c r="D754" s="75" t="s">
        <v>3159</v>
      </c>
      <c r="E754" s="92" t="s">
        <v>2052</v>
      </c>
      <c r="F754" s="87">
        <v>1</v>
      </c>
      <c r="G754" s="87">
        <v>1</v>
      </c>
      <c r="H754" s="75" t="s">
        <v>2750</v>
      </c>
      <c r="I754" s="75"/>
      <c r="J754" s="75"/>
      <c r="K754" s="75" t="s">
        <v>162</v>
      </c>
      <c r="L754" s="75" t="s">
        <v>509</v>
      </c>
      <c r="M754" s="75" t="s">
        <v>535</v>
      </c>
      <c r="N754" s="75" t="s">
        <v>509</v>
      </c>
      <c r="O754" s="75" t="s">
        <v>535</v>
      </c>
      <c r="P754" s="75" t="s">
        <v>1883</v>
      </c>
    </row>
    <row r="755" spans="1:16">
      <c r="A755" s="63" t="s">
        <v>4282</v>
      </c>
      <c r="B755" s="14" t="str">
        <f>VLOOKUP(P755,'护理记录单文书字典(数据)'!B$4:C$99,2,0)</f>
        <v>64A4EE350CFAB211D0BA40A010B3FD05</v>
      </c>
      <c r="C755" s="75" t="s">
        <v>3160</v>
      </c>
      <c r="D755" s="75" t="s">
        <v>3161</v>
      </c>
      <c r="E755" s="92" t="s">
        <v>2048</v>
      </c>
      <c r="F755" s="87">
        <v>1</v>
      </c>
      <c r="G755" s="87">
        <v>1</v>
      </c>
      <c r="H755" s="75"/>
      <c r="I755" s="75"/>
      <c r="J755" s="75"/>
      <c r="K755" s="75" t="s">
        <v>162</v>
      </c>
      <c r="L755" s="75" t="s">
        <v>509</v>
      </c>
      <c r="M755" s="75" t="s">
        <v>535</v>
      </c>
      <c r="N755" s="75" t="s">
        <v>509</v>
      </c>
      <c r="O755" s="75" t="s">
        <v>535</v>
      </c>
      <c r="P755" s="75" t="s">
        <v>1883</v>
      </c>
    </row>
    <row r="756" spans="1:16">
      <c r="A756" s="63" t="s">
        <v>4282</v>
      </c>
      <c r="B756" s="14" t="str">
        <f>VLOOKUP(P756,'护理记录单文书字典(数据)'!B$4:C$99,2,0)</f>
        <v>64A4EE350CFAB211D0BA40A010B3FD05</v>
      </c>
      <c r="C756" s="75" t="s">
        <v>3162</v>
      </c>
      <c r="D756" s="75" t="s">
        <v>3163</v>
      </c>
      <c r="E756" s="92" t="s">
        <v>2048</v>
      </c>
      <c r="F756" s="87">
        <v>1</v>
      </c>
      <c r="G756" s="87">
        <v>1</v>
      </c>
      <c r="H756" s="75"/>
      <c r="I756" s="75"/>
      <c r="J756" s="75"/>
      <c r="K756" s="75" t="s">
        <v>162</v>
      </c>
      <c r="L756" s="75" t="s">
        <v>509</v>
      </c>
      <c r="M756" s="75" t="s">
        <v>535</v>
      </c>
      <c r="N756" s="75" t="s">
        <v>509</v>
      </c>
      <c r="O756" s="75" t="s">
        <v>535</v>
      </c>
      <c r="P756" s="75" t="s">
        <v>1883</v>
      </c>
    </row>
    <row r="757" spans="1:16">
      <c r="A757" s="63" t="s">
        <v>4282</v>
      </c>
      <c r="B757" s="14" t="str">
        <f>VLOOKUP(P757,'护理记录单文书字典(数据)'!B$4:C$99,2,0)</f>
        <v>64A4EE350CFAB211D0BA40A010B3FD05</v>
      </c>
      <c r="C757" s="75" t="s">
        <v>3164</v>
      </c>
      <c r="D757" s="75" t="s">
        <v>3165</v>
      </c>
      <c r="E757" s="92" t="s">
        <v>2048</v>
      </c>
      <c r="F757" s="87">
        <v>1</v>
      </c>
      <c r="G757" s="87">
        <v>1</v>
      </c>
      <c r="H757" s="75"/>
      <c r="I757" s="75"/>
      <c r="J757" s="75"/>
      <c r="K757" s="75" t="s">
        <v>162</v>
      </c>
      <c r="L757" s="75" t="s">
        <v>509</v>
      </c>
      <c r="M757" s="75" t="s">
        <v>535</v>
      </c>
      <c r="N757" s="75" t="s">
        <v>509</v>
      </c>
      <c r="O757" s="75" t="s">
        <v>535</v>
      </c>
      <c r="P757" s="75" t="s">
        <v>1883</v>
      </c>
    </row>
    <row r="758" spans="1:16">
      <c r="A758" s="63" t="s">
        <v>4282</v>
      </c>
      <c r="B758" s="14" t="str">
        <f>VLOOKUP(P758,'护理记录单文书字典(数据)'!B$4:C$99,2,0)</f>
        <v>64A4EE350CFAB211D0BA40A010B3FD05</v>
      </c>
      <c r="C758" s="75" t="s">
        <v>3166</v>
      </c>
      <c r="D758" s="75" t="s">
        <v>3167</v>
      </c>
      <c r="E758" s="92" t="s">
        <v>2048</v>
      </c>
      <c r="F758" s="87">
        <v>1</v>
      </c>
      <c r="G758" s="87">
        <v>1</v>
      </c>
      <c r="H758" s="75"/>
      <c r="I758" s="75"/>
      <c r="J758" s="75"/>
      <c r="K758" s="75" t="s">
        <v>162</v>
      </c>
      <c r="L758" s="75" t="s">
        <v>509</v>
      </c>
      <c r="M758" s="75" t="s">
        <v>535</v>
      </c>
      <c r="N758" s="75" t="s">
        <v>509</v>
      </c>
      <c r="O758" s="75" t="s">
        <v>535</v>
      </c>
      <c r="P758" s="75" t="s">
        <v>1883</v>
      </c>
    </row>
    <row r="759" spans="1:16">
      <c r="A759" s="63" t="s">
        <v>4282</v>
      </c>
      <c r="B759" s="14" t="str">
        <f>VLOOKUP(P759,'护理记录单文书字典(数据)'!B$4:C$99,2,0)</f>
        <v>64A4EE350CFAB211D0BA40A010B3FD05</v>
      </c>
      <c r="C759" s="75" t="s">
        <v>3168</v>
      </c>
      <c r="D759" s="75" t="s">
        <v>3169</v>
      </c>
      <c r="E759" s="92" t="s">
        <v>2048</v>
      </c>
      <c r="F759" s="87">
        <v>1</v>
      </c>
      <c r="G759" s="87">
        <v>1</v>
      </c>
      <c r="H759" s="75"/>
      <c r="I759" s="75"/>
      <c r="J759" s="75"/>
      <c r="K759" s="75" t="s">
        <v>162</v>
      </c>
      <c r="L759" s="75" t="s">
        <v>509</v>
      </c>
      <c r="M759" s="75" t="s">
        <v>535</v>
      </c>
      <c r="N759" s="75" t="s">
        <v>509</v>
      </c>
      <c r="O759" s="75" t="s">
        <v>535</v>
      </c>
      <c r="P759" s="75" t="s">
        <v>1883</v>
      </c>
    </row>
    <row r="760" spans="1:16">
      <c r="A760" s="63" t="s">
        <v>4282</v>
      </c>
      <c r="B760" s="14" t="str">
        <f>VLOOKUP(P760,'护理记录单文书字典(数据)'!B$4:C$99,2,0)</f>
        <v>64A4EE350CFAB211D0BA40A010B3FD05</v>
      </c>
      <c r="C760" s="75" t="s">
        <v>3170</v>
      </c>
      <c r="D760" s="75" t="s">
        <v>1137</v>
      </c>
      <c r="E760" s="92" t="s">
        <v>2052</v>
      </c>
      <c r="F760" s="87">
        <v>1</v>
      </c>
      <c r="G760" s="87">
        <v>1</v>
      </c>
      <c r="H760" s="75" t="s">
        <v>2750</v>
      </c>
      <c r="I760" s="75"/>
      <c r="J760" s="75"/>
      <c r="K760" s="75" t="s">
        <v>162</v>
      </c>
      <c r="L760" s="75" t="s">
        <v>509</v>
      </c>
      <c r="M760" s="75" t="s">
        <v>535</v>
      </c>
      <c r="N760" s="75" t="s">
        <v>509</v>
      </c>
      <c r="O760" s="75" t="s">
        <v>535</v>
      </c>
      <c r="P760" s="75" t="s">
        <v>1883</v>
      </c>
    </row>
    <row r="761" spans="1:16">
      <c r="A761" s="63" t="s">
        <v>4282</v>
      </c>
      <c r="B761" s="14" t="str">
        <f>VLOOKUP(P761,'护理记录单文书字典(数据)'!B$4:C$99,2,0)</f>
        <v>64A4EE350CFAB211D0BA40A010B3FD05</v>
      </c>
      <c r="C761" s="75" t="s">
        <v>3171</v>
      </c>
      <c r="D761" s="75" t="s">
        <v>3172</v>
      </c>
      <c r="E761" s="92" t="s">
        <v>2048</v>
      </c>
      <c r="F761" s="87">
        <v>1</v>
      </c>
      <c r="G761" s="87">
        <v>1</v>
      </c>
      <c r="H761" s="75"/>
      <c r="I761" s="75"/>
      <c r="J761" s="75"/>
      <c r="K761" s="75" t="s">
        <v>162</v>
      </c>
      <c r="L761" s="75" t="s">
        <v>509</v>
      </c>
      <c r="M761" s="75" t="s">
        <v>535</v>
      </c>
      <c r="N761" s="75" t="s">
        <v>509</v>
      </c>
      <c r="O761" s="75" t="s">
        <v>535</v>
      </c>
      <c r="P761" s="75" t="s">
        <v>1883</v>
      </c>
    </row>
    <row r="762" spans="1:16">
      <c r="A762" s="63" t="s">
        <v>4282</v>
      </c>
      <c r="B762" s="14" t="str">
        <f>VLOOKUP(P762,'护理记录单文书字典(数据)'!B$4:C$99,2,0)</f>
        <v>64A4EE350CFAB211D0BA40A010B3FD05</v>
      </c>
      <c r="C762" s="75" t="s">
        <v>3173</v>
      </c>
      <c r="D762" s="75" t="s">
        <v>3174</v>
      </c>
      <c r="E762" s="92" t="s">
        <v>2048</v>
      </c>
      <c r="F762" s="87">
        <v>1</v>
      </c>
      <c r="G762" s="87">
        <v>1</v>
      </c>
      <c r="H762" s="75"/>
      <c r="I762" s="75"/>
      <c r="J762" s="75"/>
      <c r="K762" s="75" t="s">
        <v>162</v>
      </c>
      <c r="L762" s="75" t="s">
        <v>509</v>
      </c>
      <c r="M762" s="75" t="s">
        <v>535</v>
      </c>
      <c r="N762" s="75" t="s">
        <v>509</v>
      </c>
      <c r="O762" s="75" t="s">
        <v>535</v>
      </c>
      <c r="P762" s="75" t="s">
        <v>1883</v>
      </c>
    </row>
    <row r="763" spans="1:16">
      <c r="A763" s="63" t="s">
        <v>4282</v>
      </c>
      <c r="B763" s="14" t="str">
        <f>VLOOKUP(P763,'护理记录单文书字典(数据)'!B$4:C$99,2,0)</f>
        <v>64A4EE350CFAB211D0BA40A010B3FD05</v>
      </c>
      <c r="C763" s="75" t="s">
        <v>3175</v>
      </c>
      <c r="D763" s="75" t="s">
        <v>3176</v>
      </c>
      <c r="E763" s="92" t="s">
        <v>2048</v>
      </c>
      <c r="F763" s="87">
        <v>1</v>
      </c>
      <c r="G763" s="87">
        <v>1</v>
      </c>
      <c r="H763" s="75"/>
      <c r="I763" s="75"/>
      <c r="J763" s="75"/>
      <c r="K763" s="75" t="s">
        <v>162</v>
      </c>
      <c r="L763" s="75" t="s">
        <v>509</v>
      </c>
      <c r="M763" s="75" t="s">
        <v>535</v>
      </c>
      <c r="N763" s="75" t="s">
        <v>509</v>
      </c>
      <c r="O763" s="75" t="s">
        <v>535</v>
      </c>
      <c r="P763" s="75" t="s">
        <v>1883</v>
      </c>
    </row>
    <row r="764" spans="1:16">
      <c r="A764" s="63" t="s">
        <v>4282</v>
      </c>
      <c r="B764" s="14" t="str">
        <f>VLOOKUP(P764,'护理记录单文书字典(数据)'!B$4:C$99,2,0)</f>
        <v>64A4EE350CFAB211D0BA40A010B3FD05</v>
      </c>
      <c r="C764" s="75" t="s">
        <v>3177</v>
      </c>
      <c r="D764" s="75" t="s">
        <v>3178</v>
      </c>
      <c r="E764" s="92" t="s">
        <v>2048</v>
      </c>
      <c r="F764" s="87">
        <v>1</v>
      </c>
      <c r="G764" s="87">
        <v>1</v>
      </c>
      <c r="H764" s="75"/>
      <c r="I764" s="75"/>
      <c r="J764" s="75"/>
      <c r="K764" s="75" t="s">
        <v>162</v>
      </c>
      <c r="L764" s="75" t="s">
        <v>509</v>
      </c>
      <c r="M764" s="75" t="s">
        <v>535</v>
      </c>
      <c r="N764" s="75" t="s">
        <v>509</v>
      </c>
      <c r="O764" s="75" t="s">
        <v>535</v>
      </c>
      <c r="P764" s="75" t="s">
        <v>1883</v>
      </c>
    </row>
    <row r="765" spans="1:16">
      <c r="A765" s="63" t="s">
        <v>4282</v>
      </c>
      <c r="B765" s="14" t="str">
        <f>VLOOKUP(P765,'护理记录单文书字典(数据)'!B$4:C$99,2,0)</f>
        <v>64A4EE350CFAB211D0BA40A010B3FD05</v>
      </c>
      <c r="C765" s="75" t="s">
        <v>3179</v>
      </c>
      <c r="D765" s="75" t="s">
        <v>3180</v>
      </c>
      <c r="E765" s="92" t="s">
        <v>2052</v>
      </c>
      <c r="F765" s="87">
        <v>1</v>
      </c>
      <c r="G765" s="87">
        <v>1</v>
      </c>
      <c r="H765" s="75" t="s">
        <v>2750</v>
      </c>
      <c r="I765" s="75"/>
      <c r="J765" s="75"/>
      <c r="K765" s="75" t="s">
        <v>162</v>
      </c>
      <c r="L765" s="75" t="s">
        <v>509</v>
      </c>
      <c r="M765" s="75" t="s">
        <v>535</v>
      </c>
      <c r="N765" s="75" t="s">
        <v>509</v>
      </c>
      <c r="O765" s="75" t="s">
        <v>535</v>
      </c>
      <c r="P765" s="75" t="s">
        <v>1883</v>
      </c>
    </row>
    <row r="766" spans="1:16">
      <c r="A766" s="63" t="s">
        <v>4282</v>
      </c>
      <c r="B766" s="14" t="str">
        <f>VLOOKUP(P766,'护理记录单文书字典(数据)'!B$4:C$99,2,0)</f>
        <v>64A4EE350CFAB211D0BA40A010B3FD05</v>
      </c>
      <c r="C766" s="75" t="s">
        <v>3181</v>
      </c>
      <c r="D766" s="75" t="s">
        <v>3182</v>
      </c>
      <c r="E766" s="92" t="s">
        <v>2048</v>
      </c>
      <c r="F766" s="87">
        <v>1</v>
      </c>
      <c r="G766" s="87">
        <v>1</v>
      </c>
      <c r="H766" s="75"/>
      <c r="I766" s="75"/>
      <c r="J766" s="75"/>
      <c r="K766" s="75" t="s">
        <v>162</v>
      </c>
      <c r="L766" s="75" t="s">
        <v>509</v>
      </c>
      <c r="M766" s="75" t="s">
        <v>535</v>
      </c>
      <c r="N766" s="75" t="s">
        <v>509</v>
      </c>
      <c r="O766" s="75" t="s">
        <v>535</v>
      </c>
      <c r="P766" s="75" t="s">
        <v>1883</v>
      </c>
    </row>
    <row r="767" spans="1:16">
      <c r="A767" s="63" t="s">
        <v>4282</v>
      </c>
      <c r="B767" s="14" t="str">
        <f>VLOOKUP(P767,'护理记录单文书字典(数据)'!B$4:C$99,2,0)</f>
        <v>64A4EE350CFAB211D0BA40A010B3FD05</v>
      </c>
      <c r="C767" s="75" t="s">
        <v>3183</v>
      </c>
      <c r="D767" s="75" t="s">
        <v>2752</v>
      </c>
      <c r="E767" s="92" t="s">
        <v>2052</v>
      </c>
      <c r="F767" s="87">
        <v>1</v>
      </c>
      <c r="G767" s="87">
        <v>1</v>
      </c>
      <c r="H767" s="159" t="s">
        <v>4641</v>
      </c>
      <c r="I767" s="75"/>
      <c r="J767" s="75"/>
      <c r="K767" s="75" t="s">
        <v>162</v>
      </c>
      <c r="L767" s="75" t="s">
        <v>509</v>
      </c>
      <c r="M767" s="75" t="s">
        <v>535</v>
      </c>
      <c r="N767" s="75" t="s">
        <v>509</v>
      </c>
      <c r="O767" s="75" t="s">
        <v>535</v>
      </c>
      <c r="P767" s="75" t="s">
        <v>1883</v>
      </c>
    </row>
    <row r="768" spans="1:16">
      <c r="A768" s="63" t="s">
        <v>4282</v>
      </c>
      <c r="B768" s="14" t="str">
        <f>VLOOKUP(P768,'护理记录单文书字典(数据)'!B$4:C$99,2,0)</f>
        <v>64A4EE350CFAB211D0BA40A010B3FD05</v>
      </c>
      <c r="C768" s="75" t="s">
        <v>3184</v>
      </c>
      <c r="D768" s="75" t="s">
        <v>3185</v>
      </c>
      <c r="E768" s="92" t="s">
        <v>2048</v>
      </c>
      <c r="F768" s="87">
        <v>1</v>
      </c>
      <c r="G768" s="87">
        <v>1</v>
      </c>
      <c r="H768" s="75"/>
      <c r="I768" s="75"/>
      <c r="J768" s="75"/>
      <c r="K768" s="75" t="s">
        <v>162</v>
      </c>
      <c r="L768" s="75" t="s">
        <v>509</v>
      </c>
      <c r="M768" s="75" t="s">
        <v>535</v>
      </c>
      <c r="N768" s="75" t="s">
        <v>509</v>
      </c>
      <c r="O768" s="75" t="s">
        <v>535</v>
      </c>
      <c r="P768" s="75" t="s">
        <v>1883</v>
      </c>
    </row>
    <row r="769" spans="1:16">
      <c r="A769" s="63" t="s">
        <v>4282</v>
      </c>
      <c r="B769" s="14" t="str">
        <f>VLOOKUP(P769,'护理记录单文书字典(数据)'!B$4:C$99,2,0)</f>
        <v>64A4EE350CFAB211D0BA40A010B3FD05</v>
      </c>
      <c r="C769" s="75" t="s">
        <v>3186</v>
      </c>
      <c r="D769" s="75" t="s">
        <v>3187</v>
      </c>
      <c r="E769" s="92" t="s">
        <v>2048</v>
      </c>
      <c r="F769" s="87">
        <v>1</v>
      </c>
      <c r="G769" s="87">
        <v>1</v>
      </c>
      <c r="H769" s="75"/>
      <c r="I769" s="75"/>
      <c r="J769" s="75"/>
      <c r="K769" s="75" t="s">
        <v>162</v>
      </c>
      <c r="L769" s="75" t="s">
        <v>509</v>
      </c>
      <c r="M769" s="75" t="s">
        <v>535</v>
      </c>
      <c r="N769" s="75" t="s">
        <v>509</v>
      </c>
      <c r="O769" s="75" t="s">
        <v>535</v>
      </c>
      <c r="P769" s="75" t="s">
        <v>1883</v>
      </c>
    </row>
    <row r="770" spans="1:16">
      <c r="A770" s="63" t="s">
        <v>4282</v>
      </c>
      <c r="B770" s="14" t="str">
        <f>VLOOKUP(P770,'护理记录单文书字典(数据)'!B$4:C$99,2,0)</f>
        <v>64A4EE350CFAB211D0BA40A010B3FD05</v>
      </c>
      <c r="C770" s="75" t="s">
        <v>3188</v>
      </c>
      <c r="D770" s="75" t="s">
        <v>1139</v>
      </c>
      <c r="E770" s="92" t="s">
        <v>2052</v>
      </c>
      <c r="F770" s="87">
        <v>1</v>
      </c>
      <c r="G770" s="87">
        <v>1</v>
      </c>
      <c r="H770" s="75" t="s">
        <v>2750</v>
      </c>
      <c r="I770" s="75"/>
      <c r="J770" s="75"/>
      <c r="K770" s="75" t="s">
        <v>162</v>
      </c>
      <c r="L770" s="75" t="s">
        <v>509</v>
      </c>
      <c r="M770" s="75" t="s">
        <v>535</v>
      </c>
      <c r="N770" s="75" t="s">
        <v>509</v>
      </c>
      <c r="O770" s="75" t="s">
        <v>535</v>
      </c>
      <c r="P770" s="75" t="s">
        <v>1883</v>
      </c>
    </row>
    <row r="771" spans="1:16">
      <c r="A771" s="63" t="s">
        <v>4282</v>
      </c>
      <c r="B771" s="14" t="str">
        <f>VLOOKUP(P771,'护理记录单文书字典(数据)'!B$4:C$99,2,0)</f>
        <v>64A4EE350CFAB211D0BA40A010B3FD05</v>
      </c>
      <c r="C771" s="75" t="s">
        <v>3189</v>
      </c>
      <c r="D771" s="75" t="s">
        <v>3190</v>
      </c>
      <c r="E771" s="92" t="s">
        <v>2048</v>
      </c>
      <c r="F771" s="87">
        <v>1</v>
      </c>
      <c r="G771" s="87">
        <v>1</v>
      </c>
      <c r="H771" s="75"/>
      <c r="I771" s="75"/>
      <c r="J771" s="75"/>
      <c r="K771" s="75" t="s">
        <v>162</v>
      </c>
      <c r="L771" s="75" t="s">
        <v>509</v>
      </c>
      <c r="M771" s="75" t="s">
        <v>535</v>
      </c>
      <c r="N771" s="75" t="s">
        <v>509</v>
      </c>
      <c r="O771" s="75" t="s">
        <v>535</v>
      </c>
      <c r="P771" s="75" t="s">
        <v>1883</v>
      </c>
    </row>
    <row r="772" spans="1:16">
      <c r="A772" s="63" t="s">
        <v>4282</v>
      </c>
      <c r="B772" s="14" t="str">
        <f>VLOOKUP(P772,'护理记录单文书字典(数据)'!B$4:C$99,2,0)</f>
        <v>64A4EE350CFAB211D0BA40A010B3FD05</v>
      </c>
      <c r="C772" s="75" t="s">
        <v>3191</v>
      </c>
      <c r="D772" s="75" t="s">
        <v>2761</v>
      </c>
      <c r="E772" s="92" t="s">
        <v>2052</v>
      </c>
      <c r="F772" s="87">
        <v>1</v>
      </c>
      <c r="G772" s="87">
        <v>1</v>
      </c>
      <c r="H772" s="75" t="s">
        <v>2760</v>
      </c>
      <c r="I772" s="75"/>
      <c r="J772" s="75"/>
      <c r="K772" s="75" t="s">
        <v>162</v>
      </c>
      <c r="L772" s="75" t="s">
        <v>509</v>
      </c>
      <c r="M772" s="75" t="s">
        <v>535</v>
      </c>
      <c r="N772" s="75" t="s">
        <v>509</v>
      </c>
      <c r="O772" s="75" t="s">
        <v>535</v>
      </c>
      <c r="P772" s="75" t="s">
        <v>1883</v>
      </c>
    </row>
    <row r="773" spans="1:16">
      <c r="A773" s="63" t="s">
        <v>4282</v>
      </c>
      <c r="B773" s="14" t="str">
        <f>VLOOKUP(P773,'护理记录单文书字典(数据)'!B$4:C$99,2,0)</f>
        <v>64A4EE350CFAB211D0BA40A010B3FD05</v>
      </c>
      <c r="C773" s="75" t="s">
        <v>3192</v>
      </c>
      <c r="D773" s="75" t="s">
        <v>3193</v>
      </c>
      <c r="E773" s="92" t="s">
        <v>2048</v>
      </c>
      <c r="F773" s="87">
        <v>1</v>
      </c>
      <c r="G773" s="87">
        <v>1</v>
      </c>
      <c r="H773" s="75"/>
      <c r="I773" s="75"/>
      <c r="J773" s="75"/>
      <c r="K773" s="75" t="s">
        <v>162</v>
      </c>
      <c r="L773" s="75" t="s">
        <v>509</v>
      </c>
      <c r="M773" s="75" t="s">
        <v>535</v>
      </c>
      <c r="N773" s="75" t="s">
        <v>509</v>
      </c>
      <c r="O773" s="75" t="s">
        <v>535</v>
      </c>
      <c r="P773" s="75" t="s">
        <v>1883</v>
      </c>
    </row>
    <row r="774" spans="1:16">
      <c r="A774" s="63" t="s">
        <v>4282</v>
      </c>
      <c r="B774" s="14" t="str">
        <f>VLOOKUP(P774,'护理记录单文书字典(数据)'!B$4:C$99,2,0)</f>
        <v>64A4EE350CFAB211D0BA40A010B3FD05</v>
      </c>
      <c r="C774" s="75" t="s">
        <v>3194</v>
      </c>
      <c r="D774" s="75" t="s">
        <v>3195</v>
      </c>
      <c r="E774" s="92" t="s">
        <v>2052</v>
      </c>
      <c r="F774" s="87">
        <v>1</v>
      </c>
      <c r="G774" s="87">
        <v>1</v>
      </c>
      <c r="H774" s="75" t="s">
        <v>2750</v>
      </c>
      <c r="I774" s="75"/>
      <c r="J774" s="75"/>
      <c r="K774" s="75" t="s">
        <v>162</v>
      </c>
      <c r="L774" s="75" t="s">
        <v>509</v>
      </c>
      <c r="M774" s="75" t="s">
        <v>535</v>
      </c>
      <c r="N774" s="75" t="s">
        <v>509</v>
      </c>
      <c r="O774" s="75" t="s">
        <v>535</v>
      </c>
      <c r="P774" s="75" t="s">
        <v>1883</v>
      </c>
    </row>
    <row r="775" spans="1:16">
      <c r="A775" s="63" t="s">
        <v>4282</v>
      </c>
      <c r="B775" s="14" t="str">
        <f>VLOOKUP(P775,'护理记录单文书字典(数据)'!B$4:C$99,2,0)</f>
        <v>64A4EE350CFAB211D0BA40A010B3FD05</v>
      </c>
      <c r="C775" s="75" t="s">
        <v>3196</v>
      </c>
      <c r="D775" s="75" t="s">
        <v>3197</v>
      </c>
      <c r="E775" s="92" t="s">
        <v>2048</v>
      </c>
      <c r="F775" s="87">
        <v>1</v>
      </c>
      <c r="G775" s="87">
        <v>1</v>
      </c>
      <c r="H775" s="75"/>
      <c r="I775" s="75"/>
      <c r="J775" s="75"/>
      <c r="K775" s="75" t="s">
        <v>162</v>
      </c>
      <c r="L775" s="75" t="s">
        <v>509</v>
      </c>
      <c r="M775" s="75" t="s">
        <v>535</v>
      </c>
      <c r="N775" s="75" t="s">
        <v>509</v>
      </c>
      <c r="O775" s="75" t="s">
        <v>535</v>
      </c>
      <c r="P775" s="75" t="s">
        <v>1883</v>
      </c>
    </row>
    <row r="776" spans="1:16">
      <c r="A776" s="63" t="s">
        <v>4282</v>
      </c>
      <c r="B776" s="14" t="str">
        <f>VLOOKUP(P776,'护理记录单文书字典(数据)'!B$4:C$99,2,0)</f>
        <v>64A4EE350CFAB211D0BA40A010B3FD05</v>
      </c>
      <c r="C776" s="75" t="s">
        <v>3198</v>
      </c>
      <c r="D776" s="75" t="s">
        <v>2768</v>
      </c>
      <c r="E776" s="92" t="s">
        <v>2052</v>
      </c>
      <c r="F776" s="87">
        <v>1</v>
      </c>
      <c r="G776" s="87">
        <v>1</v>
      </c>
      <c r="H776" s="75" t="s">
        <v>2767</v>
      </c>
      <c r="I776" s="75"/>
      <c r="J776" s="75"/>
      <c r="K776" s="75" t="s">
        <v>162</v>
      </c>
      <c r="L776" s="75" t="s">
        <v>509</v>
      </c>
      <c r="M776" s="75" t="s">
        <v>535</v>
      </c>
      <c r="N776" s="75" t="s">
        <v>509</v>
      </c>
      <c r="O776" s="75" t="s">
        <v>535</v>
      </c>
      <c r="P776" s="75" t="s">
        <v>1883</v>
      </c>
    </row>
    <row r="777" spans="1:16">
      <c r="A777" s="63" t="s">
        <v>4282</v>
      </c>
      <c r="B777" s="14" t="str">
        <f>VLOOKUP(P777,'护理记录单文书字典(数据)'!B$4:C$99,2,0)</f>
        <v>64A4EE350CFAB211D0BA40A010B3FD05</v>
      </c>
      <c r="C777" s="75" t="s">
        <v>3199</v>
      </c>
      <c r="D777" s="75" t="s">
        <v>3200</v>
      </c>
      <c r="E777" s="92" t="s">
        <v>2048</v>
      </c>
      <c r="F777" s="87">
        <v>1</v>
      </c>
      <c r="G777" s="87">
        <v>1</v>
      </c>
      <c r="H777" s="75"/>
      <c r="I777" s="75"/>
      <c r="J777" s="75"/>
      <c r="K777" s="75" t="s">
        <v>162</v>
      </c>
      <c r="L777" s="75" t="s">
        <v>509</v>
      </c>
      <c r="M777" s="75" t="s">
        <v>535</v>
      </c>
      <c r="N777" s="75" t="s">
        <v>509</v>
      </c>
      <c r="O777" s="75" t="s">
        <v>535</v>
      </c>
      <c r="P777" s="75" t="s">
        <v>1883</v>
      </c>
    </row>
    <row r="778" spans="1:16">
      <c r="A778" s="63" t="s">
        <v>4282</v>
      </c>
      <c r="B778" s="14" t="str">
        <f>VLOOKUP(P778,'护理记录单文书字典(数据)'!B$4:C$99,2,0)</f>
        <v>64A4EE350CFAB211D0BA40A010B3FD05</v>
      </c>
      <c r="C778" s="75" t="s">
        <v>3201</v>
      </c>
      <c r="D778" s="75" t="s">
        <v>3202</v>
      </c>
      <c r="E778" s="92" t="s">
        <v>2052</v>
      </c>
      <c r="F778" s="87">
        <v>1</v>
      </c>
      <c r="G778" s="87">
        <v>1</v>
      </c>
      <c r="H778" s="75" t="s">
        <v>2750</v>
      </c>
      <c r="I778" s="75"/>
      <c r="J778" s="75"/>
      <c r="K778" s="75" t="s">
        <v>162</v>
      </c>
      <c r="L778" s="75" t="s">
        <v>509</v>
      </c>
      <c r="M778" s="75" t="s">
        <v>535</v>
      </c>
      <c r="N778" s="75" t="s">
        <v>509</v>
      </c>
      <c r="O778" s="75" t="s">
        <v>535</v>
      </c>
      <c r="P778" s="75" t="s">
        <v>1883</v>
      </c>
    </row>
    <row r="779" spans="1:16">
      <c r="A779" s="63" t="s">
        <v>4282</v>
      </c>
      <c r="B779" s="14" t="str">
        <f>VLOOKUP(P779,'护理记录单文书字典(数据)'!B$4:C$99,2,0)</f>
        <v>64A4EE350CFAB211D0BA40A010B3FD05</v>
      </c>
      <c r="C779" s="75" t="s">
        <v>3203</v>
      </c>
      <c r="D779" s="75" t="s">
        <v>3204</v>
      </c>
      <c r="E779" s="92" t="s">
        <v>2048</v>
      </c>
      <c r="F779" s="87">
        <v>1</v>
      </c>
      <c r="G779" s="87">
        <v>1</v>
      </c>
      <c r="H779" s="75"/>
      <c r="I779" s="75"/>
      <c r="J779" s="75"/>
      <c r="K779" s="75" t="s">
        <v>162</v>
      </c>
      <c r="L779" s="75" t="s">
        <v>509</v>
      </c>
      <c r="M779" s="75" t="s">
        <v>535</v>
      </c>
      <c r="N779" s="75" t="s">
        <v>509</v>
      </c>
      <c r="O779" s="75" t="s">
        <v>535</v>
      </c>
      <c r="P779" s="75" t="s">
        <v>1883</v>
      </c>
    </row>
    <row r="780" spans="1:16">
      <c r="A780" s="63" t="s">
        <v>4282</v>
      </c>
      <c r="B780" s="14" t="str">
        <f>VLOOKUP(P780,'护理记录单文书字典(数据)'!B$4:C$99,2,0)</f>
        <v>64A4EE350CFAB211D0BA40A010B3FD05</v>
      </c>
      <c r="C780" s="75" t="s">
        <v>3205</v>
      </c>
      <c r="D780" s="75" t="s">
        <v>3206</v>
      </c>
      <c r="E780" s="92" t="s">
        <v>2048</v>
      </c>
      <c r="F780" s="87">
        <v>1</v>
      </c>
      <c r="G780" s="87">
        <v>1</v>
      </c>
      <c r="H780" s="75"/>
      <c r="I780" s="75"/>
      <c r="J780" s="75"/>
      <c r="K780" s="75" t="s">
        <v>162</v>
      </c>
      <c r="L780" s="75" t="s">
        <v>509</v>
      </c>
      <c r="M780" s="75" t="s">
        <v>535</v>
      </c>
      <c r="N780" s="75" t="s">
        <v>509</v>
      </c>
      <c r="O780" s="75" t="s">
        <v>535</v>
      </c>
      <c r="P780" s="75" t="s">
        <v>1883</v>
      </c>
    </row>
    <row r="781" spans="1:16">
      <c r="A781" s="63" t="s">
        <v>4282</v>
      </c>
      <c r="B781" s="14" t="str">
        <f>VLOOKUP(P781,'护理记录单文书字典(数据)'!B$4:C$99,2,0)</f>
        <v>64A4EE350CFAB211D0BA40A010B3FD05</v>
      </c>
      <c r="C781" s="75" t="s">
        <v>3207</v>
      </c>
      <c r="D781" s="75" t="s">
        <v>3208</v>
      </c>
      <c r="E781" s="92" t="s">
        <v>2048</v>
      </c>
      <c r="F781" s="87">
        <v>1</v>
      </c>
      <c r="G781" s="87">
        <v>1</v>
      </c>
      <c r="H781" s="75"/>
      <c r="I781" s="75"/>
      <c r="J781" s="75"/>
      <c r="K781" s="75" t="s">
        <v>162</v>
      </c>
      <c r="L781" s="75" t="s">
        <v>509</v>
      </c>
      <c r="M781" s="75" t="s">
        <v>535</v>
      </c>
      <c r="N781" s="75" t="s">
        <v>509</v>
      </c>
      <c r="O781" s="75" t="s">
        <v>535</v>
      </c>
      <c r="P781" s="75" t="s">
        <v>1883</v>
      </c>
    </row>
    <row r="782" spans="1:16">
      <c r="A782" s="63" t="s">
        <v>4282</v>
      </c>
      <c r="B782" s="14" t="str">
        <f>VLOOKUP(P782,'护理记录单文书字典(数据)'!B$4:C$99,2,0)</f>
        <v>64A4EE350CFAB211D0BA40A010B3FD05</v>
      </c>
      <c r="C782" s="75" t="s">
        <v>3209</v>
      </c>
      <c r="D782" s="75" t="s">
        <v>2577</v>
      </c>
      <c r="E782" s="92" t="s">
        <v>2052</v>
      </c>
      <c r="F782" s="87">
        <v>1</v>
      </c>
      <c r="G782" s="87">
        <v>1</v>
      </c>
      <c r="H782" s="75" t="s">
        <v>2750</v>
      </c>
      <c r="I782" s="75"/>
      <c r="J782" s="75"/>
      <c r="K782" s="75" t="s">
        <v>162</v>
      </c>
      <c r="L782" s="75" t="s">
        <v>509</v>
      </c>
      <c r="M782" s="75" t="s">
        <v>535</v>
      </c>
      <c r="N782" s="75" t="s">
        <v>509</v>
      </c>
      <c r="O782" s="75" t="s">
        <v>535</v>
      </c>
      <c r="P782" s="75" t="s">
        <v>1883</v>
      </c>
    </row>
    <row r="783" spans="1:16">
      <c r="A783" s="63" t="s">
        <v>4282</v>
      </c>
      <c r="B783" s="14" t="str">
        <f>VLOOKUP(P783,'护理记录单文书字典(数据)'!B$4:C$99,2,0)</f>
        <v>64A4EE350CFAB211D0BA40A010B3FD05</v>
      </c>
      <c r="C783" s="75" t="s">
        <v>3210</v>
      </c>
      <c r="D783" s="75" t="s">
        <v>3211</v>
      </c>
      <c r="E783" s="92" t="s">
        <v>2048</v>
      </c>
      <c r="F783" s="87">
        <v>1</v>
      </c>
      <c r="G783" s="87">
        <v>1</v>
      </c>
      <c r="H783" s="75"/>
      <c r="I783" s="75"/>
      <c r="J783" s="75"/>
      <c r="K783" s="75" t="s">
        <v>162</v>
      </c>
      <c r="L783" s="75" t="s">
        <v>509</v>
      </c>
      <c r="M783" s="75" t="s">
        <v>535</v>
      </c>
      <c r="N783" s="75" t="s">
        <v>509</v>
      </c>
      <c r="O783" s="75" t="s">
        <v>535</v>
      </c>
      <c r="P783" s="75" t="s">
        <v>1883</v>
      </c>
    </row>
    <row r="784" spans="1:16">
      <c r="A784" s="63" t="s">
        <v>4282</v>
      </c>
      <c r="B784" s="14" t="str">
        <f>VLOOKUP(P784,'护理记录单文书字典(数据)'!B$4:C$99,2,0)</f>
        <v>64A4EE350CFAB211D0BA40A010B3FD05</v>
      </c>
      <c r="C784" s="75" t="s">
        <v>3212</v>
      </c>
      <c r="D784" s="75" t="s">
        <v>2781</v>
      </c>
      <c r="E784" s="92" t="s">
        <v>2052</v>
      </c>
      <c r="F784" s="87">
        <v>1</v>
      </c>
      <c r="G784" s="87">
        <v>1</v>
      </c>
      <c r="H784" s="75" t="s">
        <v>2780</v>
      </c>
      <c r="I784" s="75"/>
      <c r="J784" s="75"/>
      <c r="K784" s="75" t="s">
        <v>162</v>
      </c>
      <c r="L784" s="75" t="s">
        <v>509</v>
      </c>
      <c r="M784" s="75" t="s">
        <v>535</v>
      </c>
      <c r="N784" s="75" t="s">
        <v>509</v>
      </c>
      <c r="O784" s="75" t="s">
        <v>535</v>
      </c>
      <c r="P784" s="75" t="s">
        <v>1883</v>
      </c>
    </row>
    <row r="785" spans="1:16">
      <c r="A785" s="63" t="s">
        <v>4282</v>
      </c>
      <c r="B785" s="14" t="str">
        <f>VLOOKUP(P785,'护理记录单文书字典(数据)'!B$4:C$99,2,0)</f>
        <v>64A4EE350CFAB211D0BA40A010B3FD05</v>
      </c>
      <c r="C785" s="75" t="s">
        <v>3213</v>
      </c>
      <c r="D785" s="75" t="s">
        <v>3214</v>
      </c>
      <c r="E785" s="92" t="s">
        <v>2048</v>
      </c>
      <c r="F785" s="87">
        <v>1</v>
      </c>
      <c r="G785" s="87">
        <v>1</v>
      </c>
      <c r="H785" s="75"/>
      <c r="I785" s="75"/>
      <c r="J785" s="75"/>
      <c r="K785" s="75" t="s">
        <v>162</v>
      </c>
      <c r="L785" s="75" t="s">
        <v>509</v>
      </c>
      <c r="M785" s="75" t="s">
        <v>535</v>
      </c>
      <c r="N785" s="75" t="s">
        <v>509</v>
      </c>
      <c r="O785" s="75" t="s">
        <v>535</v>
      </c>
      <c r="P785" s="75" t="s">
        <v>1883</v>
      </c>
    </row>
    <row r="786" spans="1:16">
      <c r="A786" s="63" t="s">
        <v>4282</v>
      </c>
      <c r="B786" s="14" t="str">
        <f>VLOOKUP(P786,'护理记录单文书字典(数据)'!B$4:C$99,2,0)</f>
        <v>64A4EE350CFAB211D0BA40A010B3FD05</v>
      </c>
      <c r="C786" s="75" t="s">
        <v>3215</v>
      </c>
      <c r="D786" s="75" t="s">
        <v>3216</v>
      </c>
      <c r="E786" s="92" t="s">
        <v>2052</v>
      </c>
      <c r="F786" s="87">
        <v>1</v>
      </c>
      <c r="G786" s="87">
        <v>1</v>
      </c>
      <c r="H786" s="75" t="s">
        <v>2750</v>
      </c>
      <c r="I786" s="75"/>
      <c r="J786" s="75"/>
      <c r="K786" s="75" t="s">
        <v>162</v>
      </c>
      <c r="L786" s="75" t="s">
        <v>509</v>
      </c>
      <c r="M786" s="75" t="s">
        <v>535</v>
      </c>
      <c r="N786" s="75" t="s">
        <v>509</v>
      </c>
      <c r="O786" s="75" t="s">
        <v>535</v>
      </c>
      <c r="P786" s="75" t="s">
        <v>1883</v>
      </c>
    </row>
    <row r="787" spans="1:16">
      <c r="A787" s="63" t="s">
        <v>4282</v>
      </c>
      <c r="B787" s="14" t="str">
        <f>VLOOKUP(P787,'护理记录单文书字典(数据)'!B$4:C$99,2,0)</f>
        <v>64A4EE350CFAB211D0BA40A010B3FD05</v>
      </c>
      <c r="C787" s="75" t="s">
        <v>3217</v>
      </c>
      <c r="D787" s="75" t="s">
        <v>3218</v>
      </c>
      <c r="E787" s="92" t="s">
        <v>2048</v>
      </c>
      <c r="F787" s="87">
        <v>1</v>
      </c>
      <c r="G787" s="87">
        <v>1</v>
      </c>
      <c r="H787" s="75"/>
      <c r="I787" s="75"/>
      <c r="J787" s="75"/>
      <c r="K787" s="75" t="s">
        <v>162</v>
      </c>
      <c r="L787" s="75" t="s">
        <v>509</v>
      </c>
      <c r="M787" s="75" t="s">
        <v>535</v>
      </c>
      <c r="N787" s="75" t="s">
        <v>509</v>
      </c>
      <c r="O787" s="75" t="s">
        <v>535</v>
      </c>
      <c r="P787" s="75" t="s">
        <v>1883</v>
      </c>
    </row>
    <row r="788" spans="1:16">
      <c r="A788" s="63" t="s">
        <v>4282</v>
      </c>
      <c r="B788" s="14" t="str">
        <f>VLOOKUP(P788,'护理记录单文书字典(数据)'!B$4:C$99,2,0)</f>
        <v>64A4EE350CFAB211D0BA40A010B3FD05</v>
      </c>
      <c r="C788" s="75" t="s">
        <v>3219</v>
      </c>
      <c r="D788" s="75" t="s">
        <v>3220</v>
      </c>
      <c r="E788" s="92" t="s">
        <v>2048</v>
      </c>
      <c r="F788" s="87">
        <v>1</v>
      </c>
      <c r="G788" s="87">
        <v>1</v>
      </c>
      <c r="H788" s="75"/>
      <c r="I788" s="75"/>
      <c r="J788" s="75"/>
      <c r="K788" s="75" t="s">
        <v>162</v>
      </c>
      <c r="L788" s="75" t="s">
        <v>509</v>
      </c>
      <c r="M788" s="75" t="s">
        <v>535</v>
      </c>
      <c r="N788" s="75" t="s">
        <v>509</v>
      </c>
      <c r="O788" s="75" t="s">
        <v>535</v>
      </c>
      <c r="P788" s="75" t="s">
        <v>1883</v>
      </c>
    </row>
    <row r="789" spans="1:16">
      <c r="A789" s="63" t="s">
        <v>4282</v>
      </c>
      <c r="B789" s="14" t="str">
        <f>VLOOKUP(P789,'护理记录单文书字典(数据)'!B$4:C$99,2,0)</f>
        <v>64A4EE350CFAB211D0BA40A010B3FD05</v>
      </c>
      <c r="C789" s="75" t="s">
        <v>3221</v>
      </c>
      <c r="D789" s="75" t="s">
        <v>3222</v>
      </c>
      <c r="E789" s="92" t="s">
        <v>2048</v>
      </c>
      <c r="F789" s="87">
        <v>1</v>
      </c>
      <c r="G789" s="87">
        <v>1</v>
      </c>
      <c r="H789" s="75"/>
      <c r="I789" s="75"/>
      <c r="J789" s="75"/>
      <c r="K789" s="75" t="s">
        <v>162</v>
      </c>
      <c r="L789" s="75" t="s">
        <v>509</v>
      </c>
      <c r="M789" s="75" t="s">
        <v>535</v>
      </c>
      <c r="N789" s="75" t="s">
        <v>509</v>
      </c>
      <c r="O789" s="75" t="s">
        <v>535</v>
      </c>
      <c r="P789" s="75" t="s">
        <v>1883</v>
      </c>
    </row>
    <row r="790" spans="1:16">
      <c r="A790" s="63" t="s">
        <v>4282</v>
      </c>
      <c r="B790" s="14" t="str">
        <f>VLOOKUP(P790,'护理记录单文书字典(数据)'!B$4:C$99,2,0)</f>
        <v>64A4EE350CFAB211D0BA40A010B3FD05</v>
      </c>
      <c r="C790" s="75" t="s">
        <v>3223</v>
      </c>
      <c r="D790" s="75" t="s">
        <v>3224</v>
      </c>
      <c r="E790" s="92" t="s">
        <v>2052</v>
      </c>
      <c r="F790" s="87">
        <v>1</v>
      </c>
      <c r="G790" s="87">
        <v>1</v>
      </c>
      <c r="H790" s="75" t="s">
        <v>2750</v>
      </c>
      <c r="I790" s="75"/>
      <c r="J790" s="75"/>
      <c r="K790" s="75" t="s">
        <v>162</v>
      </c>
      <c r="L790" s="75" t="s">
        <v>509</v>
      </c>
      <c r="M790" s="75" t="s">
        <v>535</v>
      </c>
      <c r="N790" s="75" t="s">
        <v>509</v>
      </c>
      <c r="O790" s="75" t="s">
        <v>535</v>
      </c>
      <c r="P790" s="75" t="s">
        <v>1883</v>
      </c>
    </row>
    <row r="791" spans="1:16">
      <c r="A791" s="63" t="s">
        <v>4282</v>
      </c>
      <c r="B791" s="14" t="str">
        <f>VLOOKUP(P791,'护理记录单文书字典(数据)'!B$4:C$99,2,0)</f>
        <v>64A4EE350CFAB211D0BA40A010B3FD05</v>
      </c>
      <c r="C791" s="75" t="s">
        <v>3225</v>
      </c>
      <c r="D791" s="75" t="s">
        <v>3226</v>
      </c>
      <c r="E791" s="92" t="s">
        <v>2048</v>
      </c>
      <c r="F791" s="87">
        <v>1</v>
      </c>
      <c r="G791" s="87">
        <v>1</v>
      </c>
      <c r="H791" s="75"/>
      <c r="I791" s="75"/>
      <c r="J791" s="75"/>
      <c r="K791" s="75" t="s">
        <v>162</v>
      </c>
      <c r="L791" s="75" t="s">
        <v>509</v>
      </c>
      <c r="M791" s="75" t="s">
        <v>535</v>
      </c>
      <c r="N791" s="75" t="s">
        <v>509</v>
      </c>
      <c r="O791" s="75" t="s">
        <v>535</v>
      </c>
      <c r="P791" s="75" t="s">
        <v>1883</v>
      </c>
    </row>
    <row r="792" spans="1:16">
      <c r="A792" s="63" t="s">
        <v>4282</v>
      </c>
      <c r="B792" s="14" t="str">
        <f>VLOOKUP(P792,'护理记录单文书字典(数据)'!B$4:C$99,2,0)</f>
        <v>64A4EE350CFAB211D0BA40A010B3FD05</v>
      </c>
      <c r="C792" s="75" t="s">
        <v>3227</v>
      </c>
      <c r="D792" s="75" t="s">
        <v>2791</v>
      </c>
      <c r="E792" s="92" t="s">
        <v>2052</v>
      </c>
      <c r="F792" s="87">
        <v>1</v>
      </c>
      <c r="G792" s="87">
        <v>1</v>
      </c>
      <c r="H792" s="75" t="s">
        <v>2790</v>
      </c>
      <c r="I792" s="75"/>
      <c r="J792" s="75"/>
      <c r="K792" s="75" t="s">
        <v>162</v>
      </c>
      <c r="L792" s="75" t="s">
        <v>509</v>
      </c>
      <c r="M792" s="75" t="s">
        <v>535</v>
      </c>
      <c r="N792" s="75" t="s">
        <v>509</v>
      </c>
      <c r="O792" s="75" t="s">
        <v>535</v>
      </c>
      <c r="P792" s="75" t="s">
        <v>1883</v>
      </c>
    </row>
    <row r="793" spans="1:16">
      <c r="A793" s="63" t="s">
        <v>4282</v>
      </c>
      <c r="B793" s="14" t="str">
        <f>VLOOKUP(P793,'护理记录单文书字典(数据)'!B$4:C$99,2,0)</f>
        <v>64A4EE350CFAB211D0BA40A010B3FD05</v>
      </c>
      <c r="C793" s="75" t="s">
        <v>3228</v>
      </c>
      <c r="D793" s="75" t="s">
        <v>3229</v>
      </c>
      <c r="E793" s="92" t="s">
        <v>2048</v>
      </c>
      <c r="F793" s="87">
        <v>1</v>
      </c>
      <c r="G793" s="87">
        <v>1</v>
      </c>
      <c r="H793" s="75"/>
      <c r="I793" s="75"/>
      <c r="J793" s="75"/>
      <c r="K793" s="75" t="s">
        <v>162</v>
      </c>
      <c r="L793" s="75" t="s">
        <v>509</v>
      </c>
      <c r="M793" s="75" t="s">
        <v>535</v>
      </c>
      <c r="N793" s="75" t="s">
        <v>509</v>
      </c>
      <c r="O793" s="75" t="s">
        <v>535</v>
      </c>
      <c r="P793" s="75" t="s">
        <v>1883</v>
      </c>
    </row>
    <row r="794" spans="1:16">
      <c r="A794" s="63" t="s">
        <v>4282</v>
      </c>
      <c r="B794" s="14" t="str">
        <f>VLOOKUP(P794,'护理记录单文书字典(数据)'!B$4:C$99,2,0)</f>
        <v>64A4EE350CFAB211D0BA40A010B3FD05</v>
      </c>
      <c r="C794" s="75" t="s">
        <v>3230</v>
      </c>
      <c r="D794" s="75" t="s">
        <v>3231</v>
      </c>
      <c r="E794" s="92" t="s">
        <v>2052</v>
      </c>
      <c r="F794" s="87">
        <v>1</v>
      </c>
      <c r="G794" s="87">
        <v>1</v>
      </c>
      <c r="H794" s="75" t="s">
        <v>2750</v>
      </c>
      <c r="I794" s="75"/>
      <c r="J794" s="75"/>
      <c r="K794" s="75" t="s">
        <v>162</v>
      </c>
      <c r="L794" s="75" t="s">
        <v>509</v>
      </c>
      <c r="M794" s="75" t="s">
        <v>535</v>
      </c>
      <c r="N794" s="75" t="s">
        <v>509</v>
      </c>
      <c r="O794" s="75" t="s">
        <v>535</v>
      </c>
      <c r="P794" s="75" t="s">
        <v>1883</v>
      </c>
    </row>
    <row r="795" spans="1:16">
      <c r="A795" s="63" t="s">
        <v>4282</v>
      </c>
      <c r="B795" s="14" t="str">
        <f>VLOOKUP(P795,'护理记录单文书字典(数据)'!B$4:C$99,2,0)</f>
        <v>64A4EE350CFAB211D0BA40A010B3FD05</v>
      </c>
      <c r="C795" s="75" t="s">
        <v>3232</v>
      </c>
      <c r="D795" s="75" t="s">
        <v>3233</v>
      </c>
      <c r="E795" s="92" t="s">
        <v>2048</v>
      </c>
      <c r="F795" s="87">
        <v>1</v>
      </c>
      <c r="G795" s="87">
        <v>1</v>
      </c>
      <c r="H795" s="75"/>
      <c r="I795" s="75"/>
      <c r="J795" s="75"/>
      <c r="K795" s="75" t="s">
        <v>162</v>
      </c>
      <c r="L795" s="75" t="s">
        <v>509</v>
      </c>
      <c r="M795" s="75" t="s">
        <v>535</v>
      </c>
      <c r="N795" s="75" t="s">
        <v>509</v>
      </c>
      <c r="O795" s="75" t="s">
        <v>535</v>
      </c>
      <c r="P795" s="75" t="s">
        <v>1883</v>
      </c>
    </row>
    <row r="796" spans="1:16">
      <c r="A796" s="63" t="s">
        <v>4282</v>
      </c>
      <c r="B796" s="14" t="str">
        <f>VLOOKUP(P796,'护理记录单文书字典(数据)'!B$4:C$99,2,0)</f>
        <v>64A4EE350CFAB211D0BA40A010B3FD05</v>
      </c>
      <c r="C796" s="75" t="s">
        <v>3234</v>
      </c>
      <c r="D796" s="75" t="s">
        <v>2803</v>
      </c>
      <c r="E796" s="92" t="s">
        <v>2052</v>
      </c>
      <c r="F796" s="87">
        <v>1</v>
      </c>
      <c r="G796" s="87">
        <v>1</v>
      </c>
      <c r="H796" s="75" t="s">
        <v>2802</v>
      </c>
      <c r="I796" s="75"/>
      <c r="J796" s="75"/>
      <c r="K796" s="75" t="s">
        <v>162</v>
      </c>
      <c r="L796" s="75" t="s">
        <v>509</v>
      </c>
      <c r="M796" s="75" t="s">
        <v>535</v>
      </c>
      <c r="N796" s="75" t="s">
        <v>509</v>
      </c>
      <c r="O796" s="75" t="s">
        <v>535</v>
      </c>
      <c r="P796" s="75" t="s">
        <v>1883</v>
      </c>
    </row>
    <row r="797" spans="1:16">
      <c r="A797" s="63" t="s">
        <v>4282</v>
      </c>
      <c r="B797" s="14" t="str">
        <f>VLOOKUP(P797,'护理记录单文书字典(数据)'!B$4:C$99,2,0)</f>
        <v>64A4EE350CFAB211D0BA40A010B3FD05</v>
      </c>
      <c r="C797" s="75" t="s">
        <v>3235</v>
      </c>
      <c r="D797" s="75" t="s">
        <v>3236</v>
      </c>
      <c r="E797" s="92" t="s">
        <v>2048</v>
      </c>
      <c r="F797" s="87">
        <v>1</v>
      </c>
      <c r="G797" s="87">
        <v>1</v>
      </c>
      <c r="H797" s="75"/>
      <c r="I797" s="75"/>
      <c r="J797" s="75"/>
      <c r="K797" s="75" t="s">
        <v>162</v>
      </c>
      <c r="L797" s="75" t="s">
        <v>509</v>
      </c>
      <c r="M797" s="75" t="s">
        <v>535</v>
      </c>
      <c r="N797" s="75" t="s">
        <v>509</v>
      </c>
      <c r="O797" s="75" t="s">
        <v>535</v>
      </c>
      <c r="P797" s="75" t="s">
        <v>1883</v>
      </c>
    </row>
    <row r="798" spans="1:16">
      <c r="A798" s="63" t="s">
        <v>4282</v>
      </c>
      <c r="B798" s="14" t="str">
        <f>VLOOKUP(P798,'护理记录单文书字典(数据)'!B$4:C$99,2,0)</f>
        <v>64A4EE350CFAB211D0BA40A010B3FD05</v>
      </c>
      <c r="C798" s="75" t="s">
        <v>3237</v>
      </c>
      <c r="D798" s="75" t="s">
        <v>3238</v>
      </c>
      <c r="E798" s="92" t="s">
        <v>2048</v>
      </c>
      <c r="F798" s="87">
        <v>1</v>
      </c>
      <c r="G798" s="87">
        <v>1</v>
      </c>
      <c r="H798" s="75"/>
      <c r="I798" s="75"/>
      <c r="J798" s="75"/>
      <c r="K798" s="75" t="s">
        <v>162</v>
      </c>
      <c r="L798" s="75" t="s">
        <v>509</v>
      </c>
      <c r="M798" s="75" t="s">
        <v>535</v>
      </c>
      <c r="N798" s="75" t="s">
        <v>509</v>
      </c>
      <c r="O798" s="75" t="s">
        <v>535</v>
      </c>
      <c r="P798" s="75" t="s">
        <v>1883</v>
      </c>
    </row>
    <row r="799" spans="1:16">
      <c r="A799" s="63" t="s">
        <v>4282</v>
      </c>
      <c r="B799" s="14" t="str">
        <f>VLOOKUP(P799,'护理记录单文书字典(数据)'!B$4:C$99,2,0)</f>
        <v>64A4EE350CFAB211D0BA40A010B3FD05</v>
      </c>
      <c r="C799" s="75" t="s">
        <v>3239</v>
      </c>
      <c r="D799" s="75" t="s">
        <v>3240</v>
      </c>
      <c r="E799" s="92" t="s">
        <v>2052</v>
      </c>
      <c r="F799" s="87">
        <v>1</v>
      </c>
      <c r="G799" s="87">
        <v>1</v>
      </c>
      <c r="H799" s="75" t="s">
        <v>2750</v>
      </c>
      <c r="I799" s="75"/>
      <c r="J799" s="75"/>
      <c r="K799" s="75" t="s">
        <v>162</v>
      </c>
      <c r="L799" s="75" t="s">
        <v>509</v>
      </c>
      <c r="M799" s="75" t="s">
        <v>535</v>
      </c>
      <c r="N799" s="75" t="s">
        <v>509</v>
      </c>
      <c r="O799" s="75" t="s">
        <v>535</v>
      </c>
      <c r="P799" s="75" t="s">
        <v>1883</v>
      </c>
    </row>
    <row r="800" spans="1:16">
      <c r="A800" s="63" t="s">
        <v>4282</v>
      </c>
      <c r="B800" s="14" t="str">
        <f>VLOOKUP(P800,'护理记录单文书字典(数据)'!B$4:C$99,2,0)</f>
        <v>64A4EE350CFAB211D0BA40A010B3FD05</v>
      </c>
      <c r="C800" s="75" t="s">
        <v>3241</v>
      </c>
      <c r="D800" s="75" t="s">
        <v>3242</v>
      </c>
      <c r="E800" s="92" t="s">
        <v>2048</v>
      </c>
      <c r="F800" s="87">
        <v>1</v>
      </c>
      <c r="G800" s="87">
        <v>1</v>
      </c>
      <c r="H800" s="75"/>
      <c r="I800" s="75"/>
      <c r="J800" s="75"/>
      <c r="K800" s="75" t="s">
        <v>162</v>
      </c>
      <c r="L800" s="75" t="s">
        <v>509</v>
      </c>
      <c r="M800" s="75" t="s">
        <v>535</v>
      </c>
      <c r="N800" s="75" t="s">
        <v>509</v>
      </c>
      <c r="O800" s="75" t="s">
        <v>535</v>
      </c>
      <c r="P800" s="75" t="s">
        <v>1883</v>
      </c>
    </row>
    <row r="801" spans="1:16">
      <c r="A801" s="63" t="s">
        <v>4282</v>
      </c>
      <c r="B801" s="14" t="str">
        <f>VLOOKUP(P801,'护理记录单文书字典(数据)'!B$4:C$99,2,0)</f>
        <v>64A4EE350CFAB211D0BA40A010B3FD05</v>
      </c>
      <c r="C801" s="75" t="s">
        <v>3243</v>
      </c>
      <c r="D801" s="75" t="s">
        <v>3244</v>
      </c>
      <c r="E801" s="92" t="s">
        <v>2048</v>
      </c>
      <c r="F801" s="87">
        <v>1</v>
      </c>
      <c r="G801" s="87">
        <v>1</v>
      </c>
      <c r="H801" s="75"/>
      <c r="I801" s="75"/>
      <c r="J801" s="75"/>
      <c r="K801" s="75" t="s">
        <v>162</v>
      </c>
      <c r="L801" s="75" t="s">
        <v>509</v>
      </c>
      <c r="M801" s="75" t="s">
        <v>535</v>
      </c>
      <c r="N801" s="75" t="s">
        <v>509</v>
      </c>
      <c r="O801" s="75" t="s">
        <v>535</v>
      </c>
      <c r="P801" s="75" t="s">
        <v>1883</v>
      </c>
    </row>
    <row r="802" spans="1:16">
      <c r="A802" s="63" t="s">
        <v>4282</v>
      </c>
      <c r="B802" s="14" t="str">
        <f>VLOOKUP(P802,'护理记录单文书字典(数据)'!B$4:C$99,2,0)</f>
        <v>64A4EE350CFAB211D0BA40A010B3FD05</v>
      </c>
      <c r="C802" s="75" t="s">
        <v>3245</v>
      </c>
      <c r="D802" s="75" t="s">
        <v>3246</v>
      </c>
      <c r="E802" s="92" t="s">
        <v>2048</v>
      </c>
      <c r="F802" s="87">
        <v>1</v>
      </c>
      <c r="G802" s="87">
        <v>1</v>
      </c>
      <c r="H802" s="75"/>
      <c r="I802" s="75"/>
      <c r="J802" s="75"/>
      <c r="K802" s="75" t="s">
        <v>162</v>
      </c>
      <c r="L802" s="75" t="s">
        <v>509</v>
      </c>
      <c r="M802" s="75" t="s">
        <v>535</v>
      </c>
      <c r="N802" s="75" t="s">
        <v>509</v>
      </c>
      <c r="O802" s="75" t="s">
        <v>535</v>
      </c>
      <c r="P802" s="75" t="s">
        <v>1883</v>
      </c>
    </row>
    <row r="803" spans="1:16">
      <c r="A803" s="198" t="s">
        <v>4282</v>
      </c>
      <c r="B803" s="14" t="str">
        <f>VLOOKUP(P803,'护理记录单文书字典(数据)'!B$4:C$99,2,0)</f>
        <v>64A4EE350CFAB211D0BA40A010B3FD05</v>
      </c>
      <c r="C803" s="200" t="s">
        <v>3247</v>
      </c>
      <c r="D803" s="200" t="s">
        <v>3248</v>
      </c>
      <c r="E803" s="203" t="s">
        <v>4653</v>
      </c>
      <c r="F803" s="172">
        <v>1</v>
      </c>
      <c r="G803" s="172">
        <v>1</v>
      </c>
      <c r="H803" s="200" t="s">
        <v>624</v>
      </c>
      <c r="I803" s="200"/>
      <c r="J803" s="200"/>
      <c r="K803" s="200" t="s">
        <v>162</v>
      </c>
      <c r="L803" s="200" t="s">
        <v>509</v>
      </c>
      <c r="M803" s="200" t="s">
        <v>535</v>
      </c>
      <c r="N803" s="200" t="s">
        <v>509</v>
      </c>
      <c r="O803" s="200" t="s">
        <v>535</v>
      </c>
      <c r="P803" s="200" t="s">
        <v>1883</v>
      </c>
    </row>
    <row r="804" spans="1:16">
      <c r="A804" s="198" t="s">
        <v>4282</v>
      </c>
      <c r="B804" s="14" t="str">
        <f>VLOOKUP(P804,'护理记录单文书字典(数据)'!B$4:C$99,2,0)</f>
        <v>64A4EE350CFAB211D0BA40A010B3FD05</v>
      </c>
      <c r="C804" s="200" t="s">
        <v>3249</v>
      </c>
      <c r="D804" s="200" t="s">
        <v>1882</v>
      </c>
      <c r="E804" s="202" t="s">
        <v>2052</v>
      </c>
      <c r="F804" s="172">
        <v>1</v>
      </c>
      <c r="G804" s="172">
        <v>1</v>
      </c>
      <c r="H804" s="204" t="s">
        <v>1881</v>
      </c>
      <c r="I804" s="200"/>
      <c r="J804" s="200"/>
      <c r="K804" s="200" t="s">
        <v>162</v>
      </c>
      <c r="L804" s="200" t="s">
        <v>509</v>
      </c>
      <c r="M804" s="200" t="s">
        <v>535</v>
      </c>
      <c r="N804" s="200" t="s">
        <v>509</v>
      </c>
      <c r="O804" s="200" t="s">
        <v>535</v>
      </c>
      <c r="P804" s="200" t="s">
        <v>1883</v>
      </c>
    </row>
    <row r="805" spans="1:16">
      <c r="A805" s="198" t="s">
        <v>4282</v>
      </c>
      <c r="B805" s="14" t="str">
        <f>VLOOKUP(P805,'护理记录单文书字典(数据)'!B$4:C$99,2,0)</f>
        <v>64A4EE350CFAB211D0BA40A010B3FD05</v>
      </c>
      <c r="C805" s="200" t="s">
        <v>3250</v>
      </c>
      <c r="D805" s="200" t="s">
        <v>3251</v>
      </c>
      <c r="E805" s="203" t="s">
        <v>4653</v>
      </c>
      <c r="F805" s="172">
        <v>1</v>
      </c>
      <c r="G805" s="172">
        <v>1</v>
      </c>
      <c r="H805" s="200" t="s">
        <v>625</v>
      </c>
      <c r="I805" s="200"/>
      <c r="J805" s="200"/>
      <c r="K805" s="200" t="s">
        <v>162</v>
      </c>
      <c r="L805" s="200" t="s">
        <v>509</v>
      </c>
      <c r="M805" s="200" t="s">
        <v>535</v>
      </c>
      <c r="N805" s="200" t="s">
        <v>509</v>
      </c>
      <c r="O805" s="200" t="s">
        <v>535</v>
      </c>
      <c r="P805" s="200" t="s">
        <v>1883</v>
      </c>
    </row>
    <row r="806" spans="1:16">
      <c r="A806" s="198" t="s">
        <v>4282</v>
      </c>
      <c r="B806" s="14" t="str">
        <f>VLOOKUP(P806,'护理记录单文书字典(数据)'!B$4:C$99,2,0)</f>
        <v>64A4EE350CFAB211D0BA40A010B3FD05</v>
      </c>
      <c r="C806" s="200" t="s">
        <v>3252</v>
      </c>
      <c r="D806" s="200" t="s">
        <v>1885</v>
      </c>
      <c r="E806" s="202" t="s">
        <v>2052</v>
      </c>
      <c r="F806" s="172">
        <v>1</v>
      </c>
      <c r="G806" s="172">
        <v>1</v>
      </c>
      <c r="H806" s="204" t="s">
        <v>1884</v>
      </c>
      <c r="I806" s="200"/>
      <c r="J806" s="200"/>
      <c r="K806" s="200" t="s">
        <v>162</v>
      </c>
      <c r="L806" s="200" t="s">
        <v>509</v>
      </c>
      <c r="M806" s="200" t="s">
        <v>535</v>
      </c>
      <c r="N806" s="200" t="s">
        <v>509</v>
      </c>
      <c r="O806" s="200" t="s">
        <v>535</v>
      </c>
      <c r="P806" s="200" t="s">
        <v>1883</v>
      </c>
    </row>
    <row r="807" spans="1:16">
      <c r="A807" s="198" t="s">
        <v>4282</v>
      </c>
      <c r="B807" s="14" t="str">
        <f>VLOOKUP(P807,'护理记录单文书字典(数据)'!B$4:C$99,2,0)</f>
        <v>64A4EE350CFAB211D0BA40A010B3FD05</v>
      </c>
      <c r="C807" s="200" t="s">
        <v>3253</v>
      </c>
      <c r="D807" s="200" t="s">
        <v>3254</v>
      </c>
      <c r="E807" s="203" t="s">
        <v>4653</v>
      </c>
      <c r="F807" s="172">
        <v>1</v>
      </c>
      <c r="G807" s="172">
        <v>1</v>
      </c>
      <c r="H807" s="200" t="s">
        <v>626</v>
      </c>
      <c r="I807" s="200"/>
      <c r="J807" s="200"/>
      <c r="K807" s="200" t="s">
        <v>162</v>
      </c>
      <c r="L807" s="200" t="s">
        <v>509</v>
      </c>
      <c r="M807" s="200" t="s">
        <v>535</v>
      </c>
      <c r="N807" s="200" t="s">
        <v>509</v>
      </c>
      <c r="O807" s="200" t="s">
        <v>535</v>
      </c>
      <c r="P807" s="200" t="s">
        <v>1883</v>
      </c>
    </row>
    <row r="808" spans="1:16">
      <c r="A808" s="198" t="s">
        <v>4282</v>
      </c>
      <c r="B808" s="14" t="str">
        <f>VLOOKUP(P808,'护理记录单文书字典(数据)'!B$4:C$99,2,0)</f>
        <v>64A4EE350CFAB211D0BA40A010B3FD05</v>
      </c>
      <c r="C808" s="200" t="s">
        <v>4642</v>
      </c>
      <c r="D808" s="200" t="s">
        <v>4643</v>
      </c>
      <c r="E808" s="202" t="s">
        <v>2052</v>
      </c>
      <c r="F808" s="172">
        <v>1</v>
      </c>
      <c r="G808" s="172">
        <v>1</v>
      </c>
      <c r="H808" s="204" t="s">
        <v>1889</v>
      </c>
      <c r="I808" s="200"/>
      <c r="J808" s="200"/>
      <c r="K808" s="200" t="s">
        <v>162</v>
      </c>
      <c r="L808" s="200" t="s">
        <v>509</v>
      </c>
      <c r="M808" s="200" t="s">
        <v>535</v>
      </c>
      <c r="N808" s="200" t="s">
        <v>509</v>
      </c>
      <c r="O808" s="200" t="s">
        <v>535</v>
      </c>
      <c r="P808" s="200" t="s">
        <v>1883</v>
      </c>
    </row>
    <row r="809" spans="1:16">
      <c r="A809" s="198" t="s">
        <v>4282</v>
      </c>
      <c r="B809" s="14" t="str">
        <f>VLOOKUP(P809,'护理记录单文书字典(数据)'!B$4:C$99,2,0)</f>
        <v>64A4EE350CFAB211D0BA40A010B3FD05</v>
      </c>
      <c r="C809" s="200" t="s">
        <v>3255</v>
      </c>
      <c r="D809" s="200" t="s">
        <v>3256</v>
      </c>
      <c r="E809" s="202" t="s">
        <v>2052</v>
      </c>
      <c r="F809" s="172">
        <v>1</v>
      </c>
      <c r="G809" s="172">
        <v>1</v>
      </c>
      <c r="H809" s="204" t="s">
        <v>1893</v>
      </c>
      <c r="I809" s="200"/>
      <c r="J809" s="200"/>
      <c r="K809" s="200" t="s">
        <v>162</v>
      </c>
      <c r="L809" s="200" t="s">
        <v>509</v>
      </c>
      <c r="M809" s="200" t="s">
        <v>535</v>
      </c>
      <c r="N809" s="200" t="s">
        <v>509</v>
      </c>
      <c r="O809" s="200" t="s">
        <v>535</v>
      </c>
      <c r="P809" s="200" t="s">
        <v>1883</v>
      </c>
    </row>
    <row r="810" spans="1:16">
      <c r="A810" s="198" t="s">
        <v>4282</v>
      </c>
      <c r="B810" s="14" t="str">
        <f>VLOOKUP(P810,'护理记录单文书字典(数据)'!B$4:C$99,2,0)</f>
        <v>64A4EE350CFAB211D0BA40A010B3FD05</v>
      </c>
      <c r="C810" s="200" t="s">
        <v>2105</v>
      </c>
      <c r="D810" s="200" t="s">
        <v>2103</v>
      </c>
      <c r="E810" s="202" t="s">
        <v>2104</v>
      </c>
      <c r="F810" s="172">
        <v>1</v>
      </c>
      <c r="G810" s="172">
        <v>1</v>
      </c>
      <c r="H810" s="200"/>
      <c r="I810" s="200"/>
      <c r="J810" s="200"/>
      <c r="K810" s="200" t="s">
        <v>162</v>
      </c>
      <c r="L810" s="200" t="s">
        <v>509</v>
      </c>
      <c r="M810" s="200" t="s">
        <v>535</v>
      </c>
      <c r="N810" s="200" t="s">
        <v>509</v>
      </c>
      <c r="O810" s="200" t="s">
        <v>535</v>
      </c>
      <c r="P810" s="200" t="s">
        <v>1883</v>
      </c>
    </row>
    <row r="811" spans="1:16">
      <c r="A811" s="198" t="s">
        <v>4282</v>
      </c>
      <c r="B811" s="14" t="str">
        <f>VLOOKUP(P811,'护理记录单文书字典(数据)'!B$4:C$99,2,0)</f>
        <v>54D5E2340CFAB2117BB8131127184C13</v>
      </c>
      <c r="C811" s="200" t="s">
        <v>2046</v>
      </c>
      <c r="D811" s="200" t="s">
        <v>2047</v>
      </c>
      <c r="E811" s="202" t="s">
        <v>2048</v>
      </c>
      <c r="F811" s="172">
        <v>1</v>
      </c>
      <c r="G811" s="172">
        <v>1</v>
      </c>
      <c r="H811" s="200"/>
      <c r="I811" s="200"/>
      <c r="J811" s="200"/>
      <c r="K811" s="200" t="s">
        <v>162</v>
      </c>
      <c r="L811" s="200" t="s">
        <v>509</v>
      </c>
      <c r="M811" s="200" t="s">
        <v>535</v>
      </c>
      <c r="N811" s="200" t="s">
        <v>509</v>
      </c>
      <c r="O811" s="200" t="s">
        <v>535</v>
      </c>
      <c r="P811" s="200" t="s">
        <v>1089</v>
      </c>
    </row>
    <row r="812" spans="1:16">
      <c r="A812" s="198" t="s">
        <v>4282</v>
      </c>
      <c r="B812" s="14" t="str">
        <f>VLOOKUP(P812,'护理记录单文书字典(数据)'!B$4:C$99,2,0)</f>
        <v>54D5E2340CFAB2117BB8131127184C13</v>
      </c>
      <c r="C812" s="200" t="s">
        <v>3257</v>
      </c>
      <c r="D812" s="200" t="s">
        <v>3258</v>
      </c>
      <c r="E812" s="202" t="s">
        <v>2048</v>
      </c>
      <c r="F812" s="172">
        <v>1</v>
      </c>
      <c r="G812" s="172">
        <v>1</v>
      </c>
      <c r="H812" s="200"/>
      <c r="I812" s="200"/>
      <c r="J812" s="200"/>
      <c r="K812" s="200" t="s">
        <v>162</v>
      </c>
      <c r="L812" s="200" t="s">
        <v>509</v>
      </c>
      <c r="M812" s="200" t="s">
        <v>535</v>
      </c>
      <c r="N812" s="200" t="s">
        <v>509</v>
      </c>
      <c r="O812" s="200" t="s">
        <v>535</v>
      </c>
      <c r="P812" s="200" t="s">
        <v>1089</v>
      </c>
    </row>
    <row r="813" spans="1:16">
      <c r="A813" s="63" t="s">
        <v>4282</v>
      </c>
      <c r="B813" s="14" t="str">
        <f>VLOOKUP(P813,'护理记录单文书字典(数据)'!B$4:C$99,2,0)</f>
        <v>54D5E2340CFAB2117BB8131127184C13</v>
      </c>
      <c r="C813" s="75" t="s">
        <v>2587</v>
      </c>
      <c r="D813" s="75" t="s">
        <v>1087</v>
      </c>
      <c r="E813" s="92" t="s">
        <v>2052</v>
      </c>
      <c r="F813" s="87">
        <v>1</v>
      </c>
      <c r="G813" s="87">
        <v>1</v>
      </c>
      <c r="H813" s="75" t="s">
        <v>1086</v>
      </c>
      <c r="I813" s="75"/>
      <c r="J813" s="75"/>
      <c r="K813" s="75" t="s">
        <v>162</v>
      </c>
      <c r="L813" s="75" t="s">
        <v>509</v>
      </c>
      <c r="M813" s="75" t="s">
        <v>535</v>
      </c>
      <c r="N813" s="75" t="s">
        <v>509</v>
      </c>
      <c r="O813" s="75" t="s">
        <v>535</v>
      </c>
      <c r="P813" s="75" t="s">
        <v>1089</v>
      </c>
    </row>
    <row r="814" spans="1:16">
      <c r="A814" s="63" t="s">
        <v>4282</v>
      </c>
      <c r="B814" s="14" t="str">
        <f>VLOOKUP(P814,'护理记录单文书字典(数据)'!B$4:C$99,2,0)</f>
        <v>54D5E2340CFAB2117BB8131127184C13</v>
      </c>
      <c r="C814" s="75" t="s">
        <v>2597</v>
      </c>
      <c r="D814" s="75" t="s">
        <v>2598</v>
      </c>
      <c r="E814" s="92" t="s">
        <v>2048</v>
      </c>
      <c r="F814" s="87">
        <v>1</v>
      </c>
      <c r="G814" s="87">
        <v>1</v>
      </c>
      <c r="H814" s="75"/>
      <c r="I814" s="75"/>
      <c r="J814" s="75"/>
      <c r="K814" s="75" t="s">
        <v>162</v>
      </c>
      <c r="L814" s="75" t="s">
        <v>509</v>
      </c>
      <c r="M814" s="75" t="s">
        <v>535</v>
      </c>
      <c r="N814" s="75" t="s">
        <v>509</v>
      </c>
      <c r="O814" s="75" t="s">
        <v>535</v>
      </c>
      <c r="P814" s="75" t="s">
        <v>1089</v>
      </c>
    </row>
    <row r="815" spans="1:16">
      <c r="A815" s="63" t="s">
        <v>4282</v>
      </c>
      <c r="B815" s="14" t="str">
        <f>VLOOKUP(P815,'护理记录单文书字典(数据)'!B$4:C$99,2,0)</f>
        <v>54D5E2340CFAB2117BB8131127184C13</v>
      </c>
      <c r="C815" s="75" t="s">
        <v>3259</v>
      </c>
      <c r="D815" s="75" t="s">
        <v>3260</v>
      </c>
      <c r="E815" s="92" t="s">
        <v>2048</v>
      </c>
      <c r="F815" s="87">
        <v>1</v>
      </c>
      <c r="G815" s="87">
        <v>1</v>
      </c>
      <c r="H815" s="75"/>
      <c r="I815" s="75"/>
      <c r="J815" s="75"/>
      <c r="K815" s="75" t="s">
        <v>162</v>
      </c>
      <c r="L815" s="75" t="s">
        <v>509</v>
      </c>
      <c r="M815" s="75" t="s">
        <v>535</v>
      </c>
      <c r="N815" s="75" t="s">
        <v>509</v>
      </c>
      <c r="O815" s="75" t="s">
        <v>535</v>
      </c>
      <c r="P815" s="75" t="s">
        <v>1089</v>
      </c>
    </row>
    <row r="816" spans="1:16">
      <c r="A816" s="63" t="s">
        <v>4282</v>
      </c>
      <c r="B816" s="14" t="str">
        <f>VLOOKUP(P816,'护理记录单文书字典(数据)'!B$4:C$99,2,0)</f>
        <v>54D5E2340CFAB2117BB8131127184C13</v>
      </c>
      <c r="C816" s="75" t="s">
        <v>3261</v>
      </c>
      <c r="D816" s="75" t="s">
        <v>3262</v>
      </c>
      <c r="E816" s="92" t="s">
        <v>2048</v>
      </c>
      <c r="F816" s="87">
        <v>1</v>
      </c>
      <c r="G816" s="87">
        <v>1</v>
      </c>
      <c r="H816" s="75"/>
      <c r="I816" s="75"/>
      <c r="J816" s="75"/>
      <c r="K816" s="75" t="s">
        <v>162</v>
      </c>
      <c r="L816" s="75" t="s">
        <v>509</v>
      </c>
      <c r="M816" s="75" t="s">
        <v>535</v>
      </c>
      <c r="N816" s="75" t="s">
        <v>509</v>
      </c>
      <c r="O816" s="75" t="s">
        <v>535</v>
      </c>
      <c r="P816" s="75" t="s">
        <v>1089</v>
      </c>
    </row>
    <row r="817" spans="1:16">
      <c r="A817" s="63" t="s">
        <v>4282</v>
      </c>
      <c r="B817" s="14" t="str">
        <f>VLOOKUP(P817,'护理记录单文书字典(数据)'!B$4:C$99,2,0)</f>
        <v>54D5E2340CFAB2117BB8131127184C13</v>
      </c>
      <c r="C817" s="75" t="s">
        <v>3263</v>
      </c>
      <c r="D817" s="75" t="s">
        <v>3264</v>
      </c>
      <c r="E817" s="92" t="s">
        <v>2048</v>
      </c>
      <c r="F817" s="87">
        <v>1</v>
      </c>
      <c r="G817" s="87">
        <v>1</v>
      </c>
      <c r="H817" s="75"/>
      <c r="I817" s="75"/>
      <c r="J817" s="75"/>
      <c r="K817" s="75" t="s">
        <v>162</v>
      </c>
      <c r="L817" s="75" t="s">
        <v>509</v>
      </c>
      <c r="M817" s="75" t="s">
        <v>535</v>
      </c>
      <c r="N817" s="75" t="s">
        <v>509</v>
      </c>
      <c r="O817" s="75" t="s">
        <v>535</v>
      </c>
      <c r="P817" s="75" t="s">
        <v>1089</v>
      </c>
    </row>
    <row r="818" spans="1:16">
      <c r="A818" s="63" t="s">
        <v>4282</v>
      </c>
      <c r="B818" s="14" t="str">
        <f>VLOOKUP(P818,'护理记录单文书字典(数据)'!B$4:C$99,2,0)</f>
        <v>54D5E2340CFAB2117BB8131127184C13</v>
      </c>
      <c r="C818" s="75" t="s">
        <v>3265</v>
      </c>
      <c r="D818" s="75" t="s">
        <v>1095</v>
      </c>
      <c r="E818" s="92" t="s">
        <v>2052</v>
      </c>
      <c r="F818" s="87">
        <v>1</v>
      </c>
      <c r="G818" s="87">
        <v>1</v>
      </c>
      <c r="H818" s="75" t="s">
        <v>1094</v>
      </c>
      <c r="I818" s="75"/>
      <c r="J818" s="75"/>
      <c r="K818" s="75" t="s">
        <v>162</v>
      </c>
      <c r="L818" s="75" t="s">
        <v>509</v>
      </c>
      <c r="M818" s="75" t="s">
        <v>535</v>
      </c>
      <c r="N818" s="75" t="s">
        <v>509</v>
      </c>
      <c r="O818" s="75" t="s">
        <v>535</v>
      </c>
      <c r="P818" s="75" t="s">
        <v>1089</v>
      </c>
    </row>
    <row r="819" spans="1:16">
      <c r="A819" s="63" t="s">
        <v>4282</v>
      </c>
      <c r="B819" s="14" t="str">
        <f>VLOOKUP(P819,'护理记录单文书字典(数据)'!B$4:C$99,2,0)</f>
        <v>54D5E2340CFAB2117BB8131127184C13</v>
      </c>
      <c r="C819" s="75" t="s">
        <v>3266</v>
      </c>
      <c r="D819" s="75" t="s">
        <v>1100</v>
      </c>
      <c r="E819" s="92" t="s">
        <v>2052</v>
      </c>
      <c r="F819" s="87">
        <v>1</v>
      </c>
      <c r="G819" s="87">
        <v>1</v>
      </c>
      <c r="H819" s="75" t="s">
        <v>1099</v>
      </c>
      <c r="I819" s="75"/>
      <c r="J819" s="75"/>
      <c r="K819" s="75" t="s">
        <v>162</v>
      </c>
      <c r="L819" s="75" t="s">
        <v>509</v>
      </c>
      <c r="M819" s="75" t="s">
        <v>535</v>
      </c>
      <c r="N819" s="75" t="s">
        <v>509</v>
      </c>
      <c r="O819" s="75" t="s">
        <v>535</v>
      </c>
      <c r="P819" s="75" t="s">
        <v>1089</v>
      </c>
    </row>
    <row r="820" spans="1:16">
      <c r="A820" s="63" t="s">
        <v>4282</v>
      </c>
      <c r="B820" s="14" t="str">
        <f>VLOOKUP(P820,'护理记录单文书字典(数据)'!B$4:C$99,2,0)</f>
        <v>54D5E2340CFAB2117BB8131127184C13</v>
      </c>
      <c r="C820" s="75" t="s">
        <v>3267</v>
      </c>
      <c r="D820" s="75" t="s">
        <v>1104</v>
      </c>
      <c r="E820" s="92" t="s">
        <v>2052</v>
      </c>
      <c r="F820" s="87">
        <v>1</v>
      </c>
      <c r="G820" s="87">
        <v>1</v>
      </c>
      <c r="H820" s="75" t="s">
        <v>1103</v>
      </c>
      <c r="I820" s="75"/>
      <c r="J820" s="75"/>
      <c r="K820" s="75" t="s">
        <v>162</v>
      </c>
      <c r="L820" s="75" t="s">
        <v>509</v>
      </c>
      <c r="M820" s="75" t="s">
        <v>535</v>
      </c>
      <c r="N820" s="75" t="s">
        <v>509</v>
      </c>
      <c r="O820" s="75" t="s">
        <v>535</v>
      </c>
      <c r="P820" s="75" t="s">
        <v>1089</v>
      </c>
    </row>
    <row r="821" spans="1:16">
      <c r="A821" s="63" t="s">
        <v>4282</v>
      </c>
      <c r="B821" s="14" t="str">
        <f>VLOOKUP(P821,'护理记录单文书字典(数据)'!B$4:C$99,2,0)</f>
        <v>54D5E2340CFAB2117BB8131127184C13</v>
      </c>
      <c r="C821" s="75" t="s">
        <v>2905</v>
      </c>
      <c r="D821" s="75" t="s">
        <v>1317</v>
      </c>
      <c r="E821" s="92" t="s">
        <v>2048</v>
      </c>
      <c r="F821" s="87">
        <v>1</v>
      </c>
      <c r="G821" s="87">
        <v>1</v>
      </c>
      <c r="H821" s="75"/>
      <c r="I821" s="75"/>
      <c r="J821" s="75"/>
      <c r="K821" s="75" t="s">
        <v>162</v>
      </c>
      <c r="L821" s="75" t="s">
        <v>509</v>
      </c>
      <c r="M821" s="75" t="s">
        <v>535</v>
      </c>
      <c r="N821" s="75" t="s">
        <v>509</v>
      </c>
      <c r="O821" s="75" t="s">
        <v>535</v>
      </c>
      <c r="P821" s="75" t="s">
        <v>1089</v>
      </c>
    </row>
    <row r="822" spans="1:16">
      <c r="A822" s="63" t="s">
        <v>4282</v>
      </c>
      <c r="B822" s="14" t="str">
        <f>VLOOKUP(P822,'护理记录单文书字典(数据)'!B$4:C$99,2,0)</f>
        <v>54D5E2340CFAB2117BB8131127184C13</v>
      </c>
      <c r="C822" s="75" t="s">
        <v>3268</v>
      </c>
      <c r="D822" s="75" t="s">
        <v>1131</v>
      </c>
      <c r="E822" s="92" t="s">
        <v>2048</v>
      </c>
      <c r="F822" s="87">
        <v>1</v>
      </c>
      <c r="G822" s="87">
        <v>1</v>
      </c>
      <c r="H822" s="75"/>
      <c r="I822" s="75"/>
      <c r="J822" s="75"/>
      <c r="K822" s="75" t="s">
        <v>162</v>
      </c>
      <c r="L822" s="75" t="s">
        <v>509</v>
      </c>
      <c r="M822" s="75" t="s">
        <v>535</v>
      </c>
      <c r="N822" s="75" t="s">
        <v>509</v>
      </c>
      <c r="O822" s="75" t="s">
        <v>535</v>
      </c>
      <c r="P822" s="75" t="s">
        <v>1089</v>
      </c>
    </row>
    <row r="823" spans="1:16">
      <c r="A823" s="63" t="s">
        <v>4282</v>
      </c>
      <c r="B823" s="14" t="str">
        <f>VLOOKUP(P823,'护理记录单文书字典(数据)'!B$4:C$99,2,0)</f>
        <v>54D5E2340CFAB2117BB8131127184C13</v>
      </c>
      <c r="C823" s="75" t="s">
        <v>2112</v>
      </c>
      <c r="D823" s="75" t="s">
        <v>2978</v>
      </c>
      <c r="E823" s="92" t="s">
        <v>2048</v>
      </c>
      <c r="F823" s="87">
        <v>1</v>
      </c>
      <c r="G823" s="87">
        <v>1</v>
      </c>
      <c r="H823" s="75"/>
      <c r="I823" s="75"/>
      <c r="J823" s="75"/>
      <c r="K823" s="75" t="s">
        <v>162</v>
      </c>
      <c r="L823" s="75" t="s">
        <v>509</v>
      </c>
      <c r="M823" s="75" t="s">
        <v>535</v>
      </c>
      <c r="N823" s="75" t="s">
        <v>509</v>
      </c>
      <c r="O823" s="75" t="s">
        <v>535</v>
      </c>
      <c r="P823" s="75" t="s">
        <v>1089</v>
      </c>
    </row>
    <row r="824" spans="1:16">
      <c r="A824" s="63" t="s">
        <v>4282</v>
      </c>
      <c r="B824" s="14" t="str">
        <f>VLOOKUP(P824,'护理记录单文书字典(数据)'!B$4:C$99,2,0)</f>
        <v>54D5E2340CFAB2117BB8131127184C13</v>
      </c>
      <c r="C824" s="75" t="s">
        <v>2856</v>
      </c>
      <c r="D824" s="75" t="s">
        <v>2857</v>
      </c>
      <c r="E824" s="92" t="s">
        <v>2048</v>
      </c>
      <c r="F824" s="87">
        <v>1</v>
      </c>
      <c r="G824" s="87">
        <v>1</v>
      </c>
      <c r="H824" s="75"/>
      <c r="I824" s="75"/>
      <c r="J824" s="75"/>
      <c r="K824" s="75" t="s">
        <v>162</v>
      </c>
      <c r="L824" s="75" t="s">
        <v>509</v>
      </c>
      <c r="M824" s="75" t="s">
        <v>535</v>
      </c>
      <c r="N824" s="75" t="s">
        <v>509</v>
      </c>
      <c r="O824" s="75" t="s">
        <v>535</v>
      </c>
      <c r="P824" s="75" t="s">
        <v>1089</v>
      </c>
    </row>
    <row r="825" spans="1:16">
      <c r="A825" s="63" t="s">
        <v>4282</v>
      </c>
      <c r="B825" s="14" t="str">
        <f>VLOOKUP(P825,'护理记录单文书字典(数据)'!B$4:C$99,2,0)</f>
        <v>54D5E2340CFAB2117BB8131127184C13</v>
      </c>
      <c r="C825" s="75" t="s">
        <v>2859</v>
      </c>
      <c r="D825" s="75" t="s">
        <v>2860</v>
      </c>
      <c r="E825" s="92" t="s">
        <v>2048</v>
      </c>
      <c r="F825" s="87">
        <v>1</v>
      </c>
      <c r="G825" s="87">
        <v>1</v>
      </c>
      <c r="H825" s="75"/>
      <c r="I825" s="75"/>
      <c r="J825" s="75"/>
      <c r="K825" s="75" t="s">
        <v>162</v>
      </c>
      <c r="L825" s="75" t="s">
        <v>509</v>
      </c>
      <c r="M825" s="75" t="s">
        <v>535</v>
      </c>
      <c r="N825" s="75" t="s">
        <v>509</v>
      </c>
      <c r="O825" s="75" t="s">
        <v>535</v>
      </c>
      <c r="P825" s="75" t="s">
        <v>1089</v>
      </c>
    </row>
    <row r="826" spans="1:16">
      <c r="A826" s="63" t="s">
        <v>4282</v>
      </c>
      <c r="B826" s="14" t="str">
        <f>VLOOKUP(P826,'护理记录单文书字典(数据)'!B$4:C$99,2,0)</f>
        <v>54D5E2340CFAB2117BB8131127184C13</v>
      </c>
      <c r="C826" s="75" t="s">
        <v>2863</v>
      </c>
      <c r="D826" s="75" t="s">
        <v>102</v>
      </c>
      <c r="E826" s="92" t="s">
        <v>2048</v>
      </c>
      <c r="F826" s="87">
        <v>1</v>
      </c>
      <c r="G826" s="87">
        <v>1</v>
      </c>
      <c r="H826" s="75"/>
      <c r="I826" s="75"/>
      <c r="J826" s="75"/>
      <c r="K826" s="75" t="s">
        <v>162</v>
      </c>
      <c r="L826" s="75" t="s">
        <v>509</v>
      </c>
      <c r="M826" s="75" t="s">
        <v>535</v>
      </c>
      <c r="N826" s="75" t="s">
        <v>509</v>
      </c>
      <c r="O826" s="75" t="s">
        <v>535</v>
      </c>
      <c r="P826" s="75" t="s">
        <v>1089</v>
      </c>
    </row>
    <row r="827" spans="1:16">
      <c r="A827" s="63" t="s">
        <v>4282</v>
      </c>
      <c r="B827" s="14" t="str">
        <f>VLOOKUP(P827,'护理记录单文书字典(数据)'!B$4:C$99,2,0)</f>
        <v>54D5E2340CFAB2117BB8131127184C13</v>
      </c>
      <c r="C827" s="75" t="s">
        <v>2864</v>
      </c>
      <c r="D827" s="75" t="s">
        <v>101</v>
      </c>
      <c r="E827" s="92" t="s">
        <v>2048</v>
      </c>
      <c r="F827" s="87">
        <v>1</v>
      </c>
      <c r="G827" s="87">
        <v>1</v>
      </c>
      <c r="H827" s="75"/>
      <c r="I827" s="75"/>
      <c r="J827" s="75"/>
      <c r="K827" s="75" t="s">
        <v>162</v>
      </c>
      <c r="L827" s="75" t="s">
        <v>509</v>
      </c>
      <c r="M827" s="75" t="s">
        <v>535</v>
      </c>
      <c r="N827" s="75" t="s">
        <v>509</v>
      </c>
      <c r="O827" s="75" t="s">
        <v>535</v>
      </c>
      <c r="P827" s="75" t="s">
        <v>1089</v>
      </c>
    </row>
    <row r="828" spans="1:16">
      <c r="A828" s="63" t="s">
        <v>4282</v>
      </c>
      <c r="B828" s="14" t="str">
        <f>VLOOKUP(P828,'护理记录单文书字典(数据)'!B$4:C$99,2,0)</f>
        <v>54D5E2340CFAB2117BB8131127184C13</v>
      </c>
      <c r="C828" s="75" t="s">
        <v>3269</v>
      </c>
      <c r="D828" s="75" t="s">
        <v>3270</v>
      </c>
      <c r="E828" s="92" t="s">
        <v>2048</v>
      </c>
      <c r="F828" s="87">
        <v>1</v>
      </c>
      <c r="G828" s="87">
        <v>1</v>
      </c>
      <c r="H828" s="75"/>
      <c r="I828" s="75"/>
      <c r="J828" s="75"/>
      <c r="K828" s="75" t="s">
        <v>162</v>
      </c>
      <c r="L828" s="75" t="s">
        <v>509</v>
      </c>
      <c r="M828" s="75" t="s">
        <v>535</v>
      </c>
      <c r="N828" s="75" t="s">
        <v>509</v>
      </c>
      <c r="O828" s="75" t="s">
        <v>535</v>
      </c>
      <c r="P828" s="75" t="s">
        <v>1089</v>
      </c>
    </row>
    <row r="829" spans="1:16">
      <c r="A829" s="63" t="s">
        <v>4282</v>
      </c>
      <c r="B829" s="14" t="str">
        <f>VLOOKUP(P829,'护理记录单文书字典(数据)'!B$4:C$99,2,0)</f>
        <v>54D5E2340CFAB2117BB8131127184C13</v>
      </c>
      <c r="C829" s="75" t="s">
        <v>2900</v>
      </c>
      <c r="D829" s="75" t="s">
        <v>1154</v>
      </c>
      <c r="E829" s="92" t="s">
        <v>2048</v>
      </c>
      <c r="F829" s="87">
        <v>1</v>
      </c>
      <c r="G829" s="87">
        <v>1</v>
      </c>
      <c r="H829" s="75"/>
      <c r="I829" s="75"/>
      <c r="J829" s="75"/>
      <c r="K829" s="75" t="s">
        <v>162</v>
      </c>
      <c r="L829" s="75" t="s">
        <v>509</v>
      </c>
      <c r="M829" s="75" t="s">
        <v>535</v>
      </c>
      <c r="N829" s="75" t="s">
        <v>509</v>
      </c>
      <c r="O829" s="75" t="s">
        <v>535</v>
      </c>
      <c r="P829" s="75" t="s">
        <v>1089</v>
      </c>
    </row>
    <row r="830" spans="1:16">
      <c r="A830" s="63" t="s">
        <v>4282</v>
      </c>
      <c r="B830" s="14" t="str">
        <f>VLOOKUP(P830,'护理记录单文书字典(数据)'!B$4:C$99,2,0)</f>
        <v>54D5E2340CFAB2117BB8131127184C13</v>
      </c>
      <c r="C830" s="75" t="s">
        <v>2886</v>
      </c>
      <c r="D830" s="75" t="s">
        <v>2887</v>
      </c>
      <c r="E830" s="92" t="s">
        <v>2048</v>
      </c>
      <c r="F830" s="87">
        <v>1</v>
      </c>
      <c r="G830" s="87">
        <v>1</v>
      </c>
      <c r="H830" s="75"/>
      <c r="I830" s="75"/>
      <c r="J830" s="75"/>
      <c r="K830" s="75" t="s">
        <v>162</v>
      </c>
      <c r="L830" s="75" t="s">
        <v>509</v>
      </c>
      <c r="M830" s="75" t="s">
        <v>535</v>
      </c>
      <c r="N830" s="75" t="s">
        <v>509</v>
      </c>
      <c r="O830" s="75" t="s">
        <v>535</v>
      </c>
      <c r="P830" s="75" t="s">
        <v>1089</v>
      </c>
    </row>
    <row r="831" spans="1:16">
      <c r="A831" s="63" t="s">
        <v>4282</v>
      </c>
      <c r="B831" s="14" t="str">
        <f>VLOOKUP(P831,'护理记录单文书字典(数据)'!B$4:C$99,2,0)</f>
        <v>54D5E2340CFAB2117BB8131127184C13</v>
      </c>
      <c r="C831" s="75" t="s">
        <v>2852</v>
      </c>
      <c r="D831" s="75" t="s">
        <v>2853</v>
      </c>
      <c r="E831" s="92" t="s">
        <v>2048</v>
      </c>
      <c r="F831" s="87">
        <v>1</v>
      </c>
      <c r="G831" s="87">
        <v>1</v>
      </c>
      <c r="H831" s="75"/>
      <c r="I831" s="75"/>
      <c r="J831" s="75"/>
      <c r="K831" s="75" t="s">
        <v>162</v>
      </c>
      <c r="L831" s="75" t="s">
        <v>509</v>
      </c>
      <c r="M831" s="75" t="s">
        <v>535</v>
      </c>
      <c r="N831" s="75" t="s">
        <v>509</v>
      </c>
      <c r="O831" s="75" t="s">
        <v>535</v>
      </c>
      <c r="P831" s="75" t="s">
        <v>1089</v>
      </c>
    </row>
    <row r="832" spans="1:16">
      <c r="A832" s="63" t="s">
        <v>4282</v>
      </c>
      <c r="B832" s="14" t="str">
        <f>VLOOKUP(P832,'护理记录单文书字典(数据)'!B$4:C$99,2,0)</f>
        <v>54D5E2340CFAB2117BB8131127184C13</v>
      </c>
      <c r="C832" s="75" t="s">
        <v>2105</v>
      </c>
      <c r="D832" s="75" t="s">
        <v>2103</v>
      </c>
      <c r="E832" s="92" t="s">
        <v>2104</v>
      </c>
      <c r="F832" s="87">
        <v>1</v>
      </c>
      <c r="G832" s="87">
        <v>1</v>
      </c>
      <c r="H832" s="75"/>
      <c r="I832" s="75"/>
      <c r="J832" s="75"/>
      <c r="K832" s="75" t="s">
        <v>162</v>
      </c>
      <c r="L832" s="75" t="s">
        <v>509</v>
      </c>
      <c r="M832" s="75" t="s">
        <v>535</v>
      </c>
      <c r="N832" s="75" t="s">
        <v>509</v>
      </c>
      <c r="O832" s="75" t="s">
        <v>535</v>
      </c>
      <c r="P832" s="75" t="s">
        <v>1089</v>
      </c>
    </row>
    <row r="833" spans="1:16">
      <c r="A833" s="63" t="s">
        <v>4282</v>
      </c>
      <c r="B833" s="14" t="str">
        <f>VLOOKUP(P833,'护理记录单文书字典(数据)'!B$4:C$99,2,0)</f>
        <v>D20BEA340CFAB211D3BF915592730B4C</v>
      </c>
      <c r="C833" s="75" t="s">
        <v>2573</v>
      </c>
      <c r="D833" s="75" t="s">
        <v>3271</v>
      </c>
      <c r="E833" s="92" t="s">
        <v>2048</v>
      </c>
      <c r="F833" s="87">
        <v>1</v>
      </c>
      <c r="G833" s="87">
        <v>1</v>
      </c>
      <c r="H833" s="75"/>
      <c r="I833" s="75"/>
      <c r="J833" s="75"/>
      <c r="K833" s="75" t="s">
        <v>162</v>
      </c>
      <c r="L833" s="75" t="s">
        <v>509</v>
      </c>
      <c r="M833" s="75" t="s">
        <v>535</v>
      </c>
      <c r="N833" s="75" t="s">
        <v>509</v>
      </c>
      <c r="O833" s="75" t="s">
        <v>535</v>
      </c>
      <c r="P833" s="75" t="s">
        <v>1111</v>
      </c>
    </row>
    <row r="834" spans="1:16">
      <c r="A834" s="63" t="s">
        <v>4282</v>
      </c>
      <c r="B834" s="14" t="str">
        <f>VLOOKUP(P834,'护理记录单文书字典(数据)'!B$4:C$99,2,0)</f>
        <v>D20BEA340CFAB211D3BF915592730B4C</v>
      </c>
      <c r="C834" s="75" t="s">
        <v>3272</v>
      </c>
      <c r="D834" s="75" t="s">
        <v>1119</v>
      </c>
      <c r="E834" s="92" t="s">
        <v>2048</v>
      </c>
      <c r="F834" s="87">
        <v>1</v>
      </c>
      <c r="G834" s="87">
        <v>1</v>
      </c>
      <c r="H834" s="75"/>
      <c r="I834" s="75"/>
      <c r="J834" s="75"/>
      <c r="K834" s="75" t="s">
        <v>162</v>
      </c>
      <c r="L834" s="75" t="s">
        <v>509</v>
      </c>
      <c r="M834" s="75" t="s">
        <v>535</v>
      </c>
      <c r="N834" s="75" t="s">
        <v>509</v>
      </c>
      <c r="O834" s="75" t="s">
        <v>535</v>
      </c>
      <c r="P834" s="75" t="s">
        <v>1111</v>
      </c>
    </row>
    <row r="835" spans="1:16">
      <c r="A835" s="63" t="s">
        <v>4282</v>
      </c>
      <c r="B835" s="14" t="str">
        <f>VLOOKUP(P835,'护理记录单文书字典(数据)'!B$4:C$99,2,0)</f>
        <v>D20BEA340CFAB211D3BF915592730B4C</v>
      </c>
      <c r="C835" s="75" t="s">
        <v>3273</v>
      </c>
      <c r="D835" s="75" t="s">
        <v>3274</v>
      </c>
      <c r="E835" s="92" t="s">
        <v>2048</v>
      </c>
      <c r="F835" s="87">
        <v>1</v>
      </c>
      <c r="G835" s="87">
        <v>1</v>
      </c>
      <c r="H835" s="75"/>
      <c r="I835" s="75"/>
      <c r="J835" s="75"/>
      <c r="K835" s="75" t="s">
        <v>162</v>
      </c>
      <c r="L835" s="75" t="s">
        <v>509</v>
      </c>
      <c r="M835" s="75" t="s">
        <v>535</v>
      </c>
      <c r="N835" s="75" t="s">
        <v>509</v>
      </c>
      <c r="O835" s="75" t="s">
        <v>535</v>
      </c>
      <c r="P835" s="75" t="s">
        <v>1111</v>
      </c>
    </row>
    <row r="836" spans="1:16">
      <c r="A836" s="63" t="s">
        <v>4282</v>
      </c>
      <c r="B836" s="14" t="str">
        <f>VLOOKUP(P836,'护理记录单文书字典(数据)'!B$4:C$99,2,0)</f>
        <v>D20BEA340CFAB211D3BF915592730B4C</v>
      </c>
      <c r="C836" s="75" t="s">
        <v>3275</v>
      </c>
      <c r="D836" s="75" t="s">
        <v>3276</v>
      </c>
      <c r="E836" s="92" t="s">
        <v>2048</v>
      </c>
      <c r="F836" s="87">
        <v>1</v>
      </c>
      <c r="G836" s="87">
        <v>1</v>
      </c>
      <c r="H836" s="75"/>
      <c r="I836" s="75"/>
      <c r="J836" s="75"/>
      <c r="K836" s="75" t="s">
        <v>162</v>
      </c>
      <c r="L836" s="75" t="s">
        <v>509</v>
      </c>
      <c r="M836" s="75" t="s">
        <v>535</v>
      </c>
      <c r="N836" s="75" t="s">
        <v>509</v>
      </c>
      <c r="O836" s="75" t="s">
        <v>535</v>
      </c>
      <c r="P836" s="75" t="s">
        <v>1111</v>
      </c>
    </row>
    <row r="837" spans="1:16">
      <c r="A837" s="63" t="s">
        <v>4282</v>
      </c>
      <c r="B837" s="14" t="str">
        <f>VLOOKUP(P837,'护理记录单文书字典(数据)'!B$4:C$99,2,0)</f>
        <v>D20BEA340CFAB211D3BF915592730B4C</v>
      </c>
      <c r="C837" s="75" t="s">
        <v>3277</v>
      </c>
      <c r="D837" s="75" t="s">
        <v>3278</v>
      </c>
      <c r="E837" s="92" t="s">
        <v>2052</v>
      </c>
      <c r="F837" s="87">
        <v>1</v>
      </c>
      <c r="G837" s="87">
        <v>1</v>
      </c>
      <c r="H837" s="75" t="s">
        <v>2812</v>
      </c>
      <c r="I837" s="75"/>
      <c r="J837" s="75"/>
      <c r="K837" s="75" t="s">
        <v>162</v>
      </c>
      <c r="L837" s="75" t="s">
        <v>509</v>
      </c>
      <c r="M837" s="75" t="s">
        <v>535</v>
      </c>
      <c r="N837" s="75" t="s">
        <v>509</v>
      </c>
      <c r="O837" s="75" t="s">
        <v>535</v>
      </c>
      <c r="P837" s="75" t="s">
        <v>1111</v>
      </c>
    </row>
    <row r="838" spans="1:16">
      <c r="A838" s="63" t="s">
        <v>4282</v>
      </c>
      <c r="B838" s="14" t="str">
        <f>VLOOKUP(P838,'护理记录单文书字典(数据)'!B$4:C$99,2,0)</f>
        <v>D20BEA340CFAB211D3BF915592730B4C</v>
      </c>
      <c r="C838" s="75" t="s">
        <v>3279</v>
      </c>
      <c r="D838" s="75" t="s">
        <v>3280</v>
      </c>
      <c r="E838" s="92" t="s">
        <v>2052</v>
      </c>
      <c r="F838" s="87">
        <v>1</v>
      </c>
      <c r="G838" s="87">
        <v>1</v>
      </c>
      <c r="H838" s="75" t="s">
        <v>2812</v>
      </c>
      <c r="I838" s="75"/>
      <c r="J838" s="75"/>
      <c r="K838" s="75" t="s">
        <v>162</v>
      </c>
      <c r="L838" s="75" t="s">
        <v>509</v>
      </c>
      <c r="M838" s="75" t="s">
        <v>535</v>
      </c>
      <c r="N838" s="75" t="s">
        <v>509</v>
      </c>
      <c r="O838" s="75" t="s">
        <v>535</v>
      </c>
      <c r="P838" s="75" t="s">
        <v>1111</v>
      </c>
    </row>
    <row r="839" spans="1:16">
      <c r="A839" s="63" t="s">
        <v>4282</v>
      </c>
      <c r="B839" s="14" t="str">
        <f>VLOOKUP(P839,'护理记录单文书字典(数据)'!B$4:C$99,2,0)</f>
        <v>D20BEA340CFAB211D3BF915592730B4C</v>
      </c>
      <c r="C839" s="75" t="s">
        <v>3281</v>
      </c>
      <c r="D839" s="75" t="s">
        <v>3282</v>
      </c>
      <c r="E839" s="92" t="s">
        <v>2052</v>
      </c>
      <c r="F839" s="87">
        <v>1</v>
      </c>
      <c r="G839" s="87">
        <v>1</v>
      </c>
      <c r="H839" s="75" t="s">
        <v>2812</v>
      </c>
      <c r="I839" s="75"/>
      <c r="J839" s="75"/>
      <c r="K839" s="75" t="s">
        <v>162</v>
      </c>
      <c r="L839" s="75" t="s">
        <v>509</v>
      </c>
      <c r="M839" s="75" t="s">
        <v>535</v>
      </c>
      <c r="N839" s="75" t="s">
        <v>509</v>
      </c>
      <c r="O839" s="75" t="s">
        <v>535</v>
      </c>
      <c r="P839" s="75" t="s">
        <v>1111</v>
      </c>
    </row>
    <row r="840" spans="1:16">
      <c r="A840" s="63" t="s">
        <v>4282</v>
      </c>
      <c r="B840" s="14" t="str">
        <f>VLOOKUP(P840,'护理记录单文书字典(数据)'!B$4:C$99,2,0)</f>
        <v>D20BEA340CFAB211D3BF915592730B4C</v>
      </c>
      <c r="C840" s="75" t="s">
        <v>3283</v>
      </c>
      <c r="D840" s="75" t="s">
        <v>3284</v>
      </c>
      <c r="E840" s="92" t="s">
        <v>2052</v>
      </c>
      <c r="F840" s="87">
        <v>1</v>
      </c>
      <c r="G840" s="87">
        <v>1</v>
      </c>
      <c r="H840" s="75" t="s">
        <v>2812</v>
      </c>
      <c r="I840" s="75"/>
      <c r="J840" s="75"/>
      <c r="K840" s="75" t="s">
        <v>162</v>
      </c>
      <c r="L840" s="75" t="s">
        <v>509</v>
      </c>
      <c r="M840" s="75" t="s">
        <v>535</v>
      </c>
      <c r="N840" s="75" t="s">
        <v>509</v>
      </c>
      <c r="O840" s="75" t="s">
        <v>535</v>
      </c>
      <c r="P840" s="75" t="s">
        <v>1111</v>
      </c>
    </row>
    <row r="841" spans="1:16">
      <c r="A841" s="63" t="s">
        <v>4282</v>
      </c>
      <c r="B841" s="14" t="str">
        <f>VLOOKUP(P841,'护理记录单文书字典(数据)'!B$4:C$99,2,0)</f>
        <v>D20BEA340CFAB211D3BF915592730B4C</v>
      </c>
      <c r="C841" s="75" t="s">
        <v>3285</v>
      </c>
      <c r="D841" s="75" t="s">
        <v>3286</v>
      </c>
      <c r="E841" s="92" t="s">
        <v>2052</v>
      </c>
      <c r="F841" s="87">
        <v>1</v>
      </c>
      <c r="G841" s="87">
        <v>1</v>
      </c>
      <c r="H841" s="75" t="s">
        <v>2812</v>
      </c>
      <c r="I841" s="75"/>
      <c r="J841" s="75"/>
      <c r="K841" s="75" t="s">
        <v>162</v>
      </c>
      <c r="L841" s="75" t="s">
        <v>509</v>
      </c>
      <c r="M841" s="75" t="s">
        <v>535</v>
      </c>
      <c r="N841" s="75" t="s">
        <v>509</v>
      </c>
      <c r="O841" s="75" t="s">
        <v>535</v>
      </c>
      <c r="P841" s="75" t="s">
        <v>1111</v>
      </c>
    </row>
    <row r="842" spans="1:16">
      <c r="A842" s="63" t="s">
        <v>4282</v>
      </c>
      <c r="B842" s="14" t="str">
        <f>VLOOKUP(P842,'护理记录单文书字典(数据)'!B$4:C$99,2,0)</f>
        <v>D20BEA340CFAB211D3BF915592730B4C</v>
      </c>
      <c r="C842" s="75" t="s">
        <v>3287</v>
      </c>
      <c r="D842" s="75" t="s">
        <v>3288</v>
      </c>
      <c r="E842" s="92" t="s">
        <v>2052</v>
      </c>
      <c r="F842" s="87">
        <v>1</v>
      </c>
      <c r="G842" s="87">
        <v>1</v>
      </c>
      <c r="H842" s="75" t="s">
        <v>1108</v>
      </c>
      <c r="I842" s="75"/>
      <c r="J842" s="75"/>
      <c r="K842" s="75" t="s">
        <v>162</v>
      </c>
      <c r="L842" s="75" t="s">
        <v>509</v>
      </c>
      <c r="M842" s="75" t="s">
        <v>535</v>
      </c>
      <c r="N842" s="75" t="s">
        <v>509</v>
      </c>
      <c r="O842" s="75" t="s">
        <v>535</v>
      </c>
      <c r="P842" s="75" t="s">
        <v>1111</v>
      </c>
    </row>
    <row r="843" spans="1:16">
      <c r="A843" s="63" t="s">
        <v>4282</v>
      </c>
      <c r="B843" s="14" t="str">
        <f>VLOOKUP(P843,'护理记录单文书字典(数据)'!B$4:C$99,2,0)</f>
        <v>D20BEA340CFAB211D3BF915592730B4C</v>
      </c>
      <c r="C843" s="75" t="s">
        <v>3289</v>
      </c>
      <c r="D843" s="75" t="s">
        <v>3290</v>
      </c>
      <c r="E843" s="92" t="s">
        <v>2052</v>
      </c>
      <c r="F843" s="87">
        <v>1</v>
      </c>
      <c r="G843" s="87">
        <v>1</v>
      </c>
      <c r="H843" s="75" t="s">
        <v>2812</v>
      </c>
      <c r="I843" s="75"/>
      <c r="J843" s="75"/>
      <c r="K843" s="75" t="s">
        <v>162</v>
      </c>
      <c r="L843" s="75" t="s">
        <v>509</v>
      </c>
      <c r="M843" s="75" t="s">
        <v>535</v>
      </c>
      <c r="N843" s="75" t="s">
        <v>509</v>
      </c>
      <c r="O843" s="75" t="s">
        <v>535</v>
      </c>
      <c r="P843" s="75" t="s">
        <v>1111</v>
      </c>
    </row>
    <row r="844" spans="1:16">
      <c r="A844" s="63" t="s">
        <v>4282</v>
      </c>
      <c r="B844" s="14" t="str">
        <f>VLOOKUP(P844,'护理记录单文书字典(数据)'!B$4:C$99,2,0)</f>
        <v>D20BEA340CFAB211D3BF915592730B4C</v>
      </c>
      <c r="C844" s="75" t="s">
        <v>3291</v>
      </c>
      <c r="D844" s="75" t="s">
        <v>3292</v>
      </c>
      <c r="E844" s="92" t="s">
        <v>2052</v>
      </c>
      <c r="F844" s="87">
        <v>1</v>
      </c>
      <c r="G844" s="87">
        <v>1</v>
      </c>
      <c r="H844" s="75" t="s">
        <v>2812</v>
      </c>
      <c r="I844" s="75"/>
      <c r="J844" s="75"/>
      <c r="K844" s="75" t="s">
        <v>162</v>
      </c>
      <c r="L844" s="75" t="s">
        <v>509</v>
      </c>
      <c r="M844" s="75" t="s">
        <v>535</v>
      </c>
      <c r="N844" s="75" t="s">
        <v>509</v>
      </c>
      <c r="O844" s="75" t="s">
        <v>535</v>
      </c>
      <c r="P844" s="75" t="s">
        <v>1111</v>
      </c>
    </row>
    <row r="845" spans="1:16">
      <c r="A845" s="63" t="s">
        <v>4282</v>
      </c>
      <c r="B845" s="14" t="str">
        <f>VLOOKUP(P845,'护理记录单文书字典(数据)'!B$4:C$99,2,0)</f>
        <v>D20BEA340CFAB211D3BF915592730B4C</v>
      </c>
      <c r="C845" s="75" t="s">
        <v>3293</v>
      </c>
      <c r="D845" s="75" t="s">
        <v>3294</v>
      </c>
      <c r="E845" s="92" t="s">
        <v>2052</v>
      </c>
      <c r="F845" s="87">
        <v>1</v>
      </c>
      <c r="G845" s="87">
        <v>1</v>
      </c>
      <c r="H845" s="75" t="s">
        <v>2812</v>
      </c>
      <c r="I845" s="75"/>
      <c r="J845" s="75"/>
      <c r="K845" s="75" t="s">
        <v>162</v>
      </c>
      <c r="L845" s="75" t="s">
        <v>509</v>
      </c>
      <c r="M845" s="75" t="s">
        <v>535</v>
      </c>
      <c r="N845" s="75" t="s">
        <v>509</v>
      </c>
      <c r="O845" s="75" t="s">
        <v>535</v>
      </c>
      <c r="P845" s="75" t="s">
        <v>1111</v>
      </c>
    </row>
    <row r="846" spans="1:16">
      <c r="A846" s="63" t="s">
        <v>4282</v>
      </c>
      <c r="B846" s="14" t="str">
        <f>VLOOKUP(P846,'护理记录单文书字典(数据)'!B$4:C$99,2,0)</f>
        <v>D20BEA340CFAB211D3BF915592730B4C</v>
      </c>
      <c r="C846" s="75" t="s">
        <v>3295</v>
      </c>
      <c r="D846" s="75" t="s">
        <v>3296</v>
      </c>
      <c r="E846" s="92" t="s">
        <v>2052</v>
      </c>
      <c r="F846" s="87">
        <v>1</v>
      </c>
      <c r="G846" s="87">
        <v>1</v>
      </c>
      <c r="H846" s="75" t="s">
        <v>2812</v>
      </c>
      <c r="I846" s="75"/>
      <c r="J846" s="75"/>
      <c r="K846" s="75" t="s">
        <v>162</v>
      </c>
      <c r="L846" s="75" t="s">
        <v>509</v>
      </c>
      <c r="M846" s="75" t="s">
        <v>535</v>
      </c>
      <c r="N846" s="75" t="s">
        <v>509</v>
      </c>
      <c r="O846" s="75" t="s">
        <v>535</v>
      </c>
      <c r="P846" s="75" t="s">
        <v>1111</v>
      </c>
    </row>
    <row r="847" spans="1:16">
      <c r="A847" s="63" t="s">
        <v>4282</v>
      </c>
      <c r="B847" s="14" t="str">
        <f>VLOOKUP(P847,'护理记录单文书字典(数据)'!B$4:C$99,2,0)</f>
        <v>D20BEA340CFAB211D3BF915592730B4C</v>
      </c>
      <c r="C847" s="75" t="s">
        <v>3297</v>
      </c>
      <c r="D847" s="75" t="s">
        <v>3298</v>
      </c>
      <c r="E847" s="92" t="s">
        <v>2052</v>
      </c>
      <c r="F847" s="87">
        <v>1</v>
      </c>
      <c r="G847" s="87">
        <v>1</v>
      </c>
      <c r="H847" s="75" t="s">
        <v>2812</v>
      </c>
      <c r="I847" s="75"/>
      <c r="J847" s="75"/>
      <c r="K847" s="75" t="s">
        <v>162</v>
      </c>
      <c r="L847" s="75" t="s">
        <v>509</v>
      </c>
      <c r="M847" s="75" t="s">
        <v>535</v>
      </c>
      <c r="N847" s="75" t="s">
        <v>509</v>
      </c>
      <c r="O847" s="75" t="s">
        <v>535</v>
      </c>
      <c r="P847" s="75" t="s">
        <v>1111</v>
      </c>
    </row>
    <row r="848" spans="1:16">
      <c r="A848" s="63" t="s">
        <v>4282</v>
      </c>
      <c r="B848" s="14" t="str">
        <f>VLOOKUP(P848,'护理记录单文书字典(数据)'!B$4:C$99,2,0)</f>
        <v>D20BEA340CFAB211D3BF915592730B4C</v>
      </c>
      <c r="C848" s="75" t="s">
        <v>3299</v>
      </c>
      <c r="D848" s="75" t="s">
        <v>3300</v>
      </c>
      <c r="E848" s="92" t="s">
        <v>2048</v>
      </c>
      <c r="F848" s="87">
        <v>1</v>
      </c>
      <c r="G848" s="87">
        <v>1</v>
      </c>
      <c r="H848" s="75"/>
      <c r="I848" s="75"/>
      <c r="J848" s="75"/>
      <c r="K848" s="75" t="s">
        <v>162</v>
      </c>
      <c r="L848" s="75" t="s">
        <v>509</v>
      </c>
      <c r="M848" s="75" t="s">
        <v>535</v>
      </c>
      <c r="N848" s="75" t="s">
        <v>509</v>
      </c>
      <c r="O848" s="75" t="s">
        <v>535</v>
      </c>
      <c r="P848" s="75" t="s">
        <v>1111</v>
      </c>
    </row>
    <row r="849" spans="1:16">
      <c r="A849" s="63" t="s">
        <v>4282</v>
      </c>
      <c r="B849" s="14" t="str">
        <f>VLOOKUP(P849,'护理记录单文书字典(数据)'!B$4:C$99,2,0)</f>
        <v>D20BEA340CFAB211D3BF915592730B4C</v>
      </c>
      <c r="C849" s="75" t="s">
        <v>3301</v>
      </c>
      <c r="D849" s="75" t="s">
        <v>3302</v>
      </c>
      <c r="E849" s="92" t="s">
        <v>2048</v>
      </c>
      <c r="F849" s="87">
        <v>1</v>
      </c>
      <c r="G849" s="87">
        <v>1</v>
      </c>
      <c r="H849" s="75"/>
      <c r="I849" s="75"/>
      <c r="J849" s="75"/>
      <c r="K849" s="75" t="s">
        <v>162</v>
      </c>
      <c r="L849" s="75" t="s">
        <v>509</v>
      </c>
      <c r="M849" s="75" t="s">
        <v>535</v>
      </c>
      <c r="N849" s="75" t="s">
        <v>509</v>
      </c>
      <c r="O849" s="75" t="s">
        <v>535</v>
      </c>
      <c r="P849" s="75" t="s">
        <v>1111</v>
      </c>
    </row>
    <row r="850" spans="1:16">
      <c r="A850" s="63" t="s">
        <v>4282</v>
      </c>
      <c r="B850" s="14" t="str">
        <f>VLOOKUP(P850,'护理记录单文书字典(数据)'!B$4:C$99,2,0)</f>
        <v>D20BEA340CFAB211D3BF915592730B4C</v>
      </c>
      <c r="C850" s="75" t="s">
        <v>3303</v>
      </c>
      <c r="D850" s="75" t="s">
        <v>3304</v>
      </c>
      <c r="E850" s="92" t="s">
        <v>2048</v>
      </c>
      <c r="F850" s="87">
        <v>1</v>
      </c>
      <c r="G850" s="87">
        <v>1</v>
      </c>
      <c r="H850" s="75"/>
      <c r="I850" s="75"/>
      <c r="J850" s="75"/>
      <c r="K850" s="75" t="s">
        <v>162</v>
      </c>
      <c r="L850" s="75" t="s">
        <v>509</v>
      </c>
      <c r="M850" s="75" t="s">
        <v>535</v>
      </c>
      <c r="N850" s="75" t="s">
        <v>509</v>
      </c>
      <c r="O850" s="75" t="s">
        <v>535</v>
      </c>
      <c r="P850" s="75" t="s">
        <v>1111</v>
      </c>
    </row>
    <row r="851" spans="1:16">
      <c r="A851" s="63" t="s">
        <v>4282</v>
      </c>
      <c r="B851" s="14" t="str">
        <f>VLOOKUP(P851,'护理记录单文书字典(数据)'!B$4:C$99,2,0)</f>
        <v>D20BEA340CFAB211D3BF915592730B4C</v>
      </c>
      <c r="C851" s="75" t="s">
        <v>3305</v>
      </c>
      <c r="D851" s="75" t="s">
        <v>3306</v>
      </c>
      <c r="E851" s="92" t="s">
        <v>2052</v>
      </c>
      <c r="F851" s="87">
        <v>1</v>
      </c>
      <c r="G851" s="87">
        <v>1</v>
      </c>
      <c r="H851" s="75" t="s">
        <v>2812</v>
      </c>
      <c r="I851" s="75"/>
      <c r="J851" s="75"/>
      <c r="K851" s="75" t="s">
        <v>162</v>
      </c>
      <c r="L851" s="75" t="s">
        <v>509</v>
      </c>
      <c r="M851" s="75" t="s">
        <v>535</v>
      </c>
      <c r="N851" s="75" t="s">
        <v>509</v>
      </c>
      <c r="O851" s="75" t="s">
        <v>535</v>
      </c>
      <c r="P851" s="159" t="s">
        <v>1111</v>
      </c>
    </row>
    <row r="852" spans="1:16">
      <c r="A852" s="63" t="s">
        <v>4282</v>
      </c>
      <c r="B852" s="14" t="str">
        <f>VLOOKUP(P852,'护理记录单文书字典(数据)'!B$4:C$99,2,0)</f>
        <v>D20BEA340CFAB211D3BF915592730B4C</v>
      </c>
      <c r="C852" s="75" t="s">
        <v>3307</v>
      </c>
      <c r="D852" s="75" t="s">
        <v>3308</v>
      </c>
      <c r="E852" s="92" t="s">
        <v>2052</v>
      </c>
      <c r="F852" s="87">
        <v>1</v>
      </c>
      <c r="G852" s="87">
        <v>1</v>
      </c>
      <c r="H852" s="75" t="s">
        <v>2812</v>
      </c>
      <c r="I852" s="75"/>
      <c r="J852" s="75"/>
      <c r="K852" s="75" t="s">
        <v>162</v>
      </c>
      <c r="L852" s="75" t="s">
        <v>509</v>
      </c>
      <c r="M852" s="75" t="s">
        <v>535</v>
      </c>
      <c r="N852" s="75" t="s">
        <v>509</v>
      </c>
      <c r="O852" s="75" t="s">
        <v>535</v>
      </c>
      <c r="P852" s="75" t="s">
        <v>1111</v>
      </c>
    </row>
    <row r="853" spans="1:16">
      <c r="A853" s="63" t="s">
        <v>4282</v>
      </c>
      <c r="B853" s="14" t="str">
        <f>VLOOKUP(P853,'护理记录单文书字典(数据)'!B$4:C$99,2,0)</f>
        <v>D20BEA340CFAB211D3BF915592730B4C</v>
      </c>
      <c r="C853" s="75" t="s">
        <v>3309</v>
      </c>
      <c r="D853" s="75" t="s">
        <v>3310</v>
      </c>
      <c r="E853" s="92" t="s">
        <v>2052</v>
      </c>
      <c r="F853" s="87">
        <v>1</v>
      </c>
      <c r="G853" s="87">
        <v>1</v>
      </c>
      <c r="H853" s="75" t="s">
        <v>2812</v>
      </c>
      <c r="I853" s="75"/>
      <c r="J853" s="75"/>
      <c r="K853" s="75" t="s">
        <v>162</v>
      </c>
      <c r="L853" s="75" t="s">
        <v>509</v>
      </c>
      <c r="M853" s="75" t="s">
        <v>535</v>
      </c>
      <c r="N853" s="75" t="s">
        <v>509</v>
      </c>
      <c r="O853" s="75" t="s">
        <v>535</v>
      </c>
      <c r="P853" s="75" t="s">
        <v>1111</v>
      </c>
    </row>
    <row r="854" spans="1:16">
      <c r="A854" s="63" t="s">
        <v>4282</v>
      </c>
      <c r="B854" s="14" t="str">
        <f>VLOOKUP(P854,'护理记录单文书字典(数据)'!B$4:C$99,2,0)</f>
        <v>D20BEA340CFAB211D3BF915592730B4C</v>
      </c>
      <c r="C854" s="159" t="s">
        <v>4654</v>
      </c>
      <c r="D854" s="75" t="s">
        <v>3311</v>
      </c>
      <c r="E854" s="92" t="s">
        <v>2052</v>
      </c>
      <c r="F854" s="87">
        <v>1</v>
      </c>
      <c r="G854" s="87">
        <v>1</v>
      </c>
      <c r="H854" s="75" t="s">
        <v>2812</v>
      </c>
      <c r="I854" s="75"/>
      <c r="J854" s="75"/>
      <c r="K854" s="75" t="s">
        <v>162</v>
      </c>
      <c r="L854" s="75" t="s">
        <v>509</v>
      </c>
      <c r="M854" s="75" t="s">
        <v>535</v>
      </c>
      <c r="N854" s="75" t="s">
        <v>509</v>
      </c>
      <c r="O854" s="75" t="s">
        <v>535</v>
      </c>
      <c r="P854" s="75" t="s">
        <v>1111</v>
      </c>
    </row>
    <row r="855" spans="1:16">
      <c r="A855" s="63" t="s">
        <v>4282</v>
      </c>
      <c r="B855" s="14" t="str">
        <f>VLOOKUP(P855,'护理记录单文书字典(数据)'!B$4:C$99,2,0)</f>
        <v>D20BEA340CFAB211D3BF915592730B4C</v>
      </c>
      <c r="C855" s="75" t="s">
        <v>3312</v>
      </c>
      <c r="D855" s="75" t="s">
        <v>3313</v>
      </c>
      <c r="E855" s="92" t="s">
        <v>2052</v>
      </c>
      <c r="F855" s="87">
        <v>1</v>
      </c>
      <c r="G855" s="87">
        <v>1</v>
      </c>
      <c r="H855" s="75" t="s">
        <v>2812</v>
      </c>
      <c r="I855" s="75"/>
      <c r="J855" s="75"/>
      <c r="K855" s="75" t="s">
        <v>162</v>
      </c>
      <c r="L855" s="75" t="s">
        <v>509</v>
      </c>
      <c r="M855" s="75" t="s">
        <v>535</v>
      </c>
      <c r="N855" s="75" t="s">
        <v>509</v>
      </c>
      <c r="O855" s="75" t="s">
        <v>535</v>
      </c>
      <c r="P855" s="75" t="s">
        <v>1111</v>
      </c>
    </row>
    <row r="856" spans="1:16">
      <c r="A856" s="63" t="s">
        <v>4282</v>
      </c>
      <c r="B856" s="14" t="str">
        <f>VLOOKUP(P856,'护理记录单文书字典(数据)'!B$4:C$99,2,0)</f>
        <v>D20BEA340CFAB211D3BF915592730B4C</v>
      </c>
      <c r="C856" s="75" t="s">
        <v>3314</v>
      </c>
      <c r="D856" s="75" t="s">
        <v>3315</v>
      </c>
      <c r="E856" s="92" t="s">
        <v>2052</v>
      </c>
      <c r="F856" s="87">
        <v>1</v>
      </c>
      <c r="G856" s="87">
        <v>1</v>
      </c>
      <c r="H856" s="75" t="s">
        <v>2812</v>
      </c>
      <c r="I856" s="75"/>
      <c r="J856" s="75"/>
      <c r="K856" s="75" t="s">
        <v>162</v>
      </c>
      <c r="L856" s="75" t="s">
        <v>509</v>
      </c>
      <c r="M856" s="75" t="s">
        <v>535</v>
      </c>
      <c r="N856" s="75" t="s">
        <v>509</v>
      </c>
      <c r="O856" s="75" t="s">
        <v>535</v>
      </c>
      <c r="P856" s="75" t="s">
        <v>1111</v>
      </c>
    </row>
    <row r="857" spans="1:16">
      <c r="A857" s="63" t="s">
        <v>4282</v>
      </c>
      <c r="B857" s="14" t="str">
        <f>VLOOKUP(P857,'护理记录单文书字典(数据)'!B$4:C$99,2,0)</f>
        <v>D20BEA340CFAB211D3BF915592730B4C</v>
      </c>
      <c r="C857" s="75" t="s">
        <v>3316</v>
      </c>
      <c r="D857" s="75" t="s">
        <v>3317</v>
      </c>
      <c r="E857" s="92" t="s">
        <v>2052</v>
      </c>
      <c r="F857" s="87">
        <v>1</v>
      </c>
      <c r="G857" s="87">
        <v>1</v>
      </c>
      <c r="H857" s="75" t="s">
        <v>2812</v>
      </c>
      <c r="I857" s="75"/>
      <c r="J857" s="75"/>
      <c r="K857" s="75" t="s">
        <v>162</v>
      </c>
      <c r="L857" s="75" t="s">
        <v>509</v>
      </c>
      <c r="M857" s="75" t="s">
        <v>535</v>
      </c>
      <c r="N857" s="75" t="s">
        <v>509</v>
      </c>
      <c r="O857" s="75" t="s">
        <v>535</v>
      </c>
      <c r="P857" s="75" t="s">
        <v>1111</v>
      </c>
    </row>
    <row r="858" spans="1:16">
      <c r="A858" s="63" t="s">
        <v>4282</v>
      </c>
      <c r="B858" s="14" t="str">
        <f>VLOOKUP(P858,'护理记录单文书字典(数据)'!B$4:C$99,2,0)</f>
        <v>D20BEA340CFAB211D3BF915592730B4C</v>
      </c>
      <c r="C858" s="75" t="s">
        <v>3318</v>
      </c>
      <c r="D858" s="75" t="s">
        <v>3319</v>
      </c>
      <c r="E858" s="92" t="s">
        <v>2052</v>
      </c>
      <c r="F858" s="87">
        <v>1</v>
      </c>
      <c r="G858" s="87">
        <v>1</v>
      </c>
      <c r="H858" s="75" t="s">
        <v>2812</v>
      </c>
      <c r="I858" s="75"/>
      <c r="J858" s="75"/>
      <c r="K858" s="75" t="s">
        <v>162</v>
      </c>
      <c r="L858" s="75" t="s">
        <v>509</v>
      </c>
      <c r="M858" s="75" t="s">
        <v>535</v>
      </c>
      <c r="N858" s="75" t="s">
        <v>509</v>
      </c>
      <c r="O858" s="75" t="s">
        <v>535</v>
      </c>
      <c r="P858" s="75" t="s">
        <v>1111</v>
      </c>
    </row>
    <row r="859" spans="1:16">
      <c r="A859" s="63" t="s">
        <v>4282</v>
      </c>
      <c r="B859" s="14" t="str">
        <f>VLOOKUP(P859,'护理记录单文书字典(数据)'!B$4:C$99,2,0)</f>
        <v>D20BEA340CFAB211D3BF915592730B4C</v>
      </c>
      <c r="C859" s="75" t="s">
        <v>3320</v>
      </c>
      <c r="D859" s="75" t="s">
        <v>3321</v>
      </c>
      <c r="E859" s="92" t="s">
        <v>2048</v>
      </c>
      <c r="F859" s="87">
        <v>1</v>
      </c>
      <c r="G859" s="87">
        <v>1</v>
      </c>
      <c r="H859" s="75"/>
      <c r="I859" s="75"/>
      <c r="J859" s="75"/>
      <c r="K859" s="75" t="s">
        <v>162</v>
      </c>
      <c r="L859" s="75" t="s">
        <v>509</v>
      </c>
      <c r="M859" s="75" t="s">
        <v>535</v>
      </c>
      <c r="N859" s="75" t="s">
        <v>509</v>
      </c>
      <c r="O859" s="75" t="s">
        <v>535</v>
      </c>
      <c r="P859" s="75" t="s">
        <v>1111</v>
      </c>
    </row>
    <row r="860" spans="1:16">
      <c r="A860" s="63" t="s">
        <v>4282</v>
      </c>
      <c r="B860" s="14" t="str">
        <f>VLOOKUP(P860,'护理记录单文书字典(数据)'!B$4:C$99,2,0)</f>
        <v>D20BEA340CFAB211D3BF915592730B4C</v>
      </c>
      <c r="C860" s="75" t="s">
        <v>3322</v>
      </c>
      <c r="D860" s="75" t="s">
        <v>3323</v>
      </c>
      <c r="E860" s="92" t="s">
        <v>2048</v>
      </c>
      <c r="F860" s="87">
        <v>1</v>
      </c>
      <c r="G860" s="87">
        <v>1</v>
      </c>
      <c r="H860" s="75"/>
      <c r="I860" s="75"/>
      <c r="J860" s="75"/>
      <c r="K860" s="75" t="s">
        <v>162</v>
      </c>
      <c r="L860" s="75" t="s">
        <v>509</v>
      </c>
      <c r="M860" s="75" t="s">
        <v>535</v>
      </c>
      <c r="N860" s="75" t="s">
        <v>509</v>
      </c>
      <c r="O860" s="75" t="s">
        <v>535</v>
      </c>
      <c r="P860" s="75" t="s">
        <v>1111</v>
      </c>
    </row>
    <row r="861" spans="1:16">
      <c r="A861" s="63" t="s">
        <v>4282</v>
      </c>
      <c r="B861" s="14" t="str">
        <f>VLOOKUP(P861,'护理记录单文书字典(数据)'!B$4:C$99,2,0)</f>
        <v>D20BEA340CFAB211D3BF915592730B4C</v>
      </c>
      <c r="C861" s="75" t="s">
        <v>3324</v>
      </c>
      <c r="D861" s="75" t="s">
        <v>3325</v>
      </c>
      <c r="E861" s="92" t="s">
        <v>2048</v>
      </c>
      <c r="F861" s="87">
        <v>1</v>
      </c>
      <c r="G861" s="87">
        <v>1</v>
      </c>
      <c r="H861" s="75"/>
      <c r="I861" s="75"/>
      <c r="J861" s="75"/>
      <c r="K861" s="75" t="s">
        <v>162</v>
      </c>
      <c r="L861" s="75" t="s">
        <v>509</v>
      </c>
      <c r="M861" s="75" t="s">
        <v>535</v>
      </c>
      <c r="N861" s="75" t="s">
        <v>509</v>
      </c>
      <c r="O861" s="75" t="s">
        <v>535</v>
      </c>
      <c r="P861" s="75" t="s">
        <v>1111</v>
      </c>
    </row>
    <row r="862" spans="1:16">
      <c r="A862" s="63" t="s">
        <v>4282</v>
      </c>
      <c r="B862" s="14" t="str">
        <f>VLOOKUP(P862,'护理记录单文书字典(数据)'!B$4:C$99,2,0)</f>
        <v>D20BEA340CFAB211D3BF915592730B4C</v>
      </c>
      <c r="C862" s="75" t="s">
        <v>3326</v>
      </c>
      <c r="D862" s="75" t="s">
        <v>3327</v>
      </c>
      <c r="E862" s="92" t="s">
        <v>2052</v>
      </c>
      <c r="F862" s="87">
        <v>1</v>
      </c>
      <c r="G862" s="87">
        <v>1</v>
      </c>
      <c r="H862" s="75" t="s">
        <v>2812</v>
      </c>
      <c r="I862" s="75"/>
      <c r="J862" s="75"/>
      <c r="K862" s="75" t="s">
        <v>162</v>
      </c>
      <c r="L862" s="75" t="s">
        <v>509</v>
      </c>
      <c r="M862" s="75" t="s">
        <v>535</v>
      </c>
      <c r="N862" s="75" t="s">
        <v>509</v>
      </c>
      <c r="O862" s="75" t="s">
        <v>535</v>
      </c>
      <c r="P862" s="75" t="s">
        <v>1111</v>
      </c>
    </row>
    <row r="863" spans="1:16">
      <c r="A863" s="63" t="s">
        <v>4282</v>
      </c>
      <c r="B863" s="14" t="str">
        <f>VLOOKUP(P863,'护理记录单文书字典(数据)'!B$4:C$99,2,0)</f>
        <v>D20BEA340CFAB211D3BF915592730B4C</v>
      </c>
      <c r="C863" s="75" t="s">
        <v>3328</v>
      </c>
      <c r="D863" s="75" t="s">
        <v>3329</v>
      </c>
      <c r="E863" s="92" t="s">
        <v>2052</v>
      </c>
      <c r="F863" s="87">
        <v>1</v>
      </c>
      <c r="G863" s="87">
        <v>1</v>
      </c>
      <c r="H863" s="75" t="s">
        <v>2812</v>
      </c>
      <c r="I863" s="75"/>
      <c r="J863" s="75"/>
      <c r="K863" s="75" t="s">
        <v>162</v>
      </c>
      <c r="L863" s="75" t="s">
        <v>509</v>
      </c>
      <c r="M863" s="75" t="s">
        <v>535</v>
      </c>
      <c r="N863" s="75" t="s">
        <v>509</v>
      </c>
      <c r="O863" s="75" t="s">
        <v>535</v>
      </c>
      <c r="P863" s="75" t="s">
        <v>1111</v>
      </c>
    </row>
    <row r="864" spans="1:16">
      <c r="A864" s="63" t="s">
        <v>4282</v>
      </c>
      <c r="B864" s="14" t="str">
        <f>VLOOKUP(P864,'护理记录单文书字典(数据)'!B$4:C$99,2,0)</f>
        <v>D20BEA340CFAB211D3BF915592730B4C</v>
      </c>
      <c r="C864" s="75" t="s">
        <v>3330</v>
      </c>
      <c r="D864" s="75" t="s">
        <v>3331</v>
      </c>
      <c r="E864" s="92" t="s">
        <v>2052</v>
      </c>
      <c r="F864" s="87">
        <v>1</v>
      </c>
      <c r="G864" s="87">
        <v>1</v>
      </c>
      <c r="H864" s="75" t="s">
        <v>1114</v>
      </c>
      <c r="I864" s="75"/>
      <c r="J864" s="75"/>
      <c r="K864" s="75" t="s">
        <v>162</v>
      </c>
      <c r="L864" s="75" t="s">
        <v>509</v>
      </c>
      <c r="M864" s="75" t="s">
        <v>535</v>
      </c>
      <c r="N864" s="75" t="s">
        <v>509</v>
      </c>
      <c r="O864" s="75" t="s">
        <v>535</v>
      </c>
      <c r="P864" s="75" t="s">
        <v>1111</v>
      </c>
    </row>
    <row r="865" spans="1:16">
      <c r="A865" s="63" t="s">
        <v>4282</v>
      </c>
      <c r="B865" s="14" t="str">
        <f>VLOOKUP(P865,'护理记录单文书字典(数据)'!B$4:C$99,2,0)</f>
        <v>D20BEA340CFAB211D3BF915592730B4C</v>
      </c>
      <c r="C865" s="75" t="s">
        <v>3332</v>
      </c>
      <c r="D865" s="75" t="s">
        <v>3333</v>
      </c>
      <c r="E865" s="92" t="s">
        <v>2052</v>
      </c>
      <c r="F865" s="87">
        <v>1</v>
      </c>
      <c r="G865" s="87">
        <v>1</v>
      </c>
      <c r="H865" s="75" t="s">
        <v>2812</v>
      </c>
      <c r="I865" s="75"/>
      <c r="J865" s="75"/>
      <c r="K865" s="75" t="s">
        <v>162</v>
      </c>
      <c r="L865" s="75" t="s">
        <v>509</v>
      </c>
      <c r="M865" s="75" t="s">
        <v>535</v>
      </c>
      <c r="N865" s="75" t="s">
        <v>509</v>
      </c>
      <c r="O865" s="75" t="s">
        <v>535</v>
      </c>
      <c r="P865" s="75" t="s">
        <v>1111</v>
      </c>
    </row>
    <row r="866" spans="1:16">
      <c r="A866" s="63" t="s">
        <v>4282</v>
      </c>
      <c r="B866" s="14" t="str">
        <f>VLOOKUP(P866,'护理记录单文书字典(数据)'!B$4:C$99,2,0)</f>
        <v>D20BEA340CFAB211D3BF915592730B4C</v>
      </c>
      <c r="C866" s="75" t="s">
        <v>3334</v>
      </c>
      <c r="D866" s="75" t="s">
        <v>3335</v>
      </c>
      <c r="E866" s="92" t="s">
        <v>2052</v>
      </c>
      <c r="F866" s="87">
        <v>1</v>
      </c>
      <c r="G866" s="87">
        <v>1</v>
      </c>
      <c r="H866" s="75" t="s">
        <v>2812</v>
      </c>
      <c r="I866" s="75"/>
      <c r="J866" s="75"/>
      <c r="K866" s="75" t="s">
        <v>162</v>
      </c>
      <c r="L866" s="75" t="s">
        <v>509</v>
      </c>
      <c r="M866" s="75" t="s">
        <v>535</v>
      </c>
      <c r="N866" s="75" t="s">
        <v>509</v>
      </c>
      <c r="O866" s="75" t="s">
        <v>535</v>
      </c>
      <c r="P866" s="75" t="s">
        <v>1111</v>
      </c>
    </row>
    <row r="867" spans="1:16">
      <c r="A867" s="63" t="s">
        <v>4282</v>
      </c>
      <c r="B867" s="14" t="str">
        <f>VLOOKUP(P867,'护理记录单文书字典(数据)'!B$4:C$99,2,0)</f>
        <v>D20BEA340CFAB211D3BF915592730B4C</v>
      </c>
      <c r="C867" s="75" t="s">
        <v>3336</v>
      </c>
      <c r="D867" s="75" t="s">
        <v>3337</v>
      </c>
      <c r="E867" s="92" t="s">
        <v>2052</v>
      </c>
      <c r="F867" s="87">
        <v>1</v>
      </c>
      <c r="G867" s="87">
        <v>1</v>
      </c>
      <c r="H867" s="75" t="s">
        <v>2812</v>
      </c>
      <c r="I867" s="75"/>
      <c r="J867" s="75"/>
      <c r="K867" s="75" t="s">
        <v>162</v>
      </c>
      <c r="L867" s="75" t="s">
        <v>509</v>
      </c>
      <c r="M867" s="75" t="s">
        <v>535</v>
      </c>
      <c r="N867" s="75" t="s">
        <v>509</v>
      </c>
      <c r="O867" s="75" t="s">
        <v>535</v>
      </c>
      <c r="P867" s="75" t="s">
        <v>1111</v>
      </c>
    </row>
    <row r="868" spans="1:16">
      <c r="A868" s="63" t="s">
        <v>4282</v>
      </c>
      <c r="B868" s="14" t="str">
        <f>VLOOKUP(P868,'护理记录单文书字典(数据)'!B$4:C$99,2,0)</f>
        <v>D20BEA340CFAB211D3BF915592730B4C</v>
      </c>
      <c r="C868" s="75" t="s">
        <v>3338</v>
      </c>
      <c r="D868" s="75" t="s">
        <v>3339</v>
      </c>
      <c r="E868" s="92" t="s">
        <v>2052</v>
      </c>
      <c r="F868" s="87">
        <v>1</v>
      </c>
      <c r="G868" s="87">
        <v>1</v>
      </c>
      <c r="H868" s="75" t="s">
        <v>2812</v>
      </c>
      <c r="I868" s="75"/>
      <c r="J868" s="75"/>
      <c r="K868" s="75" t="s">
        <v>162</v>
      </c>
      <c r="L868" s="75" t="s">
        <v>509</v>
      </c>
      <c r="M868" s="75" t="s">
        <v>535</v>
      </c>
      <c r="N868" s="75" t="s">
        <v>509</v>
      </c>
      <c r="O868" s="75" t="s">
        <v>535</v>
      </c>
      <c r="P868" s="75" t="s">
        <v>1111</v>
      </c>
    </row>
    <row r="869" spans="1:16">
      <c r="A869" s="63" t="s">
        <v>4282</v>
      </c>
      <c r="B869" s="14" t="str">
        <f>VLOOKUP(P869,'护理记录单文书字典(数据)'!B$4:C$99,2,0)</f>
        <v>D20BEA340CFAB211D3BF915592730B4C</v>
      </c>
      <c r="C869" s="75" t="s">
        <v>3340</v>
      </c>
      <c r="D869" s="75" t="s">
        <v>3341</v>
      </c>
      <c r="E869" s="92" t="s">
        <v>2052</v>
      </c>
      <c r="F869" s="87">
        <v>1</v>
      </c>
      <c r="G869" s="87">
        <v>1</v>
      </c>
      <c r="H869" s="75" t="s">
        <v>2812</v>
      </c>
      <c r="I869" s="75"/>
      <c r="J869" s="75"/>
      <c r="K869" s="75" t="s">
        <v>162</v>
      </c>
      <c r="L869" s="75" t="s">
        <v>509</v>
      </c>
      <c r="M869" s="75" t="s">
        <v>535</v>
      </c>
      <c r="N869" s="75" t="s">
        <v>509</v>
      </c>
      <c r="O869" s="75" t="s">
        <v>535</v>
      </c>
      <c r="P869" s="75" t="s">
        <v>1111</v>
      </c>
    </row>
    <row r="870" spans="1:16">
      <c r="A870" s="63" t="s">
        <v>4282</v>
      </c>
      <c r="B870" s="14" t="str">
        <f>VLOOKUP(P870,'护理记录单文书字典(数据)'!B$4:C$99,2,0)</f>
        <v>D20BEA340CFAB211D3BF915592730B4C</v>
      </c>
      <c r="C870" s="75" t="s">
        <v>3342</v>
      </c>
      <c r="D870" s="75" t="s">
        <v>3343</v>
      </c>
      <c r="E870" s="92" t="s">
        <v>2048</v>
      </c>
      <c r="F870" s="87">
        <v>1</v>
      </c>
      <c r="G870" s="87">
        <v>1</v>
      </c>
      <c r="H870" s="75"/>
      <c r="I870" s="75"/>
      <c r="J870" s="75"/>
      <c r="K870" s="75" t="s">
        <v>162</v>
      </c>
      <c r="L870" s="75" t="s">
        <v>509</v>
      </c>
      <c r="M870" s="75" t="s">
        <v>535</v>
      </c>
      <c r="N870" s="75" t="s">
        <v>509</v>
      </c>
      <c r="O870" s="75" t="s">
        <v>535</v>
      </c>
      <c r="P870" s="75" t="s">
        <v>1111</v>
      </c>
    </row>
    <row r="871" spans="1:16">
      <c r="A871" s="63" t="s">
        <v>4282</v>
      </c>
      <c r="B871" s="14" t="str">
        <f>VLOOKUP(P871,'护理记录单文书字典(数据)'!B$4:C$99,2,0)</f>
        <v>D20BEA340CFAB211D3BF915592730B4C</v>
      </c>
      <c r="C871" s="75" t="s">
        <v>3344</v>
      </c>
      <c r="D871" s="75" t="s">
        <v>3345</v>
      </c>
      <c r="E871" s="92" t="s">
        <v>2052</v>
      </c>
      <c r="F871" s="87">
        <v>1</v>
      </c>
      <c r="G871" s="87">
        <v>1</v>
      </c>
      <c r="H871" s="75" t="s">
        <v>2812</v>
      </c>
      <c r="I871" s="75"/>
      <c r="J871" s="75"/>
      <c r="K871" s="75" t="s">
        <v>162</v>
      </c>
      <c r="L871" s="75" t="s">
        <v>509</v>
      </c>
      <c r="M871" s="75" t="s">
        <v>535</v>
      </c>
      <c r="N871" s="75" t="s">
        <v>509</v>
      </c>
      <c r="O871" s="75" t="s">
        <v>535</v>
      </c>
      <c r="P871" s="75" t="s">
        <v>1111</v>
      </c>
    </row>
    <row r="872" spans="1:16">
      <c r="A872" s="63" t="s">
        <v>4282</v>
      </c>
      <c r="B872" s="14" t="str">
        <f>VLOOKUP(P872,'护理记录单文书字典(数据)'!B$4:C$99,2,0)</f>
        <v>D20BEA340CFAB211D3BF915592730B4C</v>
      </c>
      <c r="C872" s="75" t="s">
        <v>3346</v>
      </c>
      <c r="D872" s="75" t="s">
        <v>3347</v>
      </c>
      <c r="E872" s="92" t="s">
        <v>2052</v>
      </c>
      <c r="F872" s="87">
        <v>1</v>
      </c>
      <c r="G872" s="87">
        <v>1</v>
      </c>
      <c r="H872" s="75" t="s">
        <v>2812</v>
      </c>
      <c r="I872" s="75"/>
      <c r="J872" s="75"/>
      <c r="K872" s="75" t="s">
        <v>162</v>
      </c>
      <c r="L872" s="75" t="s">
        <v>509</v>
      </c>
      <c r="M872" s="75" t="s">
        <v>535</v>
      </c>
      <c r="N872" s="75" t="s">
        <v>509</v>
      </c>
      <c r="O872" s="75" t="s">
        <v>535</v>
      </c>
      <c r="P872" s="75" t="s">
        <v>1111</v>
      </c>
    </row>
    <row r="873" spans="1:16">
      <c r="A873" s="63" t="s">
        <v>4282</v>
      </c>
      <c r="B873" s="14" t="str">
        <f>VLOOKUP(P873,'护理记录单文书字典(数据)'!B$4:C$99,2,0)</f>
        <v>D20BEA340CFAB211D3BF915592730B4C</v>
      </c>
      <c r="C873" s="75" t="s">
        <v>3348</v>
      </c>
      <c r="D873" s="75" t="s">
        <v>3349</v>
      </c>
      <c r="E873" s="92" t="s">
        <v>2048</v>
      </c>
      <c r="F873" s="87">
        <v>1</v>
      </c>
      <c r="G873" s="87">
        <v>1</v>
      </c>
      <c r="H873" s="75"/>
      <c r="I873" s="75"/>
      <c r="J873" s="75"/>
      <c r="K873" s="75" t="s">
        <v>162</v>
      </c>
      <c r="L873" s="75" t="s">
        <v>509</v>
      </c>
      <c r="M873" s="75" t="s">
        <v>535</v>
      </c>
      <c r="N873" s="75" t="s">
        <v>509</v>
      </c>
      <c r="O873" s="75" t="s">
        <v>535</v>
      </c>
      <c r="P873" s="75" t="s">
        <v>1111</v>
      </c>
    </row>
    <row r="874" spans="1:16">
      <c r="A874" s="63" t="s">
        <v>4282</v>
      </c>
      <c r="B874" s="14" t="str">
        <f>VLOOKUP(P874,'护理记录单文书字典(数据)'!B$4:C$99,2,0)</f>
        <v>D20BEA340CFAB211D3BF915592730B4C</v>
      </c>
      <c r="C874" s="75" t="s">
        <v>3350</v>
      </c>
      <c r="D874" s="75" t="s">
        <v>3351</v>
      </c>
      <c r="E874" s="92" t="s">
        <v>2052</v>
      </c>
      <c r="F874" s="87">
        <v>1</v>
      </c>
      <c r="G874" s="87">
        <v>1</v>
      </c>
      <c r="H874" s="75" t="s">
        <v>2812</v>
      </c>
      <c r="I874" s="75"/>
      <c r="J874" s="75"/>
      <c r="K874" s="75" t="s">
        <v>162</v>
      </c>
      <c r="L874" s="75" t="s">
        <v>509</v>
      </c>
      <c r="M874" s="75" t="s">
        <v>535</v>
      </c>
      <c r="N874" s="75" t="s">
        <v>509</v>
      </c>
      <c r="O874" s="75" t="s">
        <v>535</v>
      </c>
      <c r="P874" s="75" t="s">
        <v>1111</v>
      </c>
    </row>
    <row r="875" spans="1:16">
      <c r="A875" s="63" t="s">
        <v>4282</v>
      </c>
      <c r="B875" s="14" t="str">
        <f>VLOOKUP(P875,'护理记录单文书字典(数据)'!B$4:C$99,2,0)</f>
        <v>D20BEA340CFAB211D3BF915592730B4C</v>
      </c>
      <c r="C875" s="75" t="s">
        <v>3352</v>
      </c>
      <c r="D875" s="75" t="s">
        <v>3353</v>
      </c>
      <c r="E875" s="92" t="s">
        <v>2052</v>
      </c>
      <c r="F875" s="87">
        <v>1</v>
      </c>
      <c r="G875" s="87">
        <v>1</v>
      </c>
      <c r="H875" s="75" t="s">
        <v>2812</v>
      </c>
      <c r="I875" s="75"/>
      <c r="J875" s="75"/>
      <c r="K875" s="75" t="s">
        <v>162</v>
      </c>
      <c r="L875" s="75" t="s">
        <v>509</v>
      </c>
      <c r="M875" s="75" t="s">
        <v>535</v>
      </c>
      <c r="N875" s="75" t="s">
        <v>509</v>
      </c>
      <c r="O875" s="75" t="s">
        <v>535</v>
      </c>
      <c r="P875" s="75" t="s">
        <v>1111</v>
      </c>
    </row>
    <row r="876" spans="1:16">
      <c r="A876" s="63" t="s">
        <v>4282</v>
      </c>
      <c r="B876" s="14" t="str">
        <f>VLOOKUP(P876,'护理记录单文书字典(数据)'!B$4:C$99,2,0)</f>
        <v>D20BEA340CFAB211D3BF915592730B4C</v>
      </c>
      <c r="C876" s="75" t="s">
        <v>3354</v>
      </c>
      <c r="D876" s="75" t="s">
        <v>3355</v>
      </c>
      <c r="E876" s="92" t="s">
        <v>2048</v>
      </c>
      <c r="F876" s="87">
        <v>1</v>
      </c>
      <c r="G876" s="87">
        <v>1</v>
      </c>
      <c r="H876" s="75"/>
      <c r="I876" s="75"/>
      <c r="J876" s="75"/>
      <c r="K876" s="75" t="s">
        <v>162</v>
      </c>
      <c r="L876" s="75" t="s">
        <v>509</v>
      </c>
      <c r="M876" s="75" t="s">
        <v>535</v>
      </c>
      <c r="N876" s="75" t="s">
        <v>509</v>
      </c>
      <c r="O876" s="75" t="s">
        <v>535</v>
      </c>
      <c r="P876" s="75" t="s">
        <v>1111</v>
      </c>
    </row>
    <row r="877" spans="1:16">
      <c r="A877" s="63" t="s">
        <v>4282</v>
      </c>
      <c r="B877" s="14" t="str">
        <f>VLOOKUP(P877,'护理记录单文书字典(数据)'!B$4:C$99,2,0)</f>
        <v>D20BEA340CFAB211D3BF915592730B4C</v>
      </c>
      <c r="C877" s="75" t="s">
        <v>3356</v>
      </c>
      <c r="D877" s="75" t="s">
        <v>3357</v>
      </c>
      <c r="E877" s="92" t="s">
        <v>2052</v>
      </c>
      <c r="F877" s="87">
        <v>1</v>
      </c>
      <c r="G877" s="87">
        <v>1</v>
      </c>
      <c r="H877" s="75" t="s">
        <v>2812</v>
      </c>
      <c r="I877" s="75"/>
      <c r="J877" s="75"/>
      <c r="K877" s="75" t="s">
        <v>162</v>
      </c>
      <c r="L877" s="75" t="s">
        <v>509</v>
      </c>
      <c r="M877" s="75" t="s">
        <v>535</v>
      </c>
      <c r="N877" s="75" t="s">
        <v>509</v>
      </c>
      <c r="O877" s="75" t="s">
        <v>535</v>
      </c>
      <c r="P877" s="75" t="s">
        <v>1111</v>
      </c>
    </row>
    <row r="878" spans="1:16">
      <c r="A878" s="63" t="s">
        <v>4282</v>
      </c>
      <c r="B878" s="14" t="str">
        <f>VLOOKUP(P878,'护理记录单文书字典(数据)'!B$4:C$99,2,0)</f>
        <v>D20BEA340CFAB211D3BF915592730B4C</v>
      </c>
      <c r="C878" s="75" t="s">
        <v>2105</v>
      </c>
      <c r="D878" s="75" t="s">
        <v>2103</v>
      </c>
      <c r="E878" s="92" t="s">
        <v>2104</v>
      </c>
      <c r="F878" s="87">
        <v>1</v>
      </c>
      <c r="G878" s="87">
        <v>1</v>
      </c>
      <c r="H878" s="75"/>
      <c r="I878" s="75"/>
      <c r="J878" s="75"/>
      <c r="K878" s="75" t="s">
        <v>162</v>
      </c>
      <c r="L878" s="75" t="s">
        <v>509</v>
      </c>
      <c r="M878" s="75" t="s">
        <v>535</v>
      </c>
      <c r="N878" s="75" t="s">
        <v>509</v>
      </c>
      <c r="O878" s="75" t="s">
        <v>535</v>
      </c>
      <c r="P878" s="75" t="s">
        <v>1111</v>
      </c>
    </row>
    <row r="879" spans="1:16">
      <c r="A879" s="63" t="s">
        <v>4282</v>
      </c>
      <c r="B879" s="14" t="str">
        <f>VLOOKUP(P879,'护理记录单文书字典(数据)'!B$4:C$99,2,0)</f>
        <v>E3730E350CFAB21190811B66F2621D5F</v>
      </c>
      <c r="C879" s="75" t="s">
        <v>2573</v>
      </c>
      <c r="D879" s="75" t="s">
        <v>2572</v>
      </c>
      <c r="E879" s="92" t="s">
        <v>2048</v>
      </c>
      <c r="F879" s="87">
        <v>1</v>
      </c>
      <c r="G879" s="87">
        <v>1</v>
      </c>
      <c r="H879" s="75"/>
      <c r="I879" s="75"/>
      <c r="J879" s="75"/>
      <c r="K879" s="75" t="s">
        <v>162</v>
      </c>
      <c r="L879" s="75" t="s">
        <v>509</v>
      </c>
      <c r="M879" s="75" t="s">
        <v>535</v>
      </c>
      <c r="N879" s="75" t="s">
        <v>509</v>
      </c>
      <c r="O879" s="75" t="s">
        <v>535</v>
      </c>
      <c r="P879" s="75" t="s">
        <v>1277</v>
      </c>
    </row>
    <row r="880" spans="1:16">
      <c r="A880" s="63" t="s">
        <v>4282</v>
      </c>
      <c r="B880" s="14" t="str">
        <f>VLOOKUP(P880,'护理记录单文书字典(数据)'!B$4:C$99,2,0)</f>
        <v>E3730E350CFAB21190811B66F2621D5F</v>
      </c>
      <c r="C880" s="75" t="s">
        <v>3273</v>
      </c>
      <c r="D880" s="75" t="s">
        <v>3274</v>
      </c>
      <c r="E880" s="92" t="s">
        <v>2048</v>
      </c>
      <c r="F880" s="87">
        <v>1</v>
      </c>
      <c r="G880" s="87">
        <v>1</v>
      </c>
      <c r="H880" s="75"/>
      <c r="I880" s="75"/>
      <c r="J880" s="75"/>
      <c r="K880" s="75" t="s">
        <v>162</v>
      </c>
      <c r="L880" s="75" t="s">
        <v>509</v>
      </c>
      <c r="M880" s="75" t="s">
        <v>535</v>
      </c>
      <c r="N880" s="75" t="s">
        <v>509</v>
      </c>
      <c r="O880" s="75" t="s">
        <v>535</v>
      </c>
      <c r="P880" s="75" t="s">
        <v>1277</v>
      </c>
    </row>
    <row r="881" spans="1:16">
      <c r="A881" s="63" t="s">
        <v>4282</v>
      </c>
      <c r="B881" s="14" t="str">
        <f>VLOOKUP(P881,'护理记录单文书字典(数据)'!B$4:C$99,2,0)</f>
        <v>E3730E350CFAB21190811B66F2621D5F</v>
      </c>
      <c r="C881" s="75" t="s">
        <v>3358</v>
      </c>
      <c r="D881" s="75" t="s">
        <v>3359</v>
      </c>
      <c r="E881" s="92" t="s">
        <v>2048</v>
      </c>
      <c r="F881" s="87">
        <v>1</v>
      </c>
      <c r="G881" s="87">
        <v>1</v>
      </c>
      <c r="H881" s="75"/>
      <c r="I881" s="75"/>
      <c r="J881" s="75"/>
      <c r="K881" s="75" t="s">
        <v>162</v>
      </c>
      <c r="L881" s="75" t="s">
        <v>509</v>
      </c>
      <c r="M881" s="75" t="s">
        <v>535</v>
      </c>
      <c r="N881" s="75" t="s">
        <v>509</v>
      </c>
      <c r="O881" s="75" t="s">
        <v>535</v>
      </c>
      <c r="P881" s="75" t="s">
        <v>1277</v>
      </c>
    </row>
    <row r="882" spans="1:16">
      <c r="A882" s="63" t="s">
        <v>4282</v>
      </c>
      <c r="B882" s="14" t="str">
        <f>VLOOKUP(P882,'护理记录单文书字典(数据)'!B$4:C$99,2,0)</f>
        <v>E3730E350CFAB21190811B66F2621D5F</v>
      </c>
      <c r="C882" s="75" t="s">
        <v>3272</v>
      </c>
      <c r="D882" s="75" t="s">
        <v>1119</v>
      </c>
      <c r="E882" s="92" t="s">
        <v>2052</v>
      </c>
      <c r="F882" s="87">
        <v>1</v>
      </c>
      <c r="G882" s="87">
        <v>1</v>
      </c>
      <c r="H882" s="75" t="s">
        <v>1118</v>
      </c>
      <c r="I882" s="75"/>
      <c r="J882" s="75"/>
      <c r="K882" s="75" t="s">
        <v>162</v>
      </c>
      <c r="L882" s="75" t="s">
        <v>509</v>
      </c>
      <c r="M882" s="75" t="s">
        <v>535</v>
      </c>
      <c r="N882" s="75" t="s">
        <v>509</v>
      </c>
      <c r="O882" s="75" t="s">
        <v>535</v>
      </c>
      <c r="P882" s="75" t="s">
        <v>1277</v>
      </c>
    </row>
    <row r="883" spans="1:16">
      <c r="A883" s="63" t="s">
        <v>4282</v>
      </c>
      <c r="B883" s="14" t="str">
        <f>VLOOKUP(P883,'护理记录单文书字典(数据)'!B$4:C$99,2,0)</f>
        <v>E3730E350CFAB21190811B66F2621D5F</v>
      </c>
      <c r="C883" s="75" t="s">
        <v>3360</v>
      </c>
      <c r="D883" s="75" t="s">
        <v>3361</v>
      </c>
      <c r="E883" s="92" t="s">
        <v>2048</v>
      </c>
      <c r="F883" s="87">
        <v>1</v>
      </c>
      <c r="G883" s="87">
        <v>1</v>
      </c>
      <c r="H883" s="75"/>
      <c r="I883" s="75"/>
      <c r="J883" s="75"/>
      <c r="K883" s="75" t="s">
        <v>162</v>
      </c>
      <c r="L883" s="75" t="s">
        <v>509</v>
      </c>
      <c r="M883" s="75" t="s">
        <v>535</v>
      </c>
      <c r="N883" s="75" t="s">
        <v>509</v>
      </c>
      <c r="O883" s="75" t="s">
        <v>535</v>
      </c>
      <c r="P883" s="75" t="s">
        <v>1277</v>
      </c>
    </row>
    <row r="884" spans="1:16">
      <c r="A884" s="63" t="s">
        <v>4282</v>
      </c>
      <c r="B884" s="14" t="str">
        <f>VLOOKUP(P884,'护理记录单文书字典(数据)'!B$4:C$99,2,0)</f>
        <v>E3730E350CFAB21190811B66F2621D5F</v>
      </c>
      <c r="C884" s="75" t="s">
        <v>3362</v>
      </c>
      <c r="D884" s="75" t="s">
        <v>3363</v>
      </c>
      <c r="E884" s="92" t="s">
        <v>2048</v>
      </c>
      <c r="F884" s="87">
        <v>1</v>
      </c>
      <c r="G884" s="87">
        <v>1</v>
      </c>
      <c r="H884" s="75"/>
      <c r="I884" s="75"/>
      <c r="J884" s="75"/>
      <c r="K884" s="75" t="s">
        <v>162</v>
      </c>
      <c r="L884" s="75" t="s">
        <v>509</v>
      </c>
      <c r="M884" s="75" t="s">
        <v>535</v>
      </c>
      <c r="N884" s="75" t="s">
        <v>509</v>
      </c>
      <c r="O884" s="75" t="s">
        <v>535</v>
      </c>
      <c r="P884" s="75" t="s">
        <v>1277</v>
      </c>
    </row>
    <row r="885" spans="1:16">
      <c r="A885" s="63" t="s">
        <v>4282</v>
      </c>
      <c r="B885" s="14" t="str">
        <f>VLOOKUP(P885,'护理记录单文书字典(数据)'!B$4:C$99,2,0)</f>
        <v>E3730E350CFAB21190811B66F2621D5F</v>
      </c>
      <c r="C885" s="75" t="s">
        <v>3364</v>
      </c>
      <c r="D885" s="75" t="s">
        <v>3365</v>
      </c>
      <c r="E885" s="92" t="s">
        <v>2048</v>
      </c>
      <c r="F885" s="87">
        <v>1</v>
      </c>
      <c r="G885" s="87">
        <v>1</v>
      </c>
      <c r="H885" s="75"/>
      <c r="I885" s="75"/>
      <c r="J885" s="75"/>
      <c r="K885" s="75" t="s">
        <v>162</v>
      </c>
      <c r="L885" s="75" t="s">
        <v>509</v>
      </c>
      <c r="M885" s="75" t="s">
        <v>535</v>
      </c>
      <c r="N885" s="75" t="s">
        <v>509</v>
      </c>
      <c r="O885" s="75" t="s">
        <v>535</v>
      </c>
      <c r="P885" s="75" t="s">
        <v>1277</v>
      </c>
    </row>
    <row r="886" spans="1:16">
      <c r="A886" s="63" t="s">
        <v>4282</v>
      </c>
      <c r="B886" s="14" t="str">
        <f>VLOOKUP(P886,'护理记录单文书字典(数据)'!B$4:C$99,2,0)</f>
        <v>E3730E350CFAB21190811B66F2621D5F</v>
      </c>
      <c r="C886" s="75" t="s">
        <v>3366</v>
      </c>
      <c r="D886" s="75" t="s">
        <v>3367</v>
      </c>
      <c r="E886" s="92" t="s">
        <v>2048</v>
      </c>
      <c r="F886" s="87">
        <v>1</v>
      </c>
      <c r="G886" s="87">
        <v>1</v>
      </c>
      <c r="H886" s="75"/>
      <c r="I886" s="75"/>
      <c r="J886" s="75"/>
      <c r="K886" s="75" t="s">
        <v>162</v>
      </c>
      <c r="L886" s="75" t="s">
        <v>509</v>
      </c>
      <c r="M886" s="75" t="s">
        <v>535</v>
      </c>
      <c r="N886" s="75" t="s">
        <v>509</v>
      </c>
      <c r="O886" s="75" t="s">
        <v>535</v>
      </c>
      <c r="P886" s="75" t="s">
        <v>1277</v>
      </c>
    </row>
    <row r="887" spans="1:16">
      <c r="A887" s="63" t="s">
        <v>4282</v>
      </c>
      <c r="B887" s="14" t="str">
        <f>VLOOKUP(P887,'护理记录单文书字典(数据)'!B$4:C$99,2,0)</f>
        <v>E3730E350CFAB21190811B66F2621D5F</v>
      </c>
      <c r="C887" s="75" t="s">
        <v>3265</v>
      </c>
      <c r="D887" s="75" t="s">
        <v>1095</v>
      </c>
      <c r="E887" s="92" t="s">
        <v>2052</v>
      </c>
      <c r="F887" s="87">
        <v>1</v>
      </c>
      <c r="G887" s="87">
        <v>1</v>
      </c>
      <c r="H887" s="75" t="s">
        <v>1278</v>
      </c>
      <c r="I887" s="75"/>
      <c r="J887" s="75"/>
      <c r="K887" s="75" t="s">
        <v>162</v>
      </c>
      <c r="L887" s="75" t="s">
        <v>509</v>
      </c>
      <c r="M887" s="75" t="s">
        <v>535</v>
      </c>
      <c r="N887" s="75" t="s">
        <v>509</v>
      </c>
      <c r="O887" s="75" t="s">
        <v>535</v>
      </c>
      <c r="P887" s="75" t="s">
        <v>1277</v>
      </c>
    </row>
    <row r="888" spans="1:16">
      <c r="A888" s="63" t="s">
        <v>4282</v>
      </c>
      <c r="B888" s="14" t="str">
        <f>VLOOKUP(P888,'护理记录单文书字典(数据)'!B$4:C$99,2,0)</f>
        <v>E3730E350CFAB21190811B66F2621D5F</v>
      </c>
      <c r="C888" s="75" t="s">
        <v>3368</v>
      </c>
      <c r="D888" s="75" t="s">
        <v>1280</v>
      </c>
      <c r="E888" s="92" t="s">
        <v>2052</v>
      </c>
      <c r="F888" s="87">
        <v>1</v>
      </c>
      <c r="G888" s="87">
        <v>1</v>
      </c>
      <c r="H888" s="75" t="s">
        <v>1279</v>
      </c>
      <c r="I888" s="75"/>
      <c r="J888" s="75"/>
      <c r="K888" s="75" t="s">
        <v>162</v>
      </c>
      <c r="L888" s="75" t="s">
        <v>509</v>
      </c>
      <c r="M888" s="75" t="s">
        <v>535</v>
      </c>
      <c r="N888" s="75" t="s">
        <v>509</v>
      </c>
      <c r="O888" s="75" t="s">
        <v>535</v>
      </c>
      <c r="P888" s="75" t="s">
        <v>1277</v>
      </c>
    </row>
    <row r="889" spans="1:16">
      <c r="A889" s="63" t="s">
        <v>4282</v>
      </c>
      <c r="B889" s="14" t="str">
        <f>VLOOKUP(P889,'护理记录单文书字典(数据)'!B$4:C$99,2,0)</f>
        <v>E3730E350CFAB21190811B66F2621D5F</v>
      </c>
      <c r="C889" s="75" t="s">
        <v>3266</v>
      </c>
      <c r="D889" s="75" t="s">
        <v>1100</v>
      </c>
      <c r="E889" s="92" t="s">
        <v>2052</v>
      </c>
      <c r="F889" s="87">
        <v>1</v>
      </c>
      <c r="G889" s="87">
        <v>1</v>
      </c>
      <c r="H889" s="75" t="s">
        <v>1281</v>
      </c>
      <c r="I889" s="75"/>
      <c r="J889" s="75"/>
      <c r="K889" s="75" t="s">
        <v>162</v>
      </c>
      <c r="L889" s="75" t="s">
        <v>509</v>
      </c>
      <c r="M889" s="75" t="s">
        <v>535</v>
      </c>
      <c r="N889" s="75" t="s">
        <v>509</v>
      </c>
      <c r="O889" s="75" t="s">
        <v>535</v>
      </c>
      <c r="P889" s="75" t="s">
        <v>1277</v>
      </c>
    </row>
    <row r="890" spans="1:16">
      <c r="A890" s="63" t="s">
        <v>4282</v>
      </c>
      <c r="B890" s="14" t="str">
        <f>VLOOKUP(P890,'护理记录单文书字典(数据)'!B$4:C$99,2,0)</f>
        <v>E3730E350CFAB21190811B66F2621D5F</v>
      </c>
      <c r="C890" s="75" t="s">
        <v>2905</v>
      </c>
      <c r="D890" s="75" t="s">
        <v>1317</v>
      </c>
      <c r="E890" s="92" t="s">
        <v>2048</v>
      </c>
      <c r="F890" s="87">
        <v>1</v>
      </c>
      <c r="G890" s="87">
        <v>1</v>
      </c>
      <c r="H890" s="75"/>
      <c r="I890" s="75"/>
      <c r="J890" s="75"/>
      <c r="K890" s="75" t="s">
        <v>162</v>
      </c>
      <c r="L890" s="75" t="s">
        <v>509</v>
      </c>
      <c r="M890" s="75" t="s">
        <v>535</v>
      </c>
      <c r="N890" s="75" t="s">
        <v>509</v>
      </c>
      <c r="O890" s="75" t="s">
        <v>535</v>
      </c>
      <c r="P890" s="75" t="s">
        <v>1277</v>
      </c>
    </row>
    <row r="891" spans="1:16">
      <c r="A891" s="63" t="s">
        <v>4282</v>
      </c>
      <c r="B891" s="14" t="str">
        <f>VLOOKUP(P891,'护理记录单文书字典(数据)'!B$4:C$99,2,0)</f>
        <v>E3730E350CFAB21190811B66F2621D5F</v>
      </c>
      <c r="C891" s="75" t="s">
        <v>3268</v>
      </c>
      <c r="D891" s="75" t="s">
        <v>1131</v>
      </c>
      <c r="E891" s="92" t="s">
        <v>2052</v>
      </c>
      <c r="F891" s="87">
        <v>1</v>
      </c>
      <c r="G891" s="87">
        <v>1</v>
      </c>
      <c r="H891" s="75" t="s">
        <v>1130</v>
      </c>
      <c r="I891" s="75"/>
      <c r="J891" s="75"/>
      <c r="K891" s="75" t="s">
        <v>162</v>
      </c>
      <c r="L891" s="75" t="s">
        <v>509</v>
      </c>
      <c r="M891" s="75" t="s">
        <v>535</v>
      </c>
      <c r="N891" s="75" t="s">
        <v>509</v>
      </c>
      <c r="O891" s="75" t="s">
        <v>535</v>
      </c>
      <c r="P891" s="75" t="s">
        <v>1277</v>
      </c>
    </row>
    <row r="892" spans="1:16">
      <c r="A892" s="63" t="s">
        <v>4282</v>
      </c>
      <c r="B892" s="14" t="str">
        <f>VLOOKUP(P892,'护理记录单文书字典(数据)'!B$4:C$99,2,0)</f>
        <v>E3730E350CFAB21190811B66F2621D5F</v>
      </c>
      <c r="C892" s="75" t="s">
        <v>3369</v>
      </c>
      <c r="D892" s="75" t="s">
        <v>3370</v>
      </c>
      <c r="E892" s="92" t="s">
        <v>2048</v>
      </c>
      <c r="F892" s="87">
        <v>1</v>
      </c>
      <c r="G892" s="87">
        <v>1</v>
      </c>
      <c r="H892" s="75"/>
      <c r="I892" s="75"/>
      <c r="J892" s="75"/>
      <c r="K892" s="75" t="s">
        <v>162</v>
      </c>
      <c r="L892" s="75" t="s">
        <v>509</v>
      </c>
      <c r="M892" s="75" t="s">
        <v>535</v>
      </c>
      <c r="N892" s="75" t="s">
        <v>509</v>
      </c>
      <c r="O892" s="75" t="s">
        <v>535</v>
      </c>
      <c r="P892" s="75" t="s">
        <v>1277</v>
      </c>
    </row>
    <row r="893" spans="1:16">
      <c r="A893" s="63" t="s">
        <v>4282</v>
      </c>
      <c r="B893" s="14" t="str">
        <f>VLOOKUP(P893,'护理记录单文书字典(数据)'!B$4:C$99,2,0)</f>
        <v>E3730E350CFAB21190811B66F2621D5F</v>
      </c>
      <c r="C893" s="75" t="s">
        <v>3371</v>
      </c>
      <c r="D893" s="75" t="s">
        <v>3372</v>
      </c>
      <c r="E893" s="92" t="s">
        <v>2048</v>
      </c>
      <c r="F893" s="87">
        <v>1</v>
      </c>
      <c r="G893" s="87">
        <v>1</v>
      </c>
      <c r="H893" s="75"/>
      <c r="I893" s="75"/>
      <c r="J893" s="75"/>
      <c r="K893" s="75" t="s">
        <v>162</v>
      </c>
      <c r="L893" s="75" t="s">
        <v>509</v>
      </c>
      <c r="M893" s="75" t="s">
        <v>535</v>
      </c>
      <c r="N893" s="75" t="s">
        <v>509</v>
      </c>
      <c r="O893" s="75" t="s">
        <v>535</v>
      </c>
      <c r="P893" s="75" t="s">
        <v>1277</v>
      </c>
    </row>
    <row r="894" spans="1:16">
      <c r="A894" s="63" t="s">
        <v>4282</v>
      </c>
      <c r="B894" s="14" t="str">
        <f>VLOOKUP(P894,'护理记录单文书字典(数据)'!B$4:C$99,2,0)</f>
        <v>E3730E350CFAB21190811B66F2621D5F</v>
      </c>
      <c r="C894" s="75" t="s">
        <v>3373</v>
      </c>
      <c r="D894" s="75" t="s">
        <v>3374</v>
      </c>
      <c r="E894" s="92" t="s">
        <v>2048</v>
      </c>
      <c r="F894" s="87">
        <v>1</v>
      </c>
      <c r="G894" s="87">
        <v>1</v>
      </c>
      <c r="H894" s="75" t="s">
        <v>1282</v>
      </c>
      <c r="I894" s="75"/>
      <c r="J894" s="75"/>
      <c r="K894" s="75" t="s">
        <v>162</v>
      </c>
      <c r="L894" s="75" t="s">
        <v>509</v>
      </c>
      <c r="M894" s="75" t="s">
        <v>535</v>
      </c>
      <c r="N894" s="75" t="s">
        <v>509</v>
      </c>
      <c r="O894" s="75" t="s">
        <v>535</v>
      </c>
      <c r="P894" s="75" t="s">
        <v>1277</v>
      </c>
    </row>
    <row r="895" spans="1:16">
      <c r="A895" s="63" t="s">
        <v>4282</v>
      </c>
      <c r="B895" s="14" t="str">
        <f>VLOOKUP(P895,'护理记录单文书字典(数据)'!B$4:C$99,2,0)</f>
        <v>E3730E350CFAB21190811B66F2621D5F</v>
      </c>
      <c r="C895" s="75" t="s">
        <v>3375</v>
      </c>
      <c r="D895" s="75" t="s">
        <v>3376</v>
      </c>
      <c r="E895" s="92" t="s">
        <v>2048</v>
      </c>
      <c r="F895" s="87">
        <v>1</v>
      </c>
      <c r="G895" s="87">
        <v>1</v>
      </c>
      <c r="H895" s="75"/>
      <c r="I895" s="75"/>
      <c r="J895" s="75"/>
      <c r="K895" s="75" t="s">
        <v>162</v>
      </c>
      <c r="L895" s="75" t="s">
        <v>509</v>
      </c>
      <c r="M895" s="75" t="s">
        <v>535</v>
      </c>
      <c r="N895" s="75" t="s">
        <v>509</v>
      </c>
      <c r="O895" s="75" t="s">
        <v>535</v>
      </c>
      <c r="P895" s="75" t="s">
        <v>1277</v>
      </c>
    </row>
    <row r="896" spans="1:16">
      <c r="A896" s="63" t="s">
        <v>4282</v>
      </c>
      <c r="B896" s="14" t="str">
        <f>VLOOKUP(P896,'护理记录单文书字典(数据)'!B$4:C$99,2,0)</f>
        <v>E3730E350CFAB21190811B66F2621D5F</v>
      </c>
      <c r="C896" s="75" t="s">
        <v>3377</v>
      </c>
      <c r="D896" s="75" t="s">
        <v>3378</v>
      </c>
      <c r="E896" s="92" t="s">
        <v>2052</v>
      </c>
      <c r="F896" s="87">
        <v>1</v>
      </c>
      <c r="G896" s="87">
        <v>1</v>
      </c>
      <c r="H896" s="75" t="s">
        <v>1285</v>
      </c>
      <c r="I896" s="75"/>
      <c r="J896" s="75"/>
      <c r="K896" s="75" t="s">
        <v>162</v>
      </c>
      <c r="L896" s="75" t="s">
        <v>509</v>
      </c>
      <c r="M896" s="75" t="s">
        <v>535</v>
      </c>
      <c r="N896" s="75" t="s">
        <v>509</v>
      </c>
      <c r="O896" s="75" t="s">
        <v>535</v>
      </c>
      <c r="P896" s="75" t="s">
        <v>1277</v>
      </c>
    </row>
    <row r="897" spans="1:16">
      <c r="A897" s="63" t="s">
        <v>4282</v>
      </c>
      <c r="B897" s="14" t="str">
        <f>VLOOKUP(P897,'护理记录单文书字典(数据)'!B$4:C$99,2,0)</f>
        <v>E3730E350CFAB21190811B66F2621D5F</v>
      </c>
      <c r="C897" s="75" t="s">
        <v>3379</v>
      </c>
      <c r="D897" s="75" t="s">
        <v>1290</v>
      </c>
      <c r="E897" s="92" t="s">
        <v>2052</v>
      </c>
      <c r="F897" s="87">
        <v>1</v>
      </c>
      <c r="G897" s="87">
        <v>1</v>
      </c>
      <c r="H897" s="75" t="s">
        <v>1289</v>
      </c>
      <c r="I897" s="75"/>
      <c r="J897" s="75"/>
      <c r="K897" s="75" t="s">
        <v>162</v>
      </c>
      <c r="L897" s="75" t="s">
        <v>509</v>
      </c>
      <c r="M897" s="75" t="s">
        <v>535</v>
      </c>
      <c r="N897" s="75" t="s">
        <v>509</v>
      </c>
      <c r="O897" s="75" t="s">
        <v>535</v>
      </c>
      <c r="P897" s="75" t="s">
        <v>1277</v>
      </c>
    </row>
    <row r="898" spans="1:16">
      <c r="A898" s="63" t="s">
        <v>4282</v>
      </c>
      <c r="B898" s="14" t="str">
        <f>VLOOKUP(P898,'护理记录单文书字典(数据)'!B$4:C$99,2,0)</f>
        <v>E3730E350CFAB21190811B66F2621D5F</v>
      </c>
      <c r="C898" s="75" t="s">
        <v>3380</v>
      </c>
      <c r="D898" s="75" t="s">
        <v>3381</v>
      </c>
      <c r="E898" s="92" t="s">
        <v>2048</v>
      </c>
      <c r="F898" s="87">
        <v>1</v>
      </c>
      <c r="G898" s="87">
        <v>1</v>
      </c>
      <c r="H898" s="75"/>
      <c r="I898" s="75"/>
      <c r="J898" s="75"/>
      <c r="K898" s="75" t="s">
        <v>162</v>
      </c>
      <c r="L898" s="75" t="s">
        <v>509</v>
      </c>
      <c r="M898" s="75" t="s">
        <v>535</v>
      </c>
      <c r="N898" s="75" t="s">
        <v>509</v>
      </c>
      <c r="O898" s="75" t="s">
        <v>535</v>
      </c>
      <c r="P898" s="75" t="s">
        <v>1277</v>
      </c>
    </row>
    <row r="899" spans="1:16">
      <c r="A899" s="63" t="s">
        <v>4282</v>
      </c>
      <c r="B899" s="14" t="str">
        <f>VLOOKUP(P899,'护理记录单文书字典(数据)'!B$4:C$99,2,0)</f>
        <v>E3730E350CFAB21190811B66F2621D5F</v>
      </c>
      <c r="C899" s="75" t="s">
        <v>3382</v>
      </c>
      <c r="D899" s="75" t="s">
        <v>3383</v>
      </c>
      <c r="E899" s="92" t="s">
        <v>2048</v>
      </c>
      <c r="F899" s="87">
        <v>1</v>
      </c>
      <c r="G899" s="87">
        <v>1</v>
      </c>
      <c r="H899" s="75"/>
      <c r="I899" s="75"/>
      <c r="J899" s="75"/>
      <c r="K899" s="75" t="s">
        <v>162</v>
      </c>
      <c r="L899" s="75" t="s">
        <v>509</v>
      </c>
      <c r="M899" s="75" t="s">
        <v>535</v>
      </c>
      <c r="N899" s="75" t="s">
        <v>509</v>
      </c>
      <c r="O899" s="75" t="s">
        <v>535</v>
      </c>
      <c r="P899" s="75" t="s">
        <v>1277</v>
      </c>
    </row>
    <row r="900" spans="1:16">
      <c r="A900" s="63" t="s">
        <v>4282</v>
      </c>
      <c r="B900" s="14" t="str">
        <f>VLOOKUP(P900,'护理记录单文书字典(数据)'!B$4:C$99,2,0)</f>
        <v>E3730E350CFAB21190811B66F2621D5F</v>
      </c>
      <c r="C900" s="75" t="s">
        <v>3384</v>
      </c>
      <c r="D900" s="75" t="s">
        <v>3385</v>
      </c>
      <c r="E900" s="92" t="s">
        <v>2048</v>
      </c>
      <c r="F900" s="87">
        <v>1</v>
      </c>
      <c r="G900" s="87">
        <v>1</v>
      </c>
      <c r="H900" s="75"/>
      <c r="I900" s="75"/>
      <c r="J900" s="75"/>
      <c r="K900" s="75" t="s">
        <v>162</v>
      </c>
      <c r="L900" s="75" t="s">
        <v>509</v>
      </c>
      <c r="M900" s="75" t="s">
        <v>535</v>
      </c>
      <c r="N900" s="75" t="s">
        <v>509</v>
      </c>
      <c r="O900" s="75" t="s">
        <v>535</v>
      </c>
      <c r="P900" s="75" t="s">
        <v>1277</v>
      </c>
    </row>
    <row r="901" spans="1:16">
      <c r="A901" s="63" t="s">
        <v>4282</v>
      </c>
      <c r="B901" s="14" t="str">
        <f>VLOOKUP(P901,'护理记录单文书字典(数据)'!B$4:C$99,2,0)</f>
        <v>E3730E350CFAB21190811B66F2621D5F</v>
      </c>
      <c r="C901" s="75" t="s">
        <v>3386</v>
      </c>
      <c r="D901" s="75" t="s">
        <v>3387</v>
      </c>
      <c r="E901" s="92" t="s">
        <v>2048</v>
      </c>
      <c r="F901" s="87">
        <v>1</v>
      </c>
      <c r="G901" s="87">
        <v>1</v>
      </c>
      <c r="H901" s="75"/>
      <c r="I901" s="75"/>
      <c r="J901" s="75"/>
      <c r="K901" s="75" t="s">
        <v>162</v>
      </c>
      <c r="L901" s="75" t="s">
        <v>509</v>
      </c>
      <c r="M901" s="75" t="s">
        <v>535</v>
      </c>
      <c r="N901" s="75" t="s">
        <v>509</v>
      </c>
      <c r="O901" s="159" t="s">
        <v>535</v>
      </c>
      <c r="P901" s="75" t="s">
        <v>1277</v>
      </c>
    </row>
    <row r="902" spans="1:16">
      <c r="A902" s="63" t="s">
        <v>4282</v>
      </c>
      <c r="B902" s="14" t="str">
        <f>VLOOKUP(P902,'护理记录单文书字典(数据)'!B$4:C$99,2,0)</f>
        <v>E3730E350CFAB21190811B66F2621D5F</v>
      </c>
      <c r="C902" s="75" t="s">
        <v>2112</v>
      </c>
      <c r="D902" s="75" t="s">
        <v>2978</v>
      </c>
      <c r="E902" s="92" t="s">
        <v>2048</v>
      </c>
      <c r="F902" s="87">
        <v>1</v>
      </c>
      <c r="G902" s="87">
        <v>1</v>
      </c>
      <c r="H902" s="75"/>
      <c r="I902" s="75"/>
      <c r="J902" s="75"/>
      <c r="K902" s="75" t="s">
        <v>162</v>
      </c>
      <c r="L902" s="75" t="s">
        <v>509</v>
      </c>
      <c r="M902" s="75" t="s">
        <v>535</v>
      </c>
      <c r="N902" s="75" t="s">
        <v>509</v>
      </c>
      <c r="O902" s="75" t="s">
        <v>535</v>
      </c>
      <c r="P902" s="75" t="s">
        <v>1277</v>
      </c>
    </row>
    <row r="903" spans="1:16">
      <c r="A903" s="63" t="s">
        <v>4282</v>
      </c>
      <c r="B903" s="14" t="str">
        <f>VLOOKUP(P903,'护理记录单文书字典(数据)'!B$4:C$99,2,0)</f>
        <v>E3730E350CFAB21190811B66F2621D5F</v>
      </c>
      <c r="C903" s="75" t="s">
        <v>2856</v>
      </c>
      <c r="D903" s="75" t="s">
        <v>2857</v>
      </c>
      <c r="E903" s="92" t="s">
        <v>2048</v>
      </c>
      <c r="F903" s="87">
        <v>1</v>
      </c>
      <c r="G903" s="87">
        <v>1</v>
      </c>
      <c r="H903" s="75"/>
      <c r="I903" s="75"/>
      <c r="J903" s="75"/>
      <c r="K903" s="75" t="s">
        <v>162</v>
      </c>
      <c r="L903" s="75" t="s">
        <v>509</v>
      </c>
      <c r="M903" s="75" t="s">
        <v>535</v>
      </c>
      <c r="N903" s="75" t="s">
        <v>509</v>
      </c>
      <c r="O903" s="75" t="s">
        <v>535</v>
      </c>
      <c r="P903" s="75" t="s">
        <v>1277</v>
      </c>
    </row>
    <row r="904" spans="1:16">
      <c r="A904" s="63" t="s">
        <v>4282</v>
      </c>
      <c r="B904" s="14" t="str">
        <f>VLOOKUP(P904,'护理记录单文书字典(数据)'!B$4:C$99,2,0)</f>
        <v>E3730E350CFAB21190811B66F2621D5F</v>
      </c>
      <c r="C904" s="75" t="s">
        <v>2859</v>
      </c>
      <c r="D904" s="75" t="s">
        <v>2860</v>
      </c>
      <c r="E904" s="92" t="s">
        <v>2048</v>
      </c>
      <c r="F904" s="87">
        <v>1</v>
      </c>
      <c r="G904" s="87">
        <v>1</v>
      </c>
      <c r="H904" s="75"/>
      <c r="I904" s="75"/>
      <c r="J904" s="75"/>
      <c r="K904" s="75" t="s">
        <v>162</v>
      </c>
      <c r="L904" s="75" t="s">
        <v>509</v>
      </c>
      <c r="M904" s="75" t="s">
        <v>535</v>
      </c>
      <c r="N904" s="75" t="s">
        <v>509</v>
      </c>
      <c r="O904" s="75" t="s">
        <v>535</v>
      </c>
      <c r="P904" s="75" t="s">
        <v>1277</v>
      </c>
    </row>
    <row r="905" spans="1:16">
      <c r="A905" s="63" t="s">
        <v>4282</v>
      </c>
      <c r="B905" s="14" t="str">
        <f>VLOOKUP(P905,'护理记录单文书字典(数据)'!B$4:C$99,2,0)</f>
        <v>E3730E350CFAB21190811B66F2621D5F</v>
      </c>
      <c r="C905" s="75" t="s">
        <v>2863</v>
      </c>
      <c r="D905" s="75" t="s">
        <v>102</v>
      </c>
      <c r="E905" s="92" t="s">
        <v>2048</v>
      </c>
      <c r="F905" s="87">
        <v>1</v>
      </c>
      <c r="G905" s="87">
        <v>1</v>
      </c>
      <c r="H905" s="75"/>
      <c r="I905" s="75"/>
      <c r="J905" s="75"/>
      <c r="K905" s="75" t="s">
        <v>162</v>
      </c>
      <c r="L905" s="75" t="s">
        <v>509</v>
      </c>
      <c r="M905" s="75" t="s">
        <v>535</v>
      </c>
      <c r="N905" s="75" t="s">
        <v>509</v>
      </c>
      <c r="O905" s="75" t="s">
        <v>535</v>
      </c>
      <c r="P905" s="75" t="s">
        <v>1277</v>
      </c>
    </row>
    <row r="906" spans="1:16">
      <c r="A906" s="63" t="s">
        <v>4282</v>
      </c>
      <c r="B906" s="14" t="str">
        <f>VLOOKUP(P906,'护理记录单文书字典(数据)'!B$4:C$99,2,0)</f>
        <v>E3730E350CFAB21190811B66F2621D5F</v>
      </c>
      <c r="C906" s="75" t="s">
        <v>2864</v>
      </c>
      <c r="D906" s="75" t="s">
        <v>101</v>
      </c>
      <c r="E906" s="92" t="s">
        <v>2048</v>
      </c>
      <c r="F906" s="87">
        <v>1</v>
      </c>
      <c r="G906" s="87">
        <v>1</v>
      </c>
      <c r="H906" s="75"/>
      <c r="I906" s="75"/>
      <c r="J906" s="75"/>
      <c r="K906" s="75" t="s">
        <v>162</v>
      </c>
      <c r="L906" s="75" t="s">
        <v>509</v>
      </c>
      <c r="M906" s="75" t="s">
        <v>535</v>
      </c>
      <c r="N906" s="75" t="s">
        <v>509</v>
      </c>
      <c r="O906" s="75" t="s">
        <v>535</v>
      </c>
      <c r="P906" s="75" t="s">
        <v>1277</v>
      </c>
    </row>
    <row r="907" spans="1:16">
      <c r="A907" s="63" t="s">
        <v>4282</v>
      </c>
      <c r="B907" s="14" t="str">
        <f>VLOOKUP(P907,'护理记录单文书字典(数据)'!B$4:C$99,2,0)</f>
        <v>E3730E350CFAB21190811B66F2621D5F</v>
      </c>
      <c r="C907" s="75" t="s">
        <v>2121</v>
      </c>
      <c r="D907" s="75" t="s">
        <v>3270</v>
      </c>
      <c r="E907" s="92" t="s">
        <v>2048</v>
      </c>
      <c r="F907" s="87">
        <v>1</v>
      </c>
      <c r="G907" s="87">
        <v>1</v>
      </c>
      <c r="H907" s="75"/>
      <c r="I907" s="75"/>
      <c r="J907" s="75"/>
      <c r="K907" s="75" t="s">
        <v>162</v>
      </c>
      <c r="L907" s="75" t="s">
        <v>509</v>
      </c>
      <c r="M907" s="75" t="s">
        <v>535</v>
      </c>
      <c r="N907" s="75" t="s">
        <v>509</v>
      </c>
      <c r="O907" s="75" t="s">
        <v>535</v>
      </c>
      <c r="P907" s="75" t="s">
        <v>1277</v>
      </c>
    </row>
    <row r="908" spans="1:16">
      <c r="A908" s="63" t="s">
        <v>4282</v>
      </c>
      <c r="B908" s="14" t="str">
        <f>VLOOKUP(P908,'护理记录单文书字典(数据)'!B$4:C$99,2,0)</f>
        <v>E3730E350CFAB21190811B66F2621D5F</v>
      </c>
      <c r="C908" s="75" t="s">
        <v>2900</v>
      </c>
      <c r="D908" s="75" t="s">
        <v>1154</v>
      </c>
      <c r="E908" s="92" t="s">
        <v>2048</v>
      </c>
      <c r="F908" s="87">
        <v>1</v>
      </c>
      <c r="G908" s="87">
        <v>1</v>
      </c>
      <c r="H908" s="75"/>
      <c r="I908" s="75"/>
      <c r="J908" s="75"/>
      <c r="K908" s="75" t="s">
        <v>162</v>
      </c>
      <c r="L908" s="75" t="s">
        <v>509</v>
      </c>
      <c r="M908" s="75" t="s">
        <v>535</v>
      </c>
      <c r="N908" s="75" t="s">
        <v>509</v>
      </c>
      <c r="O908" s="75" t="s">
        <v>535</v>
      </c>
      <c r="P908" s="75" t="s">
        <v>1277</v>
      </c>
    </row>
    <row r="909" spans="1:16">
      <c r="A909" s="63" t="s">
        <v>4282</v>
      </c>
      <c r="B909" s="14" t="str">
        <f>VLOOKUP(P909,'护理记录单文书字典(数据)'!B$4:C$99,2,0)</f>
        <v>E3730E350CFAB21190811B66F2621D5F</v>
      </c>
      <c r="C909" s="75" t="s">
        <v>3388</v>
      </c>
      <c r="D909" s="75" t="s">
        <v>3389</v>
      </c>
      <c r="E909" s="92" t="s">
        <v>2052</v>
      </c>
      <c r="F909" s="87">
        <v>1</v>
      </c>
      <c r="G909" s="87">
        <v>1</v>
      </c>
      <c r="H909" s="75" t="s">
        <v>2815</v>
      </c>
      <c r="I909" s="75"/>
      <c r="J909" s="75"/>
      <c r="K909" s="75" t="s">
        <v>162</v>
      </c>
      <c r="L909" s="75" t="s">
        <v>509</v>
      </c>
      <c r="M909" s="75" t="s">
        <v>535</v>
      </c>
      <c r="N909" s="75" t="s">
        <v>509</v>
      </c>
      <c r="O909" s="75" t="s">
        <v>535</v>
      </c>
      <c r="P909" s="75" t="s">
        <v>1277</v>
      </c>
    </row>
    <row r="910" spans="1:16">
      <c r="A910" s="63" t="s">
        <v>4282</v>
      </c>
      <c r="B910" s="14" t="str">
        <f>VLOOKUP(P910,'护理记录单文书字典(数据)'!B$4:C$99,2,0)</f>
        <v>E3730E350CFAB21190811B66F2621D5F</v>
      </c>
      <c r="C910" s="75" t="s">
        <v>3390</v>
      </c>
      <c r="D910" s="75" t="s">
        <v>1003</v>
      </c>
      <c r="E910" s="92" t="s">
        <v>2048</v>
      </c>
      <c r="F910" s="87">
        <v>1</v>
      </c>
      <c r="G910" s="87">
        <v>1</v>
      </c>
      <c r="H910" s="75"/>
      <c r="I910" s="75"/>
      <c r="J910" s="75"/>
      <c r="K910" s="75" t="s">
        <v>162</v>
      </c>
      <c r="L910" s="75" t="s">
        <v>509</v>
      </c>
      <c r="M910" s="75" t="s">
        <v>535</v>
      </c>
      <c r="N910" s="75" t="s">
        <v>509</v>
      </c>
      <c r="O910" s="75" t="s">
        <v>535</v>
      </c>
      <c r="P910" s="75" t="s">
        <v>1277</v>
      </c>
    </row>
    <row r="911" spans="1:16">
      <c r="A911" s="63" t="s">
        <v>4282</v>
      </c>
      <c r="B911" s="14" t="str">
        <f>VLOOKUP(P911,'护理记录单文书字典(数据)'!B$4:C$99,2,0)</f>
        <v>E3730E350CFAB21190811B66F2621D5F</v>
      </c>
      <c r="C911" s="75" t="s">
        <v>2105</v>
      </c>
      <c r="D911" s="75" t="s">
        <v>2103</v>
      </c>
      <c r="E911" s="92" t="s">
        <v>2104</v>
      </c>
      <c r="F911" s="87">
        <v>1</v>
      </c>
      <c r="G911" s="87">
        <v>1</v>
      </c>
      <c r="H911" s="75"/>
      <c r="I911" s="75"/>
      <c r="J911" s="75"/>
      <c r="K911" s="75" t="s">
        <v>162</v>
      </c>
      <c r="L911" s="75" t="s">
        <v>509</v>
      </c>
      <c r="M911" s="75" t="s">
        <v>535</v>
      </c>
      <c r="N911" s="75" t="s">
        <v>509</v>
      </c>
      <c r="O911" s="75" t="s">
        <v>535</v>
      </c>
      <c r="P911" s="75" t="s">
        <v>1277</v>
      </c>
    </row>
    <row r="912" spans="1:16">
      <c r="A912" s="63" t="s">
        <v>4282</v>
      </c>
      <c r="B912" s="14" t="str">
        <f>VLOOKUP(P912,'护理记录单文书字典(数据)'!B$4:C$99,2,0)</f>
        <v>44A706350CFAB2119FBD2A4C9D15623C</v>
      </c>
      <c r="C912" s="75" t="s">
        <v>2046</v>
      </c>
      <c r="D912" s="75" t="s">
        <v>2047</v>
      </c>
      <c r="E912" s="92" t="s">
        <v>2048</v>
      </c>
      <c r="F912" s="87">
        <v>1</v>
      </c>
      <c r="G912" s="87">
        <v>1</v>
      </c>
      <c r="H912" s="75"/>
      <c r="I912" s="75"/>
      <c r="J912" s="75"/>
      <c r="K912" s="75" t="s">
        <v>162</v>
      </c>
      <c r="L912" s="75" t="s">
        <v>509</v>
      </c>
      <c r="M912" s="75" t="s">
        <v>535</v>
      </c>
      <c r="N912" s="75" t="s">
        <v>509</v>
      </c>
      <c r="O912" s="75" t="s">
        <v>535</v>
      </c>
      <c r="P912" s="75" t="s">
        <v>1121</v>
      </c>
    </row>
    <row r="913" spans="1:16">
      <c r="A913" s="63" t="s">
        <v>4282</v>
      </c>
      <c r="B913" s="14" t="str">
        <f>VLOOKUP(P913,'护理记录单文书字典(数据)'!B$4:C$99,2,0)</f>
        <v>44A706350CFAB2119FBD2A4C9D15623C</v>
      </c>
      <c r="C913" s="75" t="s">
        <v>3358</v>
      </c>
      <c r="D913" s="75" t="s">
        <v>3359</v>
      </c>
      <c r="E913" s="92" t="s">
        <v>2048</v>
      </c>
      <c r="F913" s="87">
        <v>1</v>
      </c>
      <c r="G913" s="87">
        <v>1</v>
      </c>
      <c r="H913" s="75"/>
      <c r="I913" s="75"/>
      <c r="J913" s="75"/>
      <c r="K913" s="75" t="s">
        <v>162</v>
      </c>
      <c r="L913" s="75" t="s">
        <v>509</v>
      </c>
      <c r="M913" s="75" t="s">
        <v>535</v>
      </c>
      <c r="N913" s="75" t="s">
        <v>509</v>
      </c>
      <c r="O913" s="75" t="s">
        <v>535</v>
      </c>
      <c r="P913" s="75" t="s">
        <v>1121</v>
      </c>
    </row>
    <row r="914" spans="1:16">
      <c r="A914" s="63" t="s">
        <v>4282</v>
      </c>
      <c r="B914" s="14" t="str">
        <f>VLOOKUP(P914,'护理记录单文书字典(数据)'!B$4:C$99,2,0)</f>
        <v>44A706350CFAB2119FBD2A4C9D15623C</v>
      </c>
      <c r="C914" s="75" t="s">
        <v>3273</v>
      </c>
      <c r="D914" s="75" t="s">
        <v>3274</v>
      </c>
      <c r="E914" s="92" t="s">
        <v>2048</v>
      </c>
      <c r="F914" s="87">
        <v>1</v>
      </c>
      <c r="G914" s="87">
        <v>1</v>
      </c>
      <c r="H914" s="75"/>
      <c r="I914" s="75"/>
      <c r="J914" s="75"/>
      <c r="K914" s="75" t="s">
        <v>162</v>
      </c>
      <c r="L914" s="75" t="s">
        <v>509</v>
      </c>
      <c r="M914" s="75" t="s">
        <v>535</v>
      </c>
      <c r="N914" s="75" t="s">
        <v>509</v>
      </c>
      <c r="O914" s="75" t="s">
        <v>535</v>
      </c>
      <c r="P914" s="75" t="s">
        <v>1121</v>
      </c>
    </row>
    <row r="915" spans="1:16">
      <c r="A915" s="63" t="s">
        <v>4282</v>
      </c>
      <c r="B915" s="14" t="str">
        <f>VLOOKUP(P915,'护理记录单文书字典(数据)'!B$4:C$99,2,0)</f>
        <v>44A706350CFAB2119FBD2A4C9D15623C</v>
      </c>
      <c r="C915" s="75" t="s">
        <v>3272</v>
      </c>
      <c r="D915" s="75" t="s">
        <v>1119</v>
      </c>
      <c r="E915" s="92" t="s">
        <v>2052</v>
      </c>
      <c r="F915" s="87">
        <v>1</v>
      </c>
      <c r="G915" s="87">
        <v>1</v>
      </c>
      <c r="H915" s="75" t="s">
        <v>1118</v>
      </c>
      <c r="I915" s="75"/>
      <c r="J915" s="75"/>
      <c r="K915" s="75" t="s">
        <v>162</v>
      </c>
      <c r="L915" s="75" t="s">
        <v>509</v>
      </c>
      <c r="M915" s="75" t="s">
        <v>535</v>
      </c>
      <c r="N915" s="75" t="s">
        <v>509</v>
      </c>
      <c r="O915" s="75" t="s">
        <v>535</v>
      </c>
      <c r="P915" s="75" t="s">
        <v>1121</v>
      </c>
    </row>
    <row r="916" spans="1:16">
      <c r="A916" s="63" t="s">
        <v>4282</v>
      </c>
      <c r="B916" s="14" t="str">
        <f>VLOOKUP(P916,'护理记录单文书字典(数据)'!B$4:C$99,2,0)</f>
        <v>44A706350CFAB2119FBD2A4C9D15623C</v>
      </c>
      <c r="C916" s="75" t="s">
        <v>3360</v>
      </c>
      <c r="D916" s="75" t="s">
        <v>3361</v>
      </c>
      <c r="E916" s="92" t="s">
        <v>2048</v>
      </c>
      <c r="F916" s="87">
        <v>1</v>
      </c>
      <c r="G916" s="87">
        <v>1</v>
      </c>
      <c r="H916" s="75"/>
      <c r="I916" s="75"/>
      <c r="J916" s="75"/>
      <c r="K916" s="75" t="s">
        <v>162</v>
      </c>
      <c r="L916" s="75" t="s">
        <v>509</v>
      </c>
      <c r="M916" s="75" t="s">
        <v>535</v>
      </c>
      <c r="N916" s="75" t="s">
        <v>509</v>
      </c>
      <c r="O916" s="75" t="s">
        <v>535</v>
      </c>
      <c r="P916" s="75" t="s">
        <v>1121</v>
      </c>
    </row>
    <row r="917" spans="1:16">
      <c r="A917" s="63" t="s">
        <v>4282</v>
      </c>
      <c r="B917" s="14" t="str">
        <f>VLOOKUP(P917,'护理记录单文书字典(数据)'!B$4:C$99,2,0)</f>
        <v>44A706350CFAB2119FBD2A4C9D15623C</v>
      </c>
      <c r="C917" s="75" t="s">
        <v>3362</v>
      </c>
      <c r="D917" s="75" t="s">
        <v>3363</v>
      </c>
      <c r="E917" s="92" t="s">
        <v>2048</v>
      </c>
      <c r="F917" s="87">
        <v>1</v>
      </c>
      <c r="G917" s="87">
        <v>1</v>
      </c>
      <c r="H917" s="75"/>
      <c r="I917" s="75"/>
      <c r="J917" s="75"/>
      <c r="K917" s="75" t="s">
        <v>162</v>
      </c>
      <c r="L917" s="75" t="s">
        <v>509</v>
      </c>
      <c r="M917" s="75" t="s">
        <v>535</v>
      </c>
      <c r="N917" s="75" t="s">
        <v>509</v>
      </c>
      <c r="O917" s="75" t="s">
        <v>535</v>
      </c>
      <c r="P917" s="75" t="s">
        <v>1121</v>
      </c>
    </row>
    <row r="918" spans="1:16">
      <c r="A918" s="63" t="s">
        <v>4282</v>
      </c>
      <c r="B918" s="14" t="str">
        <f>VLOOKUP(P918,'护理记录单文书字典(数据)'!B$4:C$99,2,0)</f>
        <v>44A706350CFAB2119FBD2A4C9D15623C</v>
      </c>
      <c r="C918" s="75" t="s">
        <v>3364</v>
      </c>
      <c r="D918" s="75" t="s">
        <v>3365</v>
      </c>
      <c r="E918" s="92" t="s">
        <v>2048</v>
      </c>
      <c r="F918" s="87">
        <v>1</v>
      </c>
      <c r="G918" s="87">
        <v>1</v>
      </c>
      <c r="H918" s="75"/>
      <c r="I918" s="75"/>
      <c r="J918" s="75"/>
      <c r="K918" s="75" t="s">
        <v>162</v>
      </c>
      <c r="L918" s="75" t="s">
        <v>509</v>
      </c>
      <c r="M918" s="75" t="s">
        <v>535</v>
      </c>
      <c r="N918" s="75" t="s">
        <v>509</v>
      </c>
      <c r="O918" s="75" t="s">
        <v>535</v>
      </c>
      <c r="P918" s="75" t="s">
        <v>1121</v>
      </c>
    </row>
    <row r="919" spans="1:16">
      <c r="A919" s="63" t="s">
        <v>4282</v>
      </c>
      <c r="B919" s="14" t="str">
        <f>VLOOKUP(P919,'护理记录单文书字典(数据)'!B$4:C$99,2,0)</f>
        <v>44A706350CFAB2119FBD2A4C9D15623C</v>
      </c>
      <c r="C919" s="75" t="s">
        <v>3366</v>
      </c>
      <c r="D919" s="75" t="s">
        <v>3367</v>
      </c>
      <c r="E919" s="92" t="s">
        <v>2048</v>
      </c>
      <c r="F919" s="87">
        <v>1</v>
      </c>
      <c r="G919" s="87">
        <v>1</v>
      </c>
      <c r="H919" s="75"/>
      <c r="I919" s="75"/>
      <c r="J919" s="75"/>
      <c r="K919" s="75" t="s">
        <v>162</v>
      </c>
      <c r="L919" s="75" t="s">
        <v>509</v>
      </c>
      <c r="M919" s="75" t="s">
        <v>535</v>
      </c>
      <c r="N919" s="75" t="s">
        <v>509</v>
      </c>
      <c r="O919" s="75" t="s">
        <v>535</v>
      </c>
      <c r="P919" s="75" t="s">
        <v>1121</v>
      </c>
    </row>
    <row r="920" spans="1:16">
      <c r="A920" s="63" t="s">
        <v>4282</v>
      </c>
      <c r="B920" s="14" t="str">
        <f>VLOOKUP(P920,'护理记录单文书字典(数据)'!B$4:C$99,2,0)</f>
        <v>44A706350CFAB2119FBD2A4C9D15623C</v>
      </c>
      <c r="C920" s="75" t="s">
        <v>3265</v>
      </c>
      <c r="D920" s="75" t="s">
        <v>1095</v>
      </c>
      <c r="E920" s="92" t="s">
        <v>2052</v>
      </c>
      <c r="F920" s="87">
        <v>1</v>
      </c>
      <c r="G920" s="87">
        <v>1</v>
      </c>
      <c r="H920" s="75" t="s">
        <v>1094</v>
      </c>
      <c r="I920" s="75"/>
      <c r="J920" s="75"/>
      <c r="K920" s="75" t="s">
        <v>162</v>
      </c>
      <c r="L920" s="75" t="s">
        <v>509</v>
      </c>
      <c r="M920" s="75" t="s">
        <v>535</v>
      </c>
      <c r="N920" s="75" t="s">
        <v>509</v>
      </c>
      <c r="O920" s="75" t="s">
        <v>535</v>
      </c>
      <c r="P920" s="75" t="s">
        <v>1121</v>
      </c>
    </row>
    <row r="921" spans="1:16">
      <c r="A921" s="63" t="s">
        <v>4282</v>
      </c>
      <c r="B921" s="14" t="str">
        <f>VLOOKUP(P921,'护理记录单文书字典(数据)'!B$4:C$99,2,0)</f>
        <v>44A706350CFAB2119FBD2A4C9D15623C</v>
      </c>
      <c r="C921" s="75" t="s">
        <v>3368</v>
      </c>
      <c r="D921" s="75" t="s">
        <v>1280</v>
      </c>
      <c r="E921" s="92" t="s">
        <v>2052</v>
      </c>
      <c r="F921" s="87">
        <v>1</v>
      </c>
      <c r="G921" s="87">
        <v>1</v>
      </c>
      <c r="H921" s="75" t="s">
        <v>1103</v>
      </c>
      <c r="I921" s="75"/>
      <c r="J921" s="75"/>
      <c r="K921" s="75" t="s">
        <v>162</v>
      </c>
      <c r="L921" s="75" t="s">
        <v>509</v>
      </c>
      <c r="M921" s="75" t="s">
        <v>535</v>
      </c>
      <c r="N921" s="75" t="s">
        <v>509</v>
      </c>
      <c r="O921" s="75" t="s">
        <v>535</v>
      </c>
      <c r="P921" s="75" t="s">
        <v>1121</v>
      </c>
    </row>
    <row r="922" spans="1:16">
      <c r="A922" s="63" t="s">
        <v>4282</v>
      </c>
      <c r="B922" s="14" t="str">
        <f>VLOOKUP(P922,'护理记录单文书字典(数据)'!B$4:C$99,2,0)</f>
        <v>44A706350CFAB2119FBD2A4C9D15623C</v>
      </c>
      <c r="C922" s="75" t="s">
        <v>3266</v>
      </c>
      <c r="D922" s="75" t="s">
        <v>1100</v>
      </c>
      <c r="E922" s="92" t="s">
        <v>2052</v>
      </c>
      <c r="F922" s="87">
        <v>1</v>
      </c>
      <c r="G922" s="87">
        <v>1</v>
      </c>
      <c r="H922" s="75" t="s">
        <v>1099</v>
      </c>
      <c r="I922" s="75"/>
      <c r="J922" s="75"/>
      <c r="K922" s="75" t="s">
        <v>162</v>
      </c>
      <c r="L922" s="75" t="s">
        <v>509</v>
      </c>
      <c r="M922" s="75" t="s">
        <v>535</v>
      </c>
      <c r="N922" s="75" t="s">
        <v>509</v>
      </c>
      <c r="O922" s="75" t="s">
        <v>535</v>
      </c>
      <c r="P922" s="75" t="s">
        <v>1121</v>
      </c>
    </row>
    <row r="923" spans="1:16">
      <c r="A923" s="63" t="s">
        <v>4282</v>
      </c>
      <c r="B923" s="14" t="str">
        <f>VLOOKUP(P923,'护理记录单文书字典(数据)'!B$4:C$99,2,0)</f>
        <v>44A706350CFAB2119FBD2A4C9D15623C</v>
      </c>
      <c r="C923" s="75" t="s">
        <v>2905</v>
      </c>
      <c r="D923" s="75" t="s">
        <v>1317</v>
      </c>
      <c r="E923" s="92" t="s">
        <v>2048</v>
      </c>
      <c r="F923" s="87">
        <v>1</v>
      </c>
      <c r="G923" s="87">
        <v>1</v>
      </c>
      <c r="H923" s="75"/>
      <c r="I923" s="75"/>
      <c r="J923" s="75"/>
      <c r="K923" s="75" t="s">
        <v>162</v>
      </c>
      <c r="L923" s="75" t="s">
        <v>509</v>
      </c>
      <c r="M923" s="75" t="s">
        <v>535</v>
      </c>
      <c r="N923" s="75" t="s">
        <v>509</v>
      </c>
      <c r="O923" s="75" t="s">
        <v>535</v>
      </c>
      <c r="P923" s="75" t="s">
        <v>1121</v>
      </c>
    </row>
    <row r="924" spans="1:16">
      <c r="A924" s="63" t="s">
        <v>4282</v>
      </c>
      <c r="B924" s="14" t="str">
        <f>VLOOKUP(P924,'护理记录单文书字典(数据)'!B$4:C$99,2,0)</f>
        <v>44A706350CFAB2119FBD2A4C9D15623C</v>
      </c>
      <c r="C924" s="75" t="s">
        <v>3268</v>
      </c>
      <c r="D924" s="75" t="s">
        <v>1131</v>
      </c>
      <c r="E924" s="92" t="s">
        <v>2052</v>
      </c>
      <c r="F924" s="87">
        <v>1</v>
      </c>
      <c r="G924" s="87">
        <v>1</v>
      </c>
      <c r="H924" s="75" t="s">
        <v>1130</v>
      </c>
      <c r="I924" s="75"/>
      <c r="J924" s="75"/>
      <c r="K924" s="75" t="s">
        <v>162</v>
      </c>
      <c r="L924" s="75" t="s">
        <v>509</v>
      </c>
      <c r="M924" s="75" t="s">
        <v>535</v>
      </c>
      <c r="N924" s="75" t="s">
        <v>509</v>
      </c>
      <c r="O924" s="75" t="s">
        <v>535</v>
      </c>
      <c r="P924" s="75" t="s">
        <v>1121</v>
      </c>
    </row>
    <row r="925" spans="1:16">
      <c r="A925" s="63" t="s">
        <v>4282</v>
      </c>
      <c r="B925" s="14" t="str">
        <f>VLOOKUP(P925,'护理记录单文书字典(数据)'!B$4:C$99,2,0)</f>
        <v>44A706350CFAB2119FBD2A4C9D15623C</v>
      </c>
      <c r="C925" s="75" t="s">
        <v>3369</v>
      </c>
      <c r="D925" s="75" t="s">
        <v>3370</v>
      </c>
      <c r="E925" s="92" t="s">
        <v>2048</v>
      </c>
      <c r="F925" s="87">
        <v>1</v>
      </c>
      <c r="G925" s="87">
        <v>1</v>
      </c>
      <c r="H925" s="75"/>
      <c r="I925" s="75"/>
      <c r="J925" s="75"/>
      <c r="K925" s="75" t="s">
        <v>162</v>
      </c>
      <c r="L925" s="75" t="s">
        <v>509</v>
      </c>
      <c r="M925" s="75" t="s">
        <v>535</v>
      </c>
      <c r="N925" s="75" t="s">
        <v>509</v>
      </c>
      <c r="O925" s="75" t="s">
        <v>535</v>
      </c>
      <c r="P925" s="75" t="s">
        <v>1121</v>
      </c>
    </row>
    <row r="926" spans="1:16">
      <c r="A926" s="63" t="s">
        <v>4282</v>
      </c>
      <c r="B926" s="14" t="str">
        <f>VLOOKUP(P926,'护理记录单文书字典(数据)'!B$4:C$99,2,0)</f>
        <v>44A706350CFAB2119FBD2A4C9D15623C</v>
      </c>
      <c r="C926" s="75" t="s">
        <v>2112</v>
      </c>
      <c r="D926" s="75" t="s">
        <v>2978</v>
      </c>
      <c r="E926" s="92" t="s">
        <v>2048</v>
      </c>
      <c r="F926" s="87">
        <v>1</v>
      </c>
      <c r="G926" s="87">
        <v>1</v>
      </c>
      <c r="H926" s="75"/>
      <c r="I926" s="75"/>
      <c r="J926" s="75"/>
      <c r="K926" s="75" t="s">
        <v>162</v>
      </c>
      <c r="L926" s="75" t="s">
        <v>509</v>
      </c>
      <c r="M926" s="75" t="s">
        <v>535</v>
      </c>
      <c r="N926" s="75" t="s">
        <v>509</v>
      </c>
      <c r="O926" s="75" t="s">
        <v>535</v>
      </c>
      <c r="P926" s="75" t="s">
        <v>1121</v>
      </c>
    </row>
    <row r="927" spans="1:16">
      <c r="A927" s="63" t="s">
        <v>4282</v>
      </c>
      <c r="B927" s="14" t="str">
        <f>VLOOKUP(P927,'护理记录单文书字典(数据)'!B$4:C$99,2,0)</f>
        <v>44A706350CFAB2119FBD2A4C9D15623C</v>
      </c>
      <c r="C927" s="75" t="s">
        <v>2856</v>
      </c>
      <c r="D927" s="75" t="s">
        <v>2857</v>
      </c>
      <c r="E927" s="92" t="s">
        <v>2048</v>
      </c>
      <c r="F927" s="87">
        <v>1</v>
      </c>
      <c r="G927" s="87">
        <v>1</v>
      </c>
      <c r="H927" s="75"/>
      <c r="I927" s="75"/>
      <c r="J927" s="75"/>
      <c r="K927" s="75" t="s">
        <v>162</v>
      </c>
      <c r="L927" s="75" t="s">
        <v>509</v>
      </c>
      <c r="M927" s="75" t="s">
        <v>535</v>
      </c>
      <c r="N927" s="75" t="s">
        <v>509</v>
      </c>
      <c r="O927" s="75" t="s">
        <v>535</v>
      </c>
      <c r="P927" s="75" t="s">
        <v>1121</v>
      </c>
    </row>
    <row r="928" spans="1:16">
      <c r="A928" s="63" t="s">
        <v>4282</v>
      </c>
      <c r="B928" s="14" t="str">
        <f>VLOOKUP(P928,'护理记录单文书字典(数据)'!B$4:C$99,2,0)</f>
        <v>44A706350CFAB2119FBD2A4C9D15623C</v>
      </c>
      <c r="C928" s="75" t="s">
        <v>2859</v>
      </c>
      <c r="D928" s="75" t="s">
        <v>2860</v>
      </c>
      <c r="E928" s="92" t="s">
        <v>2048</v>
      </c>
      <c r="F928" s="87">
        <v>1</v>
      </c>
      <c r="G928" s="87">
        <v>1</v>
      </c>
      <c r="H928" s="75"/>
      <c r="I928" s="75"/>
      <c r="J928" s="75"/>
      <c r="K928" s="75" t="s">
        <v>162</v>
      </c>
      <c r="L928" s="75" t="s">
        <v>509</v>
      </c>
      <c r="M928" s="75" t="s">
        <v>535</v>
      </c>
      <c r="N928" s="75" t="s">
        <v>509</v>
      </c>
      <c r="O928" s="75" t="s">
        <v>535</v>
      </c>
      <c r="P928" s="75" t="s">
        <v>1121</v>
      </c>
    </row>
    <row r="929" spans="1:16">
      <c r="A929" s="63" t="s">
        <v>4282</v>
      </c>
      <c r="B929" s="14" t="str">
        <f>VLOOKUP(P929,'护理记录单文书字典(数据)'!B$4:C$99,2,0)</f>
        <v>44A706350CFAB2119FBD2A4C9D15623C</v>
      </c>
      <c r="C929" s="75" t="s">
        <v>2863</v>
      </c>
      <c r="D929" s="75" t="s">
        <v>102</v>
      </c>
      <c r="E929" s="92" t="s">
        <v>2048</v>
      </c>
      <c r="F929" s="87">
        <v>1</v>
      </c>
      <c r="G929" s="87">
        <v>1</v>
      </c>
      <c r="H929" s="75"/>
      <c r="I929" s="75"/>
      <c r="J929" s="75"/>
      <c r="K929" s="75" t="s">
        <v>162</v>
      </c>
      <c r="L929" s="75" t="s">
        <v>509</v>
      </c>
      <c r="M929" s="75" t="s">
        <v>535</v>
      </c>
      <c r="N929" s="75" t="s">
        <v>509</v>
      </c>
      <c r="O929" s="75" t="s">
        <v>535</v>
      </c>
      <c r="P929" s="75" t="s">
        <v>1121</v>
      </c>
    </row>
    <row r="930" spans="1:16">
      <c r="A930" s="63" t="s">
        <v>4282</v>
      </c>
      <c r="B930" s="14" t="str">
        <f>VLOOKUP(P930,'护理记录单文书字典(数据)'!B$4:C$99,2,0)</f>
        <v>44A706350CFAB2119FBD2A4C9D15623C</v>
      </c>
      <c r="C930" s="75" t="s">
        <v>2864</v>
      </c>
      <c r="D930" s="75" t="s">
        <v>101</v>
      </c>
      <c r="E930" s="92" t="s">
        <v>2048</v>
      </c>
      <c r="F930" s="87">
        <v>1</v>
      </c>
      <c r="G930" s="87">
        <v>1</v>
      </c>
      <c r="H930" s="75"/>
      <c r="I930" s="75"/>
      <c r="J930" s="75"/>
      <c r="K930" s="75" t="s">
        <v>162</v>
      </c>
      <c r="L930" s="75" t="s">
        <v>509</v>
      </c>
      <c r="M930" s="75" t="s">
        <v>535</v>
      </c>
      <c r="N930" s="75" t="s">
        <v>509</v>
      </c>
      <c r="O930" s="75" t="s">
        <v>535</v>
      </c>
      <c r="P930" s="75" t="s">
        <v>1121</v>
      </c>
    </row>
    <row r="931" spans="1:16">
      <c r="A931" s="63" t="s">
        <v>4282</v>
      </c>
      <c r="B931" s="14" t="str">
        <f>VLOOKUP(P931,'护理记录单文书字典(数据)'!B$4:C$99,2,0)</f>
        <v>44A706350CFAB2119FBD2A4C9D15623C</v>
      </c>
      <c r="C931" s="75" t="s">
        <v>2100</v>
      </c>
      <c r="D931" s="75" t="s">
        <v>99</v>
      </c>
      <c r="E931" s="92" t="s">
        <v>2048</v>
      </c>
      <c r="F931" s="87">
        <v>1</v>
      </c>
      <c r="G931" s="87">
        <v>1</v>
      </c>
      <c r="H931" s="75"/>
      <c r="I931" s="75"/>
      <c r="J931" s="75"/>
      <c r="K931" s="75" t="s">
        <v>162</v>
      </c>
      <c r="L931" s="75" t="s">
        <v>509</v>
      </c>
      <c r="M931" s="75" t="s">
        <v>535</v>
      </c>
      <c r="N931" s="75" t="s">
        <v>509</v>
      </c>
      <c r="O931" s="75" t="s">
        <v>535</v>
      </c>
      <c r="P931" s="75" t="s">
        <v>1121</v>
      </c>
    </row>
    <row r="932" spans="1:16">
      <c r="A932" s="63" t="s">
        <v>4282</v>
      </c>
      <c r="B932" s="14" t="str">
        <f>VLOOKUP(P932,'护理记录单文书字典(数据)'!B$4:C$99,2,0)</f>
        <v>44A706350CFAB2119FBD2A4C9D15623C</v>
      </c>
      <c r="C932" s="75" t="s">
        <v>2111</v>
      </c>
      <c r="D932" s="75" t="s">
        <v>100</v>
      </c>
      <c r="E932" s="92" t="s">
        <v>2048</v>
      </c>
      <c r="F932" s="87">
        <v>1</v>
      </c>
      <c r="G932" s="87">
        <v>1</v>
      </c>
      <c r="H932" s="75"/>
      <c r="I932" s="75"/>
      <c r="J932" s="75"/>
      <c r="K932" s="75" t="s">
        <v>162</v>
      </c>
      <c r="L932" s="75" t="s">
        <v>509</v>
      </c>
      <c r="M932" s="75" t="s">
        <v>535</v>
      </c>
      <c r="N932" s="75" t="s">
        <v>509</v>
      </c>
      <c r="O932" s="75" t="s">
        <v>535</v>
      </c>
      <c r="P932" s="75" t="s">
        <v>1121</v>
      </c>
    </row>
    <row r="933" spans="1:16">
      <c r="A933" s="63" t="s">
        <v>4282</v>
      </c>
      <c r="B933" s="14" t="str">
        <f>VLOOKUP(P933,'护理记录单文书字典(数据)'!B$4:C$99,2,0)</f>
        <v>44A706350CFAB2119FBD2A4C9D15623C</v>
      </c>
      <c r="C933" s="75" t="s">
        <v>2981</v>
      </c>
      <c r="D933" s="75" t="s">
        <v>2982</v>
      </c>
      <c r="E933" s="92" t="s">
        <v>2048</v>
      </c>
      <c r="F933" s="87">
        <v>1</v>
      </c>
      <c r="G933" s="87">
        <v>1</v>
      </c>
      <c r="H933" s="75"/>
      <c r="I933" s="75"/>
      <c r="J933" s="75"/>
      <c r="K933" s="75" t="s">
        <v>162</v>
      </c>
      <c r="L933" s="75" t="s">
        <v>509</v>
      </c>
      <c r="M933" s="75" t="s">
        <v>535</v>
      </c>
      <c r="N933" s="75" t="s">
        <v>509</v>
      </c>
      <c r="O933" s="75" t="s">
        <v>535</v>
      </c>
      <c r="P933" s="75" t="s">
        <v>1121</v>
      </c>
    </row>
    <row r="934" spans="1:16">
      <c r="A934" s="63" t="s">
        <v>4282</v>
      </c>
      <c r="B934" s="14" t="str">
        <f>VLOOKUP(P934,'护理记录单文书字典(数据)'!B$4:C$99,2,0)</f>
        <v>44A706350CFAB2119FBD2A4C9D15623C</v>
      </c>
      <c r="C934" s="75" t="s">
        <v>3391</v>
      </c>
      <c r="D934" s="75" t="s">
        <v>1136</v>
      </c>
      <c r="E934" s="92" t="s">
        <v>2052</v>
      </c>
      <c r="F934" s="87">
        <v>1</v>
      </c>
      <c r="G934" s="87">
        <v>1</v>
      </c>
      <c r="H934" s="75" t="s">
        <v>1135</v>
      </c>
      <c r="I934" s="75"/>
      <c r="J934" s="75"/>
      <c r="K934" s="75" t="s">
        <v>162</v>
      </c>
      <c r="L934" s="75" t="s">
        <v>509</v>
      </c>
      <c r="M934" s="75" t="s">
        <v>535</v>
      </c>
      <c r="N934" s="75" t="s">
        <v>509</v>
      </c>
      <c r="O934" s="75" t="s">
        <v>535</v>
      </c>
      <c r="P934" s="75" t="s">
        <v>1121</v>
      </c>
    </row>
    <row r="935" spans="1:16">
      <c r="A935" s="63" t="s">
        <v>4282</v>
      </c>
      <c r="B935" s="14" t="str">
        <f>VLOOKUP(P935,'护理记录单文书字典(数据)'!B$4:C$99,2,0)</f>
        <v>44A706350CFAB2119FBD2A4C9D15623C</v>
      </c>
      <c r="C935" s="75" t="s">
        <v>3392</v>
      </c>
      <c r="D935" s="75" t="s">
        <v>3393</v>
      </c>
      <c r="E935" s="92" t="s">
        <v>2048</v>
      </c>
      <c r="F935" s="87">
        <v>1</v>
      </c>
      <c r="G935" s="87">
        <v>1</v>
      </c>
      <c r="H935" s="75"/>
      <c r="I935" s="75"/>
      <c r="J935" s="75"/>
      <c r="K935" s="75" t="s">
        <v>162</v>
      </c>
      <c r="L935" s="75" t="s">
        <v>509</v>
      </c>
      <c r="M935" s="75" t="s">
        <v>535</v>
      </c>
      <c r="N935" s="75" t="s">
        <v>509</v>
      </c>
      <c r="O935" s="75" t="s">
        <v>535</v>
      </c>
      <c r="P935" s="75" t="s">
        <v>1121</v>
      </c>
    </row>
    <row r="936" spans="1:16">
      <c r="A936" s="63" t="s">
        <v>4282</v>
      </c>
      <c r="B936" s="14" t="str">
        <f>VLOOKUP(P936,'护理记录单文书字典(数据)'!B$4:C$99,2,0)</f>
        <v>44A706350CFAB2119FBD2A4C9D15623C</v>
      </c>
      <c r="C936" s="75" t="s">
        <v>3394</v>
      </c>
      <c r="D936" s="75" t="s">
        <v>3395</v>
      </c>
      <c r="E936" s="92" t="s">
        <v>2048</v>
      </c>
      <c r="F936" s="87">
        <v>1</v>
      </c>
      <c r="G936" s="87">
        <v>1</v>
      </c>
      <c r="H936" s="75"/>
      <c r="I936" s="75"/>
      <c r="J936" s="75"/>
      <c r="K936" s="75" t="s">
        <v>162</v>
      </c>
      <c r="L936" s="75" t="s">
        <v>509</v>
      </c>
      <c r="M936" s="75" t="s">
        <v>535</v>
      </c>
      <c r="N936" s="75" t="s">
        <v>509</v>
      </c>
      <c r="O936" s="75" t="s">
        <v>535</v>
      </c>
      <c r="P936" s="75" t="s">
        <v>1121</v>
      </c>
    </row>
    <row r="937" spans="1:16">
      <c r="A937" s="63" t="s">
        <v>4282</v>
      </c>
      <c r="B937" s="14" t="str">
        <f>VLOOKUP(P937,'护理记录单文书字典(数据)'!B$4:C$99,2,0)</f>
        <v>44A706350CFAB2119FBD2A4C9D15623C</v>
      </c>
      <c r="C937" s="75" t="s">
        <v>3396</v>
      </c>
      <c r="D937" s="75" t="s">
        <v>3397</v>
      </c>
      <c r="E937" s="92" t="s">
        <v>2048</v>
      </c>
      <c r="F937" s="87">
        <v>1</v>
      </c>
      <c r="G937" s="87">
        <v>1</v>
      </c>
      <c r="H937" s="75"/>
      <c r="I937" s="75"/>
      <c r="J937" s="75"/>
      <c r="K937" s="75" t="s">
        <v>162</v>
      </c>
      <c r="L937" s="75" t="s">
        <v>509</v>
      </c>
      <c r="M937" s="75" t="s">
        <v>535</v>
      </c>
      <c r="N937" s="75" t="s">
        <v>509</v>
      </c>
      <c r="O937" s="75" t="s">
        <v>535</v>
      </c>
      <c r="P937" s="75" t="s">
        <v>1121</v>
      </c>
    </row>
    <row r="938" spans="1:16">
      <c r="A938" s="63" t="s">
        <v>4282</v>
      </c>
      <c r="B938" s="14" t="str">
        <f>VLOOKUP(P938,'护理记录单文书字典(数据)'!B$4:C$99,2,0)</f>
        <v>44A706350CFAB2119FBD2A4C9D15623C</v>
      </c>
      <c r="C938" s="75" t="s">
        <v>3398</v>
      </c>
      <c r="D938" s="75" t="s">
        <v>3399</v>
      </c>
      <c r="E938" s="92" t="s">
        <v>2048</v>
      </c>
      <c r="F938" s="87">
        <v>1</v>
      </c>
      <c r="G938" s="87">
        <v>1</v>
      </c>
      <c r="H938" s="75"/>
      <c r="I938" s="75"/>
      <c r="J938" s="75"/>
      <c r="K938" s="75" t="s">
        <v>162</v>
      </c>
      <c r="L938" s="75" t="s">
        <v>509</v>
      </c>
      <c r="M938" s="75" t="s">
        <v>535</v>
      </c>
      <c r="N938" s="75" t="s">
        <v>509</v>
      </c>
      <c r="O938" s="75" t="s">
        <v>535</v>
      </c>
      <c r="P938" s="75" t="s">
        <v>1121</v>
      </c>
    </row>
    <row r="939" spans="1:16">
      <c r="A939" s="63" t="s">
        <v>4282</v>
      </c>
      <c r="B939" s="14" t="str">
        <f>VLOOKUP(P939,'护理记录单文书字典(数据)'!B$4:C$99,2,0)</f>
        <v>44A706350CFAB2119FBD2A4C9D15623C</v>
      </c>
      <c r="C939" s="75" t="s">
        <v>3400</v>
      </c>
      <c r="D939" s="75" t="s">
        <v>3401</v>
      </c>
      <c r="E939" s="92" t="s">
        <v>2048</v>
      </c>
      <c r="F939" s="87">
        <v>1</v>
      </c>
      <c r="G939" s="87">
        <v>1</v>
      </c>
      <c r="H939" s="75"/>
      <c r="I939" s="75"/>
      <c r="J939" s="75"/>
      <c r="K939" s="75" t="s">
        <v>162</v>
      </c>
      <c r="L939" s="75" t="s">
        <v>509</v>
      </c>
      <c r="M939" s="75" t="s">
        <v>535</v>
      </c>
      <c r="N939" s="75" t="s">
        <v>509</v>
      </c>
      <c r="O939" s="75" t="s">
        <v>535</v>
      </c>
      <c r="P939" s="75" t="s">
        <v>1121</v>
      </c>
    </row>
    <row r="940" spans="1:16">
      <c r="A940" s="63" t="s">
        <v>4282</v>
      </c>
      <c r="B940" s="14" t="str">
        <f>VLOOKUP(P940,'护理记录单文书字典(数据)'!B$4:C$99,2,0)</f>
        <v>44A706350CFAB2119FBD2A4C9D15623C</v>
      </c>
      <c r="C940" s="75" t="s">
        <v>3402</v>
      </c>
      <c r="D940" s="75" t="s">
        <v>3403</v>
      </c>
      <c r="E940" s="92" t="s">
        <v>2052</v>
      </c>
      <c r="F940" s="87">
        <v>1</v>
      </c>
      <c r="G940" s="87">
        <v>1</v>
      </c>
      <c r="H940" s="75" t="s">
        <v>2818</v>
      </c>
      <c r="I940" s="75"/>
      <c r="J940" s="75"/>
      <c r="K940" s="75" t="s">
        <v>162</v>
      </c>
      <c r="L940" s="75" t="s">
        <v>509</v>
      </c>
      <c r="M940" s="75" t="s">
        <v>535</v>
      </c>
      <c r="N940" s="75" t="s">
        <v>509</v>
      </c>
      <c r="O940" s="75" t="s">
        <v>535</v>
      </c>
      <c r="P940" s="75" t="s">
        <v>1121</v>
      </c>
    </row>
    <row r="941" spans="1:16">
      <c r="A941" s="63" t="s">
        <v>4282</v>
      </c>
      <c r="B941" s="14" t="str">
        <f>VLOOKUP(P941,'护理记录单文书字典(数据)'!B$4:C$99,2,0)</f>
        <v>44A706350CFAB2119FBD2A4C9D15623C</v>
      </c>
      <c r="C941" s="75" t="s">
        <v>3404</v>
      </c>
      <c r="D941" s="75" t="s">
        <v>3405</v>
      </c>
      <c r="E941" s="92" t="s">
        <v>2048</v>
      </c>
      <c r="F941" s="87">
        <v>1</v>
      </c>
      <c r="G941" s="87">
        <v>1</v>
      </c>
      <c r="H941" s="75"/>
      <c r="I941" s="75"/>
      <c r="J941" s="75"/>
      <c r="K941" s="75" t="s">
        <v>162</v>
      </c>
      <c r="L941" s="75" t="s">
        <v>509</v>
      </c>
      <c r="M941" s="75" t="s">
        <v>535</v>
      </c>
      <c r="N941" s="75" t="s">
        <v>509</v>
      </c>
      <c r="O941" s="75" t="s">
        <v>535</v>
      </c>
      <c r="P941" s="75" t="s">
        <v>1121</v>
      </c>
    </row>
    <row r="942" spans="1:16">
      <c r="A942" s="63" t="s">
        <v>4282</v>
      </c>
      <c r="B942" s="14" t="str">
        <f>VLOOKUP(P942,'护理记录单文书字典(数据)'!B$4:C$99,2,0)</f>
        <v>44A706350CFAB2119FBD2A4C9D15623C</v>
      </c>
      <c r="C942" s="75" t="s">
        <v>2886</v>
      </c>
      <c r="D942" s="75" t="s">
        <v>2887</v>
      </c>
      <c r="E942" s="92" t="s">
        <v>2048</v>
      </c>
      <c r="F942" s="87">
        <v>1</v>
      </c>
      <c r="G942" s="87">
        <v>1</v>
      </c>
      <c r="H942" s="75"/>
      <c r="I942" s="75"/>
      <c r="J942" s="75"/>
      <c r="K942" s="75" t="s">
        <v>162</v>
      </c>
      <c r="L942" s="75" t="s">
        <v>509</v>
      </c>
      <c r="M942" s="75" t="s">
        <v>535</v>
      </c>
      <c r="N942" s="75" t="s">
        <v>509</v>
      </c>
      <c r="O942" s="75" t="s">
        <v>535</v>
      </c>
      <c r="P942" s="75" t="s">
        <v>1121</v>
      </c>
    </row>
    <row r="943" spans="1:16">
      <c r="A943" s="63" t="s">
        <v>4282</v>
      </c>
      <c r="B943" s="14" t="str">
        <f>VLOOKUP(P943,'护理记录单文书字典(数据)'!B$4:C$99,2,0)</f>
        <v>44A706350CFAB2119FBD2A4C9D15623C</v>
      </c>
      <c r="C943" s="75" t="s">
        <v>2105</v>
      </c>
      <c r="D943" s="75" t="s">
        <v>2103</v>
      </c>
      <c r="E943" s="102" t="s">
        <v>2104</v>
      </c>
      <c r="F943" s="87">
        <v>1</v>
      </c>
      <c r="G943" s="87">
        <v>1</v>
      </c>
      <c r="H943" s="75"/>
      <c r="I943" s="75"/>
      <c r="J943" s="75"/>
      <c r="K943" s="75" t="s">
        <v>162</v>
      </c>
      <c r="L943" s="75" t="s">
        <v>509</v>
      </c>
      <c r="M943" s="75" t="s">
        <v>535</v>
      </c>
      <c r="N943" s="75" t="s">
        <v>509</v>
      </c>
      <c r="O943" s="75" t="s">
        <v>535</v>
      </c>
      <c r="P943" s="75" t="s">
        <v>1121</v>
      </c>
    </row>
    <row r="944" spans="1:16">
      <c r="A944" s="63" t="s">
        <v>4282</v>
      </c>
      <c r="B944" s="14" t="str">
        <f>VLOOKUP(P944,'护理记录单文书字典(数据)'!B$4:C$99,2,0)</f>
        <v>DE97F0340CFAB2119F8E1434D77FFE1E</v>
      </c>
      <c r="C944" s="75" t="s">
        <v>2046</v>
      </c>
      <c r="D944" s="75" t="s">
        <v>2047</v>
      </c>
      <c r="E944" s="92" t="s">
        <v>2048</v>
      </c>
      <c r="F944" s="87">
        <v>1</v>
      </c>
      <c r="G944" s="87">
        <v>1</v>
      </c>
      <c r="H944" s="75"/>
      <c r="I944" s="75"/>
      <c r="J944" s="75"/>
      <c r="K944" s="75" t="s">
        <v>162</v>
      </c>
      <c r="L944" s="75" t="s">
        <v>509</v>
      </c>
      <c r="M944" s="75" t="s">
        <v>535</v>
      </c>
      <c r="N944" s="75" t="s">
        <v>509</v>
      </c>
      <c r="O944" s="75" t="s">
        <v>535</v>
      </c>
      <c r="P944" s="75" t="s">
        <v>1175</v>
      </c>
    </row>
    <row r="945" spans="1:16">
      <c r="A945" s="63" t="s">
        <v>4282</v>
      </c>
      <c r="B945" s="14" t="str">
        <f>VLOOKUP(P945,'护理记录单文书字典(数据)'!B$4:C$99,2,0)</f>
        <v>DE97F0340CFAB2119F8E1434D77FFE1E</v>
      </c>
      <c r="C945" s="75" t="s">
        <v>2587</v>
      </c>
      <c r="D945" s="75" t="s">
        <v>1087</v>
      </c>
      <c r="E945" s="92" t="s">
        <v>2052</v>
      </c>
      <c r="F945" s="87">
        <v>1</v>
      </c>
      <c r="G945" s="87">
        <v>1</v>
      </c>
      <c r="H945" s="75" t="s">
        <v>1086</v>
      </c>
      <c r="I945" s="75"/>
      <c r="J945" s="75"/>
      <c r="K945" s="75" t="s">
        <v>162</v>
      </c>
      <c r="L945" s="75" t="s">
        <v>509</v>
      </c>
      <c r="M945" s="75" t="s">
        <v>535</v>
      </c>
      <c r="N945" s="75" t="s">
        <v>509</v>
      </c>
      <c r="O945" s="75" t="s">
        <v>535</v>
      </c>
      <c r="P945" s="75" t="s">
        <v>1175</v>
      </c>
    </row>
    <row r="946" spans="1:16">
      <c r="A946" s="63" t="s">
        <v>4282</v>
      </c>
      <c r="B946" s="14" t="str">
        <f>VLOOKUP(P946,'护理记录单文书字典(数据)'!B$4:C$99,2,0)</f>
        <v>DE97F0340CFAB2119F8E1434D77FFE1E</v>
      </c>
      <c r="C946" s="75" t="s">
        <v>3406</v>
      </c>
      <c r="D946" s="75" t="s">
        <v>3407</v>
      </c>
      <c r="E946" s="92" t="s">
        <v>2048</v>
      </c>
      <c r="F946" s="87">
        <v>1</v>
      </c>
      <c r="G946" s="87">
        <v>1</v>
      </c>
      <c r="H946" s="75"/>
      <c r="I946" s="75"/>
      <c r="J946" s="75"/>
      <c r="K946" s="75" t="s">
        <v>162</v>
      </c>
      <c r="L946" s="75" t="s">
        <v>509</v>
      </c>
      <c r="M946" s="75" t="s">
        <v>535</v>
      </c>
      <c r="N946" s="75" t="s">
        <v>509</v>
      </c>
      <c r="O946" s="75" t="s">
        <v>535</v>
      </c>
      <c r="P946" s="75" t="s">
        <v>1175</v>
      </c>
    </row>
    <row r="947" spans="1:16">
      <c r="A947" s="63" t="s">
        <v>4282</v>
      </c>
      <c r="B947" s="14" t="str">
        <f>VLOOKUP(P947,'护理记录单文书字典(数据)'!B$4:C$99,2,0)</f>
        <v>DE97F0340CFAB2119F8E1434D77FFE1E</v>
      </c>
      <c r="C947" s="75" t="s">
        <v>3259</v>
      </c>
      <c r="D947" s="75" t="s">
        <v>3260</v>
      </c>
      <c r="E947" s="92" t="s">
        <v>2048</v>
      </c>
      <c r="F947" s="87">
        <v>1</v>
      </c>
      <c r="G947" s="87">
        <v>1</v>
      </c>
      <c r="H947" s="75"/>
      <c r="I947" s="75"/>
      <c r="J947" s="75"/>
      <c r="K947" s="75" t="s">
        <v>162</v>
      </c>
      <c r="L947" s="75" t="s">
        <v>509</v>
      </c>
      <c r="M947" s="75" t="s">
        <v>535</v>
      </c>
      <c r="N947" s="75" t="s">
        <v>509</v>
      </c>
      <c r="O947" s="75" t="s">
        <v>535</v>
      </c>
      <c r="P947" s="75" t="s">
        <v>1175</v>
      </c>
    </row>
    <row r="948" spans="1:16">
      <c r="A948" s="63" t="s">
        <v>4282</v>
      </c>
      <c r="B948" s="14" t="str">
        <f>VLOOKUP(P948,'护理记录单文书字典(数据)'!B$4:C$99,2,0)</f>
        <v>DE97F0340CFAB2119F8E1434D77FFE1E</v>
      </c>
      <c r="C948" s="75" t="s">
        <v>3261</v>
      </c>
      <c r="D948" s="75" t="s">
        <v>3262</v>
      </c>
      <c r="E948" s="92" t="s">
        <v>2048</v>
      </c>
      <c r="F948" s="87">
        <v>1</v>
      </c>
      <c r="G948" s="87">
        <v>1</v>
      </c>
      <c r="H948" s="75"/>
      <c r="I948" s="75"/>
      <c r="J948" s="75"/>
      <c r="K948" s="75" t="s">
        <v>162</v>
      </c>
      <c r="L948" s="75" t="s">
        <v>509</v>
      </c>
      <c r="M948" s="75" t="s">
        <v>535</v>
      </c>
      <c r="N948" s="75" t="s">
        <v>509</v>
      </c>
      <c r="O948" s="75" t="s">
        <v>535</v>
      </c>
      <c r="P948" s="75" t="s">
        <v>1175</v>
      </c>
    </row>
    <row r="949" spans="1:16">
      <c r="A949" s="63" t="s">
        <v>4282</v>
      </c>
      <c r="B949" s="14" t="str">
        <f>VLOOKUP(P949,'护理记录单文书字典(数据)'!B$4:C$99,2,0)</f>
        <v>DE97F0340CFAB2119F8E1434D77FFE1E</v>
      </c>
      <c r="C949" s="75" t="s">
        <v>3263</v>
      </c>
      <c r="D949" s="75" t="s">
        <v>3264</v>
      </c>
      <c r="E949" s="92" t="s">
        <v>2048</v>
      </c>
      <c r="F949" s="87">
        <v>1</v>
      </c>
      <c r="G949" s="87">
        <v>1</v>
      </c>
      <c r="H949" s="75"/>
      <c r="I949" s="75"/>
      <c r="J949" s="75"/>
      <c r="K949" s="75" t="s">
        <v>162</v>
      </c>
      <c r="L949" s="75" t="s">
        <v>509</v>
      </c>
      <c r="M949" s="75" t="s">
        <v>535</v>
      </c>
      <c r="N949" s="75" t="s">
        <v>509</v>
      </c>
      <c r="O949" s="75" t="s">
        <v>535</v>
      </c>
      <c r="P949" s="75" t="s">
        <v>1175</v>
      </c>
    </row>
    <row r="950" spans="1:16">
      <c r="A950" s="63" t="s">
        <v>4282</v>
      </c>
      <c r="B950" s="14" t="str">
        <f>VLOOKUP(P950,'护理记录单文书字典(数据)'!B$4:C$99,2,0)</f>
        <v>DE97F0340CFAB2119F8E1434D77FFE1E</v>
      </c>
      <c r="C950" s="75" t="s">
        <v>3408</v>
      </c>
      <c r="D950" s="75" t="s">
        <v>1184</v>
      </c>
      <c r="E950" s="92" t="s">
        <v>2052</v>
      </c>
      <c r="F950" s="87">
        <v>1</v>
      </c>
      <c r="G950" s="87">
        <v>1</v>
      </c>
      <c r="H950" s="75" t="s">
        <v>1183</v>
      </c>
      <c r="I950" s="75"/>
      <c r="J950" s="75"/>
      <c r="K950" s="75" t="s">
        <v>162</v>
      </c>
      <c r="L950" s="75" t="s">
        <v>509</v>
      </c>
      <c r="M950" s="75" t="s">
        <v>535</v>
      </c>
      <c r="N950" s="75" t="s">
        <v>509</v>
      </c>
      <c r="O950" s="75" t="s">
        <v>535</v>
      </c>
      <c r="P950" s="75" t="s">
        <v>1175</v>
      </c>
    </row>
    <row r="951" spans="1:16">
      <c r="A951" s="63" t="s">
        <v>4282</v>
      </c>
      <c r="B951" s="14" t="str">
        <f>VLOOKUP(P951,'护理记录单文书字典(数据)'!B$4:C$99,2,0)</f>
        <v>DE97F0340CFAB2119F8E1434D77FFE1E</v>
      </c>
      <c r="C951" s="75" t="s">
        <v>3409</v>
      </c>
      <c r="D951" s="75" t="s">
        <v>1187</v>
      </c>
      <c r="E951" s="92" t="s">
        <v>2052</v>
      </c>
      <c r="F951" s="87">
        <v>1</v>
      </c>
      <c r="G951" s="87">
        <v>1</v>
      </c>
      <c r="H951" s="75" t="s">
        <v>1186</v>
      </c>
      <c r="I951" s="75"/>
      <c r="J951" s="75"/>
      <c r="K951" s="75" t="s">
        <v>162</v>
      </c>
      <c r="L951" s="75" t="s">
        <v>509</v>
      </c>
      <c r="M951" s="75" t="s">
        <v>535</v>
      </c>
      <c r="N951" s="75" t="s">
        <v>509</v>
      </c>
      <c r="O951" s="75" t="s">
        <v>535</v>
      </c>
      <c r="P951" s="75" t="s">
        <v>1175</v>
      </c>
    </row>
    <row r="952" spans="1:16">
      <c r="A952" s="63" t="s">
        <v>4282</v>
      </c>
      <c r="B952" s="14" t="str">
        <f>VLOOKUP(P952,'护理记录单文书字典(数据)'!B$4:C$99,2,0)</f>
        <v>DE97F0340CFAB2119F8E1434D77FFE1E</v>
      </c>
      <c r="C952" s="75" t="s">
        <v>3410</v>
      </c>
      <c r="D952" s="75" t="s">
        <v>1189</v>
      </c>
      <c r="E952" s="92" t="s">
        <v>2052</v>
      </c>
      <c r="F952" s="87">
        <v>1</v>
      </c>
      <c r="G952" s="87">
        <v>1</v>
      </c>
      <c r="H952" s="75" t="s">
        <v>1188</v>
      </c>
      <c r="I952" s="75"/>
      <c r="J952" s="75"/>
      <c r="K952" s="75" t="s">
        <v>162</v>
      </c>
      <c r="L952" s="75" t="s">
        <v>509</v>
      </c>
      <c r="M952" s="75" t="s">
        <v>535</v>
      </c>
      <c r="N952" s="75" t="s">
        <v>509</v>
      </c>
      <c r="O952" s="75" t="s">
        <v>535</v>
      </c>
      <c r="P952" s="75" t="s">
        <v>1175</v>
      </c>
    </row>
    <row r="953" spans="1:16">
      <c r="A953" s="63" t="s">
        <v>4282</v>
      </c>
      <c r="B953" s="14" t="str">
        <f>VLOOKUP(P953,'护理记录单文书字典(数据)'!B$4:C$99,2,0)</f>
        <v>DE97F0340CFAB2119F8E1434D77FFE1E</v>
      </c>
      <c r="C953" s="75" t="s">
        <v>3411</v>
      </c>
      <c r="D953" s="75" t="s">
        <v>3412</v>
      </c>
      <c r="E953" s="92" t="s">
        <v>2048</v>
      </c>
      <c r="F953" s="87">
        <v>1</v>
      </c>
      <c r="G953" s="87">
        <v>1</v>
      </c>
      <c r="H953" s="75"/>
      <c r="I953" s="75"/>
      <c r="J953" s="75"/>
      <c r="K953" s="75" t="s">
        <v>162</v>
      </c>
      <c r="L953" s="75" t="s">
        <v>509</v>
      </c>
      <c r="M953" s="75" t="s">
        <v>535</v>
      </c>
      <c r="N953" s="75" t="s">
        <v>509</v>
      </c>
      <c r="O953" s="75" t="s">
        <v>535</v>
      </c>
      <c r="P953" s="75" t="s">
        <v>1175</v>
      </c>
    </row>
    <row r="954" spans="1:16">
      <c r="A954" s="63" t="s">
        <v>4282</v>
      </c>
      <c r="B954" s="14" t="str">
        <f>VLOOKUP(P954,'护理记录单文书字典(数据)'!B$4:C$99,2,0)</f>
        <v>DE97F0340CFAB2119F8E1434D77FFE1E</v>
      </c>
      <c r="C954" s="75" t="s">
        <v>3413</v>
      </c>
      <c r="D954" s="75" t="s">
        <v>3414</v>
      </c>
      <c r="E954" s="92" t="s">
        <v>2052</v>
      </c>
      <c r="F954" s="87">
        <v>1</v>
      </c>
      <c r="G954" s="87">
        <v>1</v>
      </c>
      <c r="H954" s="75" t="s">
        <v>968</v>
      </c>
      <c r="I954" s="75"/>
      <c r="J954" s="75"/>
      <c r="K954" s="75" t="s">
        <v>162</v>
      </c>
      <c r="L954" s="75" t="s">
        <v>509</v>
      </c>
      <c r="M954" s="75" t="s">
        <v>535</v>
      </c>
      <c r="N954" s="75" t="s">
        <v>509</v>
      </c>
      <c r="O954" s="75" t="s">
        <v>535</v>
      </c>
      <c r="P954" s="75" t="s">
        <v>1175</v>
      </c>
    </row>
    <row r="955" spans="1:16">
      <c r="A955" s="63" t="s">
        <v>4282</v>
      </c>
      <c r="B955" s="14" t="str">
        <f>VLOOKUP(P955,'护理记录单文书字典(数据)'!B$4:C$99,2,0)</f>
        <v>DE97F0340CFAB2119F8E1434D77FFE1E</v>
      </c>
      <c r="C955" s="75" t="s">
        <v>3415</v>
      </c>
      <c r="D955" s="75" t="s">
        <v>3416</v>
      </c>
      <c r="E955" s="92" t="s">
        <v>2052</v>
      </c>
      <c r="F955" s="87">
        <v>1</v>
      </c>
      <c r="G955" s="87">
        <v>1</v>
      </c>
      <c r="H955" s="75" t="s">
        <v>1194</v>
      </c>
      <c r="I955" s="75"/>
      <c r="J955" s="75"/>
      <c r="K955" s="75" t="s">
        <v>162</v>
      </c>
      <c r="L955" s="75" t="s">
        <v>509</v>
      </c>
      <c r="M955" s="75" t="s">
        <v>535</v>
      </c>
      <c r="N955" s="75" t="s">
        <v>509</v>
      </c>
      <c r="O955" s="75" t="s">
        <v>535</v>
      </c>
      <c r="P955" s="75" t="s">
        <v>1175</v>
      </c>
    </row>
    <row r="956" spans="1:16">
      <c r="A956" s="63" t="s">
        <v>4282</v>
      </c>
      <c r="B956" s="14" t="str">
        <f>VLOOKUP(P956,'护理记录单文书字典(数据)'!B$4:C$99,2,0)</f>
        <v>DE97F0340CFAB2119F8E1434D77FFE1E</v>
      </c>
      <c r="C956" s="75" t="s">
        <v>3417</v>
      </c>
      <c r="D956" s="75" t="s">
        <v>3418</v>
      </c>
      <c r="E956" s="92" t="s">
        <v>2052</v>
      </c>
      <c r="F956" s="87">
        <v>1</v>
      </c>
      <c r="G956" s="87">
        <v>1</v>
      </c>
      <c r="H956" s="75" t="s">
        <v>1196</v>
      </c>
      <c r="I956" s="75"/>
      <c r="J956" s="75"/>
      <c r="K956" s="75" t="s">
        <v>162</v>
      </c>
      <c r="L956" s="75" t="s">
        <v>509</v>
      </c>
      <c r="M956" s="75" t="s">
        <v>535</v>
      </c>
      <c r="N956" s="75" t="s">
        <v>509</v>
      </c>
      <c r="O956" s="75" t="s">
        <v>535</v>
      </c>
      <c r="P956" s="75" t="s">
        <v>1175</v>
      </c>
    </row>
    <row r="957" spans="1:16">
      <c r="A957" s="63" t="s">
        <v>4282</v>
      </c>
      <c r="B957" s="14" t="str">
        <f>VLOOKUP(P957,'护理记录单文书字典(数据)'!B$4:C$99,2,0)</f>
        <v>DE97F0340CFAB2119F8E1434D77FFE1E</v>
      </c>
      <c r="C957" s="75" t="s">
        <v>3419</v>
      </c>
      <c r="D957" s="75" t="s">
        <v>3420</v>
      </c>
      <c r="E957" s="92" t="s">
        <v>2052</v>
      </c>
      <c r="F957" s="87">
        <v>1</v>
      </c>
      <c r="G957" s="87">
        <v>1</v>
      </c>
      <c r="H957" s="75" t="s">
        <v>1200</v>
      </c>
      <c r="I957" s="75"/>
      <c r="J957" s="75"/>
      <c r="K957" s="75" t="s">
        <v>162</v>
      </c>
      <c r="L957" s="75" t="s">
        <v>509</v>
      </c>
      <c r="M957" s="75" t="s">
        <v>535</v>
      </c>
      <c r="N957" s="75" t="s">
        <v>509</v>
      </c>
      <c r="O957" s="75" t="s">
        <v>535</v>
      </c>
      <c r="P957" s="75" t="s">
        <v>1175</v>
      </c>
    </row>
    <row r="958" spans="1:16">
      <c r="A958" s="63" t="s">
        <v>4282</v>
      </c>
      <c r="B958" s="14" t="str">
        <f>VLOOKUP(P958,'护理记录单文书字典(数据)'!B$4:C$99,2,0)</f>
        <v>DE97F0340CFAB2119F8E1434D77FFE1E</v>
      </c>
      <c r="C958" s="75" t="s">
        <v>3421</v>
      </c>
      <c r="D958" s="75" t="s">
        <v>3422</v>
      </c>
      <c r="E958" s="92" t="s">
        <v>2052</v>
      </c>
      <c r="F958" s="87">
        <v>1</v>
      </c>
      <c r="G958" s="87">
        <v>1</v>
      </c>
      <c r="H958" s="75" t="s">
        <v>1204</v>
      </c>
      <c r="I958" s="75"/>
      <c r="J958" s="75"/>
      <c r="K958" s="75" t="s">
        <v>162</v>
      </c>
      <c r="L958" s="75" t="s">
        <v>509</v>
      </c>
      <c r="M958" s="75" t="s">
        <v>535</v>
      </c>
      <c r="N958" s="75" t="s">
        <v>509</v>
      </c>
      <c r="O958" s="75" t="s">
        <v>535</v>
      </c>
      <c r="P958" s="75" t="s">
        <v>1175</v>
      </c>
    </row>
    <row r="959" spans="1:16">
      <c r="A959" s="63" t="s">
        <v>4282</v>
      </c>
      <c r="B959" s="14" t="str">
        <f>VLOOKUP(P959,'护理记录单文书字典(数据)'!B$4:C$99,2,0)</f>
        <v>DE97F0340CFAB2119F8E1434D77FFE1E</v>
      </c>
      <c r="C959" s="75" t="s">
        <v>3423</v>
      </c>
      <c r="D959" s="75" t="s">
        <v>3424</v>
      </c>
      <c r="E959" s="92" t="s">
        <v>2048</v>
      </c>
      <c r="F959" s="87">
        <v>1</v>
      </c>
      <c r="G959" s="87">
        <v>1</v>
      </c>
      <c r="H959" s="75"/>
      <c r="I959" s="75"/>
      <c r="J959" s="75"/>
      <c r="K959" s="75" t="s">
        <v>162</v>
      </c>
      <c r="L959" s="75" t="s">
        <v>509</v>
      </c>
      <c r="M959" s="75" t="s">
        <v>535</v>
      </c>
      <c r="N959" s="75" t="s">
        <v>509</v>
      </c>
      <c r="O959" s="75" t="s">
        <v>535</v>
      </c>
      <c r="P959" s="75" t="s">
        <v>1175</v>
      </c>
    </row>
    <row r="960" spans="1:16">
      <c r="A960" s="63" t="s">
        <v>4282</v>
      </c>
      <c r="B960" s="14" t="str">
        <f>VLOOKUP(P960,'护理记录单文书字典(数据)'!B$4:C$99,2,0)</f>
        <v>DE97F0340CFAB2119F8E1434D77FFE1E</v>
      </c>
      <c r="C960" s="75" t="s">
        <v>2886</v>
      </c>
      <c r="D960" s="75" t="s">
        <v>2887</v>
      </c>
      <c r="E960" s="92" t="s">
        <v>2048</v>
      </c>
      <c r="F960" s="87">
        <v>1</v>
      </c>
      <c r="G960" s="87">
        <v>1</v>
      </c>
      <c r="H960" s="75"/>
      <c r="I960" s="75"/>
      <c r="J960" s="75"/>
      <c r="K960" s="75" t="s">
        <v>162</v>
      </c>
      <c r="L960" s="75" t="s">
        <v>509</v>
      </c>
      <c r="M960" s="75" t="s">
        <v>535</v>
      </c>
      <c r="N960" s="75" t="s">
        <v>509</v>
      </c>
      <c r="O960" s="75" t="s">
        <v>535</v>
      </c>
      <c r="P960" s="75" t="s">
        <v>1175</v>
      </c>
    </row>
    <row r="961" spans="1:16">
      <c r="A961" s="63" t="s">
        <v>4282</v>
      </c>
      <c r="B961" s="14" t="str">
        <f>VLOOKUP(P961,'护理记录单文书字典(数据)'!B$4:C$99,2,0)</f>
        <v>DE97F0340CFAB2119F8E1434D77FFE1E</v>
      </c>
      <c r="C961" s="75" t="s">
        <v>2852</v>
      </c>
      <c r="D961" s="75" t="s">
        <v>2853</v>
      </c>
      <c r="E961" s="92" t="s">
        <v>2048</v>
      </c>
      <c r="F961" s="87">
        <v>1</v>
      </c>
      <c r="G961" s="87">
        <v>1</v>
      </c>
      <c r="H961" s="75"/>
      <c r="I961" s="75"/>
      <c r="J961" s="75"/>
      <c r="K961" s="75" t="s">
        <v>162</v>
      </c>
      <c r="L961" s="75" t="s">
        <v>509</v>
      </c>
      <c r="M961" s="75" t="s">
        <v>535</v>
      </c>
      <c r="N961" s="75" t="s">
        <v>509</v>
      </c>
      <c r="O961" s="75" t="s">
        <v>535</v>
      </c>
      <c r="P961" s="75" t="s">
        <v>1175</v>
      </c>
    </row>
    <row r="962" spans="1:16">
      <c r="A962" s="63" t="s">
        <v>4282</v>
      </c>
      <c r="B962" s="14" t="str">
        <f>VLOOKUP(P962,'护理记录单文书字典(数据)'!B$4:C$99,2,0)</f>
        <v>DE97F0340CFAB2119F8E1434D77FFE1E</v>
      </c>
      <c r="C962" s="75" t="s">
        <v>2105</v>
      </c>
      <c r="D962" s="75" t="s">
        <v>2103</v>
      </c>
      <c r="E962" s="102" t="s">
        <v>2104</v>
      </c>
      <c r="F962" s="87">
        <v>1</v>
      </c>
      <c r="G962" s="87">
        <v>1</v>
      </c>
      <c r="H962" s="75"/>
      <c r="I962" s="75"/>
      <c r="J962" s="75"/>
      <c r="K962" s="75" t="s">
        <v>162</v>
      </c>
      <c r="L962" s="75" t="s">
        <v>509</v>
      </c>
      <c r="M962" s="75" t="s">
        <v>535</v>
      </c>
      <c r="N962" s="75" t="s">
        <v>509</v>
      </c>
      <c r="O962" s="75" t="s">
        <v>535</v>
      </c>
      <c r="P962" s="75" t="s">
        <v>1175</v>
      </c>
    </row>
    <row r="963" spans="1:16">
      <c r="A963" s="198" t="s">
        <v>4282</v>
      </c>
      <c r="B963" s="14" t="str">
        <f>VLOOKUP(P963,'护理记录单文书字典(数据)'!B$4:C$99,2,0)</f>
        <v>D335B6350CFAB2116C90F1ACA3474419</v>
      </c>
      <c r="C963" s="200" t="s">
        <v>2046</v>
      </c>
      <c r="D963" s="200" t="s">
        <v>2047</v>
      </c>
      <c r="E963" s="202" t="s">
        <v>2048</v>
      </c>
      <c r="F963" s="202">
        <v>1</v>
      </c>
      <c r="G963" s="200">
        <v>1</v>
      </c>
      <c r="H963" s="200"/>
      <c r="I963" s="200"/>
      <c r="J963" s="200"/>
      <c r="K963" s="200" t="s">
        <v>162</v>
      </c>
      <c r="L963" s="200" t="s">
        <v>509</v>
      </c>
      <c r="M963" s="200" t="s">
        <v>535</v>
      </c>
      <c r="N963" s="200" t="s">
        <v>509</v>
      </c>
      <c r="O963" s="200" t="s">
        <v>535</v>
      </c>
      <c r="P963" s="200" t="s">
        <v>2667</v>
      </c>
    </row>
    <row r="964" spans="1:16">
      <c r="A964" s="63" t="s">
        <v>4282</v>
      </c>
      <c r="B964" s="14" t="str">
        <f>VLOOKUP(P964,'护理记录单文书字典(数据)'!B$4:C$99,2,0)</f>
        <v>D335B6350CFAB2116C90F1ACA3474419</v>
      </c>
      <c r="C964" s="75" t="s">
        <v>3499</v>
      </c>
      <c r="D964" s="75" t="s">
        <v>2666</v>
      </c>
      <c r="E964" s="92" t="s">
        <v>2052</v>
      </c>
      <c r="F964" s="92">
        <v>1</v>
      </c>
      <c r="G964" s="75">
        <v>1</v>
      </c>
      <c r="H964" s="75" t="s">
        <v>2665</v>
      </c>
      <c r="I964" s="75"/>
      <c r="J964" s="75"/>
      <c r="K964" s="75" t="s">
        <v>162</v>
      </c>
      <c r="L964" s="75" t="s">
        <v>509</v>
      </c>
      <c r="M964" s="75" t="s">
        <v>535</v>
      </c>
      <c r="N964" s="75" t="s">
        <v>509</v>
      </c>
      <c r="O964" s="75" t="s">
        <v>535</v>
      </c>
      <c r="P964" s="75" t="s">
        <v>2667</v>
      </c>
    </row>
    <row r="965" spans="1:16">
      <c r="A965" s="63" t="s">
        <v>4282</v>
      </c>
      <c r="B965" s="14" t="str">
        <f>VLOOKUP(P965,'护理记录单文书字典(数据)'!B$4:C$99,2,0)</f>
        <v>D335B6350CFAB2116C90F1ACA3474419</v>
      </c>
      <c r="C965" s="75" t="s">
        <v>3500</v>
      </c>
      <c r="D965" s="75" t="s">
        <v>2669</v>
      </c>
      <c r="E965" s="92" t="s">
        <v>2052</v>
      </c>
      <c r="F965" s="92">
        <v>1</v>
      </c>
      <c r="G965" s="75">
        <v>1</v>
      </c>
      <c r="H965" s="75" t="s">
        <v>2668</v>
      </c>
      <c r="I965" s="75"/>
      <c r="J965" s="75"/>
      <c r="K965" s="75" t="s">
        <v>162</v>
      </c>
      <c r="L965" s="75" t="s">
        <v>509</v>
      </c>
      <c r="M965" s="75" t="s">
        <v>535</v>
      </c>
      <c r="N965" s="75" t="s">
        <v>509</v>
      </c>
      <c r="O965" s="75" t="s">
        <v>535</v>
      </c>
      <c r="P965" s="75" t="s">
        <v>2667</v>
      </c>
    </row>
    <row r="966" spans="1:16">
      <c r="A966" s="63" t="s">
        <v>4282</v>
      </c>
      <c r="B966" s="14" t="str">
        <f>VLOOKUP(P966,'护理记录单文书字典(数据)'!B$4:C$99,2,0)</f>
        <v>D335B6350CFAB2116C90F1ACA3474419</v>
      </c>
      <c r="C966" s="159" t="s">
        <v>4655</v>
      </c>
      <c r="D966" s="75" t="s">
        <v>2671</v>
      </c>
      <c r="E966" s="92" t="s">
        <v>2052</v>
      </c>
      <c r="F966" s="92">
        <v>1</v>
      </c>
      <c r="G966" s="75">
        <v>1</v>
      </c>
      <c r="H966" s="75" t="s">
        <v>2670</v>
      </c>
      <c r="I966" s="75"/>
      <c r="J966" s="75"/>
      <c r="K966" s="75" t="s">
        <v>162</v>
      </c>
      <c r="L966" s="75" t="s">
        <v>509</v>
      </c>
      <c r="M966" s="75" t="s">
        <v>535</v>
      </c>
      <c r="N966" s="75" t="s">
        <v>509</v>
      </c>
      <c r="O966" s="75" t="s">
        <v>535</v>
      </c>
      <c r="P966" s="75" t="s">
        <v>2667</v>
      </c>
    </row>
    <row r="967" spans="1:16">
      <c r="A967" s="63" t="s">
        <v>4282</v>
      </c>
      <c r="B967" s="14" t="str">
        <f>VLOOKUP(P967,'护理记录单文书字典(数据)'!B$4:C$99,2,0)</f>
        <v>D335B6350CFAB2116C90F1ACA3474419</v>
      </c>
      <c r="C967" s="75" t="s">
        <v>3501</v>
      </c>
      <c r="D967" s="75" t="s">
        <v>2673</v>
      </c>
      <c r="E967" s="92" t="s">
        <v>2052</v>
      </c>
      <c r="F967" s="92">
        <v>1</v>
      </c>
      <c r="G967" s="75">
        <v>1</v>
      </c>
      <c r="H967" s="75" t="s">
        <v>2672</v>
      </c>
      <c r="I967" s="75"/>
      <c r="J967" s="75"/>
      <c r="K967" s="75" t="s">
        <v>162</v>
      </c>
      <c r="L967" s="75" t="s">
        <v>509</v>
      </c>
      <c r="M967" s="75" t="s">
        <v>535</v>
      </c>
      <c r="N967" s="75" t="s">
        <v>509</v>
      </c>
      <c r="O967" s="75" t="s">
        <v>535</v>
      </c>
      <c r="P967" s="75" t="s">
        <v>2667</v>
      </c>
    </row>
    <row r="968" spans="1:16">
      <c r="A968" s="63" t="s">
        <v>4282</v>
      </c>
      <c r="B968" s="14" t="str">
        <f>VLOOKUP(P968,'护理记录单文书字典(数据)'!B$4:C$99,2,0)</f>
        <v>D335B6350CFAB2116C90F1ACA3474419</v>
      </c>
      <c r="C968" s="75" t="s">
        <v>3502</v>
      </c>
      <c r="D968" s="159" t="s">
        <v>2675</v>
      </c>
      <c r="E968" s="92" t="s">
        <v>2052</v>
      </c>
      <c r="F968" s="92">
        <v>1</v>
      </c>
      <c r="G968" s="75">
        <v>1</v>
      </c>
      <c r="H968" s="75" t="s">
        <v>2674</v>
      </c>
      <c r="I968" s="75"/>
      <c r="J968" s="75"/>
      <c r="K968" s="75" t="s">
        <v>162</v>
      </c>
      <c r="L968" s="75" t="s">
        <v>509</v>
      </c>
      <c r="M968" s="75" t="s">
        <v>535</v>
      </c>
      <c r="N968" s="75" t="s">
        <v>509</v>
      </c>
      <c r="O968" s="75" t="s">
        <v>535</v>
      </c>
      <c r="P968" s="75" t="s">
        <v>2667</v>
      </c>
    </row>
    <row r="969" spans="1:16">
      <c r="A969" s="63" t="s">
        <v>4282</v>
      </c>
      <c r="B969" s="14" t="str">
        <f>VLOOKUP(P969,'护理记录单文书字典(数据)'!B$4:C$99,2,0)</f>
        <v>D335B6350CFAB2116C90F1ACA3474419</v>
      </c>
      <c r="C969" s="75" t="s">
        <v>3503</v>
      </c>
      <c r="D969" s="159" t="s">
        <v>2677</v>
      </c>
      <c r="E969" s="92" t="s">
        <v>2052</v>
      </c>
      <c r="F969" s="92">
        <v>1</v>
      </c>
      <c r="G969" s="75">
        <v>1</v>
      </c>
      <c r="H969" s="75" t="s">
        <v>2676</v>
      </c>
      <c r="I969" s="75"/>
      <c r="J969" s="75"/>
      <c r="K969" s="75" t="s">
        <v>162</v>
      </c>
      <c r="L969" s="75" t="s">
        <v>509</v>
      </c>
      <c r="M969" s="75" t="s">
        <v>535</v>
      </c>
      <c r="N969" s="75" t="s">
        <v>509</v>
      </c>
      <c r="O969" s="75" t="s">
        <v>535</v>
      </c>
      <c r="P969" s="75" t="s">
        <v>2667</v>
      </c>
    </row>
    <row r="970" spans="1:16">
      <c r="A970" s="63" t="s">
        <v>4282</v>
      </c>
      <c r="B970" s="14" t="str">
        <f>VLOOKUP(P970,'护理记录单文书字典(数据)'!B$4:C$99,2,0)</f>
        <v>D335B6350CFAB2116C90F1ACA3474419</v>
      </c>
      <c r="C970" s="75" t="s">
        <v>3504</v>
      </c>
      <c r="D970" s="159" t="s">
        <v>2679</v>
      </c>
      <c r="E970" s="92" t="s">
        <v>2052</v>
      </c>
      <c r="F970" s="92">
        <v>1</v>
      </c>
      <c r="G970" s="75">
        <v>1</v>
      </c>
      <c r="H970" s="75" t="s">
        <v>2678</v>
      </c>
      <c r="I970" s="75"/>
      <c r="J970" s="75"/>
      <c r="K970" s="75" t="s">
        <v>162</v>
      </c>
      <c r="L970" s="75" t="s">
        <v>509</v>
      </c>
      <c r="M970" s="75" t="s">
        <v>535</v>
      </c>
      <c r="N970" s="75" t="s">
        <v>509</v>
      </c>
      <c r="O970" s="75" t="s">
        <v>535</v>
      </c>
      <c r="P970" s="75" t="s">
        <v>2667</v>
      </c>
    </row>
    <row r="971" spans="1:16">
      <c r="A971" s="63" t="s">
        <v>4282</v>
      </c>
      <c r="B971" s="14" t="str">
        <f>VLOOKUP(P971,'护理记录单文书字典(数据)'!B$4:C$99,2,0)</f>
        <v>D335B6350CFAB2116C90F1ACA3474419</v>
      </c>
      <c r="C971" s="75" t="s">
        <v>3505</v>
      </c>
      <c r="D971" s="75" t="s">
        <v>2681</v>
      </c>
      <c r="E971" s="92" t="s">
        <v>2052</v>
      </c>
      <c r="F971" s="92">
        <v>1</v>
      </c>
      <c r="G971" s="75">
        <v>1</v>
      </c>
      <c r="H971" s="75" t="s">
        <v>2680</v>
      </c>
      <c r="I971" s="75"/>
      <c r="J971" s="75"/>
      <c r="K971" s="75" t="s">
        <v>162</v>
      </c>
      <c r="L971" s="75" t="s">
        <v>509</v>
      </c>
      <c r="M971" s="75" t="s">
        <v>535</v>
      </c>
      <c r="N971" s="75" t="s">
        <v>509</v>
      </c>
      <c r="O971" s="75" t="s">
        <v>535</v>
      </c>
      <c r="P971" s="75" t="s">
        <v>2667</v>
      </c>
    </row>
    <row r="972" spans="1:16">
      <c r="A972" s="63" t="s">
        <v>4282</v>
      </c>
      <c r="B972" s="14" t="str">
        <f>VLOOKUP(P972,'护理记录单文书字典(数据)'!B$4:C$99,2,0)</f>
        <v>D335B6350CFAB2116C90F1ACA3474419</v>
      </c>
      <c r="C972" s="75" t="s">
        <v>3506</v>
      </c>
      <c r="D972" s="75" t="s">
        <v>2683</v>
      </c>
      <c r="E972" s="92" t="s">
        <v>2052</v>
      </c>
      <c r="F972" s="92">
        <v>1</v>
      </c>
      <c r="G972" s="75">
        <v>1</v>
      </c>
      <c r="H972" s="75" t="s">
        <v>2682</v>
      </c>
      <c r="I972" s="75"/>
      <c r="J972" s="75"/>
      <c r="K972" s="75" t="s">
        <v>162</v>
      </c>
      <c r="L972" s="75" t="s">
        <v>509</v>
      </c>
      <c r="M972" s="75" t="s">
        <v>535</v>
      </c>
      <c r="N972" s="75" t="s">
        <v>509</v>
      </c>
      <c r="O972" s="75" t="s">
        <v>535</v>
      </c>
      <c r="P972" s="75" t="s">
        <v>2667</v>
      </c>
    </row>
    <row r="973" spans="1:16">
      <c r="A973" s="63" t="s">
        <v>4282</v>
      </c>
      <c r="B973" s="14" t="str">
        <f>VLOOKUP(P973,'护理记录单文书字典(数据)'!B$4:C$99,2,0)</f>
        <v>D335B6350CFAB2116C90F1ACA3474419</v>
      </c>
      <c r="C973" s="75" t="s">
        <v>3507</v>
      </c>
      <c r="D973" s="75" t="s">
        <v>2686</v>
      </c>
      <c r="E973" s="92" t="s">
        <v>2052</v>
      </c>
      <c r="F973" s="92">
        <v>1</v>
      </c>
      <c r="G973" s="75">
        <v>1</v>
      </c>
      <c r="H973" s="75" t="s">
        <v>2685</v>
      </c>
      <c r="I973" s="75"/>
      <c r="J973" s="75"/>
      <c r="K973" s="75" t="s">
        <v>162</v>
      </c>
      <c r="L973" s="75" t="s">
        <v>509</v>
      </c>
      <c r="M973" s="75" t="s">
        <v>535</v>
      </c>
      <c r="N973" s="75" t="s">
        <v>509</v>
      </c>
      <c r="O973" s="75" t="s">
        <v>535</v>
      </c>
      <c r="P973" s="75" t="s">
        <v>2667</v>
      </c>
    </row>
    <row r="974" spans="1:16">
      <c r="A974" s="63" t="s">
        <v>4282</v>
      </c>
      <c r="B974" s="14" t="str">
        <f>VLOOKUP(P974,'护理记录单文书字典(数据)'!B$4:C$99,2,0)</f>
        <v>D335B6350CFAB2116C90F1ACA3474419</v>
      </c>
      <c r="C974" s="75" t="s">
        <v>3508</v>
      </c>
      <c r="D974" s="75" t="s">
        <v>2688</v>
      </c>
      <c r="E974" s="92" t="s">
        <v>2052</v>
      </c>
      <c r="F974" s="92">
        <v>1</v>
      </c>
      <c r="G974" s="75">
        <v>1</v>
      </c>
      <c r="H974" s="75" t="s">
        <v>2687</v>
      </c>
      <c r="I974" s="75"/>
      <c r="J974" s="75"/>
      <c r="K974" s="75" t="s">
        <v>162</v>
      </c>
      <c r="L974" s="75" t="s">
        <v>509</v>
      </c>
      <c r="M974" s="75" t="s">
        <v>535</v>
      </c>
      <c r="N974" s="75" t="s">
        <v>509</v>
      </c>
      <c r="O974" s="75" t="s">
        <v>535</v>
      </c>
      <c r="P974" s="75" t="s">
        <v>2667</v>
      </c>
    </row>
    <row r="975" spans="1:16">
      <c r="A975" s="63" t="s">
        <v>4282</v>
      </c>
      <c r="B975" s="14" t="str">
        <f>VLOOKUP(P975,'护理记录单文书字典(数据)'!B$4:C$99,2,0)</f>
        <v>D335B6350CFAB2116C90F1ACA3474419</v>
      </c>
      <c r="C975" s="75" t="s">
        <v>3509</v>
      </c>
      <c r="D975" s="75" t="s">
        <v>2690</v>
      </c>
      <c r="E975" s="92" t="s">
        <v>2052</v>
      </c>
      <c r="F975" s="92">
        <v>1</v>
      </c>
      <c r="G975" s="75">
        <v>1</v>
      </c>
      <c r="H975" s="75" t="s">
        <v>2689</v>
      </c>
      <c r="I975" s="75"/>
      <c r="J975" s="75"/>
      <c r="K975" s="75" t="s">
        <v>162</v>
      </c>
      <c r="L975" s="75" t="s">
        <v>509</v>
      </c>
      <c r="M975" s="75" t="s">
        <v>535</v>
      </c>
      <c r="N975" s="75" t="s">
        <v>509</v>
      </c>
      <c r="O975" s="75" t="s">
        <v>535</v>
      </c>
      <c r="P975" s="75" t="s">
        <v>2667</v>
      </c>
    </row>
    <row r="976" spans="1:16">
      <c r="A976" s="63" t="s">
        <v>4282</v>
      </c>
      <c r="B976" s="14" t="str">
        <f>VLOOKUP(P976,'护理记录单文书字典(数据)'!B$4:C$99,2,0)</f>
        <v>D335B6350CFAB2116C90F1ACA3474419</v>
      </c>
      <c r="C976" s="75" t="s">
        <v>3510</v>
      </c>
      <c r="D976" s="75" t="s">
        <v>2692</v>
      </c>
      <c r="E976" s="92" t="s">
        <v>2052</v>
      </c>
      <c r="F976" s="92">
        <v>1</v>
      </c>
      <c r="G976" s="75">
        <v>1</v>
      </c>
      <c r="H976" s="75" t="s">
        <v>2691</v>
      </c>
      <c r="I976" s="75"/>
      <c r="J976" s="75"/>
      <c r="K976" s="75" t="s">
        <v>162</v>
      </c>
      <c r="L976" s="75" t="s">
        <v>509</v>
      </c>
      <c r="M976" s="75" t="s">
        <v>535</v>
      </c>
      <c r="N976" s="75" t="s">
        <v>509</v>
      </c>
      <c r="O976" s="75" t="s">
        <v>535</v>
      </c>
      <c r="P976" s="75" t="s">
        <v>2667</v>
      </c>
    </row>
    <row r="977" spans="1:16">
      <c r="A977" s="63" t="s">
        <v>4282</v>
      </c>
      <c r="B977" s="14" t="str">
        <f>VLOOKUP(P977,'护理记录单文书字典(数据)'!B$4:C$99,2,0)</f>
        <v>D335B6350CFAB2116C90F1ACA3474419</v>
      </c>
      <c r="C977" s="75" t="s">
        <v>3511</v>
      </c>
      <c r="D977" s="75" t="s">
        <v>2694</v>
      </c>
      <c r="E977" s="92" t="s">
        <v>2052</v>
      </c>
      <c r="F977" s="92">
        <v>1</v>
      </c>
      <c r="G977" s="75">
        <v>1</v>
      </c>
      <c r="H977" s="75" t="s">
        <v>2693</v>
      </c>
      <c r="I977" s="75"/>
      <c r="J977" s="75"/>
      <c r="K977" s="75" t="s">
        <v>162</v>
      </c>
      <c r="L977" s="75" t="s">
        <v>509</v>
      </c>
      <c r="M977" s="75" t="s">
        <v>535</v>
      </c>
      <c r="N977" s="75" t="s">
        <v>509</v>
      </c>
      <c r="O977" s="75" t="s">
        <v>535</v>
      </c>
      <c r="P977" s="75" t="s">
        <v>2667</v>
      </c>
    </row>
    <row r="978" spans="1:16">
      <c r="A978" s="63" t="s">
        <v>4282</v>
      </c>
      <c r="B978" s="14" t="str">
        <f>VLOOKUP(P978,'护理记录单文书字典(数据)'!B$4:C$99,2,0)</f>
        <v>D335B6350CFAB2116C90F1ACA3474419</v>
      </c>
      <c r="C978" s="75" t="s">
        <v>3512</v>
      </c>
      <c r="D978" s="75" t="s">
        <v>2696</v>
      </c>
      <c r="E978" s="92" t="s">
        <v>2052</v>
      </c>
      <c r="F978" s="92">
        <v>1</v>
      </c>
      <c r="G978" s="75">
        <v>1</v>
      </c>
      <c r="H978" s="75" t="s">
        <v>2695</v>
      </c>
      <c r="I978" s="75"/>
      <c r="J978" s="75"/>
      <c r="K978" s="75" t="s">
        <v>162</v>
      </c>
      <c r="L978" s="75" t="s">
        <v>509</v>
      </c>
      <c r="M978" s="75" t="s">
        <v>535</v>
      </c>
      <c r="N978" s="75" t="s">
        <v>509</v>
      </c>
      <c r="O978" s="75" t="s">
        <v>535</v>
      </c>
      <c r="P978" s="75" t="s">
        <v>2667</v>
      </c>
    </row>
    <row r="979" spans="1:16">
      <c r="A979" s="63" t="s">
        <v>4282</v>
      </c>
      <c r="B979" s="14" t="str">
        <f>VLOOKUP(P979,'护理记录单文书字典(数据)'!B$4:C$99,2,0)</f>
        <v>D335B6350CFAB2116C90F1ACA3474419</v>
      </c>
      <c r="C979" s="75" t="s">
        <v>3513</v>
      </c>
      <c r="D979" s="75" t="s">
        <v>2698</v>
      </c>
      <c r="E979" s="92" t="s">
        <v>2052</v>
      </c>
      <c r="F979" s="92">
        <v>1</v>
      </c>
      <c r="G979" s="75">
        <v>1</v>
      </c>
      <c r="H979" s="75" t="s">
        <v>2697</v>
      </c>
      <c r="I979" s="75"/>
      <c r="J979" s="75"/>
      <c r="K979" s="75" t="s">
        <v>162</v>
      </c>
      <c r="L979" s="75" t="s">
        <v>509</v>
      </c>
      <c r="M979" s="75" t="s">
        <v>535</v>
      </c>
      <c r="N979" s="75" t="s">
        <v>509</v>
      </c>
      <c r="O979" s="75" t="s">
        <v>535</v>
      </c>
      <c r="P979" s="75" t="s">
        <v>2667</v>
      </c>
    </row>
    <row r="980" spans="1:16">
      <c r="A980" s="198" t="s">
        <v>4282</v>
      </c>
      <c r="B980" s="14" t="str">
        <f>VLOOKUP(P980,'护理记录单文书字典(数据)'!B$4:C$99,2,0)</f>
        <v>D335B6350CFAB2116C90F1ACA3474419</v>
      </c>
      <c r="C980" s="200" t="s">
        <v>3027</v>
      </c>
      <c r="D980" s="200" t="s">
        <v>3028</v>
      </c>
      <c r="E980" s="202" t="s">
        <v>2048</v>
      </c>
      <c r="F980" s="202">
        <v>1</v>
      </c>
      <c r="G980" s="200">
        <v>1</v>
      </c>
      <c r="H980" s="200"/>
      <c r="I980" s="200"/>
      <c r="J980" s="200"/>
      <c r="K980" s="200" t="s">
        <v>162</v>
      </c>
      <c r="L980" s="200" t="s">
        <v>509</v>
      </c>
      <c r="M980" s="200" t="s">
        <v>535</v>
      </c>
      <c r="N980" s="200" t="s">
        <v>509</v>
      </c>
      <c r="O980" s="200" t="s">
        <v>535</v>
      </c>
      <c r="P980" s="200" t="s">
        <v>2667</v>
      </c>
    </row>
    <row r="981" spans="1:16">
      <c r="A981" s="198" t="s">
        <v>4282</v>
      </c>
      <c r="B981" s="14" t="str">
        <f>VLOOKUP(P981,'护理记录单文书字典(数据)'!B$4:C$99,2,0)</f>
        <v>D335B6350CFAB2116C90F1ACA3474419</v>
      </c>
      <c r="C981" s="200" t="s">
        <v>4644</v>
      </c>
      <c r="D981" s="200" t="s">
        <v>4645</v>
      </c>
      <c r="E981" s="202" t="s">
        <v>2048</v>
      </c>
      <c r="F981" s="202">
        <v>1</v>
      </c>
      <c r="G981" s="200">
        <v>1</v>
      </c>
      <c r="H981" s="200"/>
      <c r="I981" s="200"/>
      <c r="J981" s="200"/>
      <c r="K981" s="200" t="s">
        <v>162</v>
      </c>
      <c r="L981" s="200" t="s">
        <v>509</v>
      </c>
      <c r="M981" s="200" t="s">
        <v>535</v>
      </c>
      <c r="N981" s="200" t="s">
        <v>509</v>
      </c>
      <c r="O981" s="200" t="s">
        <v>535</v>
      </c>
      <c r="P981" s="200" t="s">
        <v>2667</v>
      </c>
    </row>
    <row r="982" spans="1:16">
      <c r="A982" s="198" t="s">
        <v>4282</v>
      </c>
      <c r="B982" s="14" t="str">
        <f>VLOOKUP(P982,'护理记录单文书字典(数据)'!B$4:C$99,2,0)</f>
        <v>7C10BC350CFAB211FBB2DA70E6E0B948</v>
      </c>
      <c r="C982" s="200" t="s">
        <v>2046</v>
      </c>
      <c r="D982" s="200" t="s">
        <v>2047</v>
      </c>
      <c r="E982" s="202" t="s">
        <v>2048</v>
      </c>
      <c r="F982" s="202">
        <v>1</v>
      </c>
      <c r="G982" s="200">
        <v>1</v>
      </c>
      <c r="H982" s="200"/>
      <c r="I982" s="200"/>
      <c r="J982" s="200"/>
      <c r="K982" s="200" t="s">
        <v>162</v>
      </c>
      <c r="L982" s="200" t="s">
        <v>509</v>
      </c>
      <c r="M982" s="200" t="s">
        <v>535</v>
      </c>
      <c r="N982" s="200" t="s">
        <v>509</v>
      </c>
      <c r="O982" s="200" t="s">
        <v>535</v>
      </c>
      <c r="P982" s="200" t="s">
        <v>2701</v>
      </c>
    </row>
    <row r="983" spans="1:16">
      <c r="A983" s="63" t="s">
        <v>4282</v>
      </c>
      <c r="B983" s="14" t="str">
        <f>VLOOKUP(P983,'护理记录单文书字典(数据)'!B$4:C$99,2,0)</f>
        <v>7C10BC350CFAB211FBB2DA70E6E0B948</v>
      </c>
      <c r="C983" s="75" t="s">
        <v>3514</v>
      </c>
      <c r="D983" s="75" t="s">
        <v>2700</v>
      </c>
      <c r="E983" s="92" t="s">
        <v>2052</v>
      </c>
      <c r="F983" s="92">
        <v>1</v>
      </c>
      <c r="G983" s="75">
        <v>1</v>
      </c>
      <c r="H983" s="75" t="s">
        <v>2699</v>
      </c>
      <c r="I983" s="75"/>
      <c r="J983" s="75"/>
      <c r="K983" s="75" t="s">
        <v>162</v>
      </c>
      <c r="L983" s="75" t="s">
        <v>509</v>
      </c>
      <c r="M983" s="75" t="s">
        <v>535</v>
      </c>
      <c r="N983" s="75" t="s">
        <v>509</v>
      </c>
      <c r="O983" s="75" t="s">
        <v>535</v>
      </c>
      <c r="P983" s="75" t="s">
        <v>2701</v>
      </c>
    </row>
    <row r="984" spans="1:16">
      <c r="A984" s="63" t="s">
        <v>4282</v>
      </c>
      <c r="B984" s="14" t="str">
        <f>VLOOKUP(P984,'护理记录单文书字典(数据)'!B$4:C$99,2,0)</f>
        <v>7C10BC350CFAB211FBB2DA70E6E0B948</v>
      </c>
      <c r="C984" s="75" t="s">
        <v>3515</v>
      </c>
      <c r="D984" s="75" t="s">
        <v>2703</v>
      </c>
      <c r="E984" s="92" t="s">
        <v>2052</v>
      </c>
      <c r="F984" s="92">
        <v>1</v>
      </c>
      <c r="G984" s="75">
        <v>1</v>
      </c>
      <c r="H984" s="75" t="s">
        <v>2702</v>
      </c>
      <c r="I984" s="75"/>
      <c r="J984" s="75"/>
      <c r="K984" s="75" t="s">
        <v>162</v>
      </c>
      <c r="L984" s="75" t="s">
        <v>509</v>
      </c>
      <c r="M984" s="75" t="s">
        <v>535</v>
      </c>
      <c r="N984" s="75" t="s">
        <v>509</v>
      </c>
      <c r="O984" s="75" t="s">
        <v>535</v>
      </c>
      <c r="P984" s="75" t="s">
        <v>2701</v>
      </c>
    </row>
    <row r="985" spans="1:16">
      <c r="A985" s="63" t="s">
        <v>4282</v>
      </c>
      <c r="B985" s="14" t="str">
        <f>VLOOKUP(P985,'护理记录单文书字典(数据)'!B$4:C$99,2,0)</f>
        <v>7C10BC350CFAB211FBB2DA70E6E0B948</v>
      </c>
      <c r="C985" s="75" t="s">
        <v>3516</v>
      </c>
      <c r="D985" s="75" t="s">
        <v>2705</v>
      </c>
      <c r="E985" s="92" t="s">
        <v>2052</v>
      </c>
      <c r="F985" s="92">
        <v>1</v>
      </c>
      <c r="G985" s="75">
        <v>1</v>
      </c>
      <c r="H985" s="75" t="s">
        <v>2704</v>
      </c>
      <c r="I985" s="75"/>
      <c r="J985" s="75"/>
      <c r="K985" s="75" t="s">
        <v>162</v>
      </c>
      <c r="L985" s="75" t="s">
        <v>509</v>
      </c>
      <c r="M985" s="75" t="s">
        <v>535</v>
      </c>
      <c r="N985" s="75" t="s">
        <v>509</v>
      </c>
      <c r="O985" s="75" t="s">
        <v>535</v>
      </c>
      <c r="P985" s="75" t="s">
        <v>2701</v>
      </c>
    </row>
    <row r="986" spans="1:16">
      <c r="A986" s="63" t="s">
        <v>4282</v>
      </c>
      <c r="B986" s="14" t="str">
        <f>VLOOKUP(P986,'护理记录单文书字典(数据)'!B$4:C$99,2,0)</f>
        <v>7C10BC350CFAB211FBB2DA70E6E0B948</v>
      </c>
      <c r="C986" s="75" t="s">
        <v>3517</v>
      </c>
      <c r="D986" s="75" t="s">
        <v>2707</v>
      </c>
      <c r="E986" s="92" t="s">
        <v>2052</v>
      </c>
      <c r="F986" s="92">
        <v>1</v>
      </c>
      <c r="G986" s="75">
        <v>1</v>
      </c>
      <c r="H986" s="75" t="s">
        <v>2706</v>
      </c>
      <c r="I986" s="75"/>
      <c r="J986" s="75"/>
      <c r="K986" s="75" t="s">
        <v>162</v>
      </c>
      <c r="L986" s="75" t="s">
        <v>509</v>
      </c>
      <c r="M986" s="75" t="s">
        <v>535</v>
      </c>
      <c r="N986" s="75" t="s">
        <v>509</v>
      </c>
      <c r="O986" s="75" t="s">
        <v>535</v>
      </c>
      <c r="P986" s="75" t="s">
        <v>2701</v>
      </c>
    </row>
    <row r="987" spans="1:16">
      <c r="A987" s="63" t="s">
        <v>4282</v>
      </c>
      <c r="B987" s="14" t="str">
        <f>VLOOKUP(P987,'护理记录单文书字典(数据)'!B$4:C$99,2,0)</f>
        <v>7C10BC350CFAB211FBB2DA70E6E0B948</v>
      </c>
      <c r="C987" s="75" t="s">
        <v>3518</v>
      </c>
      <c r="D987" s="75" t="s">
        <v>2709</v>
      </c>
      <c r="E987" s="92" t="s">
        <v>2052</v>
      </c>
      <c r="F987" s="92">
        <v>1</v>
      </c>
      <c r="G987" s="75">
        <v>1</v>
      </c>
      <c r="H987" s="75" t="s">
        <v>2708</v>
      </c>
      <c r="I987" s="75"/>
      <c r="J987" s="75"/>
      <c r="K987" s="75" t="s">
        <v>162</v>
      </c>
      <c r="L987" s="75" t="s">
        <v>509</v>
      </c>
      <c r="M987" s="75" t="s">
        <v>535</v>
      </c>
      <c r="N987" s="75" t="s">
        <v>509</v>
      </c>
      <c r="O987" s="75" t="s">
        <v>535</v>
      </c>
      <c r="P987" s="75" t="s">
        <v>2701</v>
      </c>
    </row>
    <row r="988" spans="1:16">
      <c r="A988" s="63" t="s">
        <v>4282</v>
      </c>
      <c r="B988" s="14" t="str">
        <f>VLOOKUP(P988,'护理记录单文书字典(数据)'!B$4:C$99,2,0)</f>
        <v>7C10BC350CFAB211FBB2DA70E6E0B948</v>
      </c>
      <c r="C988" s="75" t="s">
        <v>3519</v>
      </c>
      <c r="D988" s="75" t="s">
        <v>2711</v>
      </c>
      <c r="E988" s="92" t="s">
        <v>2052</v>
      </c>
      <c r="F988" s="92">
        <v>1</v>
      </c>
      <c r="G988" s="75">
        <v>1</v>
      </c>
      <c r="H988" s="75" t="s">
        <v>2710</v>
      </c>
      <c r="I988" s="75"/>
      <c r="J988" s="75"/>
      <c r="K988" s="75" t="s">
        <v>162</v>
      </c>
      <c r="L988" s="75" t="s">
        <v>509</v>
      </c>
      <c r="M988" s="75" t="s">
        <v>535</v>
      </c>
      <c r="N988" s="75" t="s">
        <v>509</v>
      </c>
      <c r="O988" s="75" t="s">
        <v>535</v>
      </c>
      <c r="P988" s="75" t="s">
        <v>2701</v>
      </c>
    </row>
    <row r="989" spans="1:16">
      <c r="A989" s="63" t="s">
        <v>4282</v>
      </c>
      <c r="B989" s="14" t="str">
        <f>VLOOKUP(P989,'护理记录单文书字典(数据)'!B$4:C$99,2,0)</f>
        <v>7C10BC350CFAB211FBB2DA70E6E0B948</v>
      </c>
      <c r="C989" s="75" t="s">
        <v>3520</v>
      </c>
      <c r="D989" s="75" t="s">
        <v>2713</v>
      </c>
      <c r="E989" s="92" t="s">
        <v>2052</v>
      </c>
      <c r="F989" s="92">
        <v>1</v>
      </c>
      <c r="G989" s="161">
        <v>1</v>
      </c>
      <c r="H989" s="75" t="s">
        <v>2712</v>
      </c>
      <c r="I989" s="75"/>
      <c r="J989" s="75"/>
      <c r="K989" s="75" t="s">
        <v>162</v>
      </c>
      <c r="L989" s="75" t="s">
        <v>509</v>
      </c>
      <c r="M989" s="75" t="s">
        <v>535</v>
      </c>
      <c r="N989" s="75" t="s">
        <v>509</v>
      </c>
      <c r="O989" s="75" t="s">
        <v>535</v>
      </c>
      <c r="P989" s="75" t="s">
        <v>2701</v>
      </c>
    </row>
    <row r="990" spans="1:16">
      <c r="A990" s="63" t="s">
        <v>4282</v>
      </c>
      <c r="B990" s="14" t="str">
        <f>VLOOKUP(P990,'护理记录单文书字典(数据)'!B$4:C$99,2,0)</f>
        <v>7C10BC350CFAB211FBB2DA70E6E0B948</v>
      </c>
      <c r="C990" s="75" t="s">
        <v>3521</v>
      </c>
      <c r="D990" s="75" t="s">
        <v>2715</v>
      </c>
      <c r="E990" s="92" t="s">
        <v>2052</v>
      </c>
      <c r="F990" s="92">
        <v>1</v>
      </c>
      <c r="G990" s="75">
        <v>1</v>
      </c>
      <c r="H990" s="75" t="s">
        <v>2714</v>
      </c>
      <c r="I990" s="75"/>
      <c r="J990" s="75"/>
      <c r="K990" s="75" t="s">
        <v>162</v>
      </c>
      <c r="L990" s="75" t="s">
        <v>509</v>
      </c>
      <c r="M990" s="75" t="s">
        <v>535</v>
      </c>
      <c r="N990" s="75" t="s">
        <v>509</v>
      </c>
      <c r="O990" s="75" t="s">
        <v>535</v>
      </c>
      <c r="P990" s="75" t="s">
        <v>2701</v>
      </c>
    </row>
    <row r="991" spans="1:16">
      <c r="A991" s="63" t="s">
        <v>4282</v>
      </c>
      <c r="B991" s="14" t="str">
        <f>VLOOKUP(P991,'护理记录单文书字典(数据)'!B$4:C$99,2,0)</f>
        <v>7C10BC350CFAB211FBB2DA70E6E0B948</v>
      </c>
      <c r="C991" s="75" t="s">
        <v>3522</v>
      </c>
      <c r="D991" s="75" t="s">
        <v>2717</v>
      </c>
      <c r="E991" s="92" t="s">
        <v>2052</v>
      </c>
      <c r="F991" s="92">
        <v>1</v>
      </c>
      <c r="G991" s="75">
        <v>1</v>
      </c>
      <c r="H991" s="75" t="s">
        <v>2716</v>
      </c>
      <c r="I991" s="75"/>
      <c r="J991" s="75"/>
      <c r="K991" s="75" t="s">
        <v>162</v>
      </c>
      <c r="L991" s="75" t="s">
        <v>509</v>
      </c>
      <c r="M991" s="75" t="s">
        <v>535</v>
      </c>
      <c r="N991" s="75" t="s">
        <v>509</v>
      </c>
      <c r="O991" s="75" t="s">
        <v>535</v>
      </c>
      <c r="P991" s="75" t="s">
        <v>2701</v>
      </c>
    </row>
    <row r="992" spans="1:16">
      <c r="A992" s="63" t="s">
        <v>4282</v>
      </c>
      <c r="B992" s="14" t="str">
        <f>VLOOKUP(P992,'护理记录单文书字典(数据)'!B$4:C$99,2,0)</f>
        <v>7C10BC350CFAB211FBB2DA70E6E0B948</v>
      </c>
      <c r="C992" s="75" t="s">
        <v>3523</v>
      </c>
      <c r="D992" s="75" t="s">
        <v>2718</v>
      </c>
      <c r="E992" s="92" t="s">
        <v>2052</v>
      </c>
      <c r="F992" s="92">
        <v>1</v>
      </c>
      <c r="G992" s="75">
        <v>1</v>
      </c>
      <c r="H992" s="75" t="s">
        <v>1212</v>
      </c>
      <c r="I992" s="75"/>
      <c r="J992" s="75"/>
      <c r="K992" s="75" t="s">
        <v>162</v>
      </c>
      <c r="L992" s="75" t="s">
        <v>509</v>
      </c>
      <c r="M992" s="75" t="s">
        <v>535</v>
      </c>
      <c r="N992" s="75" t="s">
        <v>509</v>
      </c>
      <c r="O992" s="75" t="s">
        <v>535</v>
      </c>
      <c r="P992" s="75" t="s">
        <v>2701</v>
      </c>
    </row>
    <row r="993" spans="1:16">
      <c r="A993" s="63" t="s">
        <v>4282</v>
      </c>
      <c r="B993" s="14" t="str">
        <f>VLOOKUP(P993,'护理记录单文书字典(数据)'!B$4:C$99,2,0)</f>
        <v>7C10BC350CFAB211FBB2DA70E6E0B948</v>
      </c>
      <c r="C993" s="75" t="s">
        <v>3524</v>
      </c>
      <c r="D993" s="75" t="s">
        <v>2720</v>
      </c>
      <c r="E993" s="92" t="s">
        <v>2052</v>
      </c>
      <c r="F993" s="92">
        <v>1</v>
      </c>
      <c r="G993" s="75">
        <v>1</v>
      </c>
      <c r="H993" s="75" t="s">
        <v>2719</v>
      </c>
      <c r="I993" s="75"/>
      <c r="J993" s="75"/>
      <c r="K993" s="75" t="s">
        <v>162</v>
      </c>
      <c r="L993" s="75" t="s">
        <v>509</v>
      </c>
      <c r="M993" s="75" t="s">
        <v>535</v>
      </c>
      <c r="N993" s="75" t="s">
        <v>509</v>
      </c>
      <c r="O993" s="75" t="s">
        <v>535</v>
      </c>
      <c r="P993" s="75" t="s">
        <v>2701</v>
      </c>
    </row>
    <row r="994" spans="1:16">
      <c r="A994" s="63" t="s">
        <v>4282</v>
      </c>
      <c r="B994" s="14" t="str">
        <f>VLOOKUP(P994,'护理记录单文书字典(数据)'!B$4:C$99,2,0)</f>
        <v>7C10BC350CFAB211FBB2DA70E6E0B948</v>
      </c>
      <c r="C994" s="75" t="s">
        <v>3525</v>
      </c>
      <c r="D994" s="75" t="s">
        <v>2722</v>
      </c>
      <c r="E994" s="92" t="s">
        <v>2052</v>
      </c>
      <c r="F994" s="92">
        <v>1</v>
      </c>
      <c r="G994" s="75">
        <v>1</v>
      </c>
      <c r="H994" s="75" t="s">
        <v>2721</v>
      </c>
      <c r="I994" s="75"/>
      <c r="J994" s="75"/>
      <c r="K994" s="75" t="s">
        <v>162</v>
      </c>
      <c r="L994" s="75" t="s">
        <v>509</v>
      </c>
      <c r="M994" s="75" t="s">
        <v>535</v>
      </c>
      <c r="N994" s="75" t="s">
        <v>509</v>
      </c>
      <c r="O994" s="75" t="s">
        <v>535</v>
      </c>
      <c r="P994" s="75" t="s">
        <v>2701</v>
      </c>
    </row>
    <row r="995" spans="1:16">
      <c r="A995" s="63" t="s">
        <v>4282</v>
      </c>
      <c r="B995" s="14" t="str">
        <f>VLOOKUP(P995,'护理记录单文书字典(数据)'!B$4:C$99,2,0)</f>
        <v>7C10BC350CFAB211FBB2DA70E6E0B948</v>
      </c>
      <c r="C995" s="75" t="s">
        <v>3526</v>
      </c>
      <c r="D995" s="75" t="s">
        <v>1387</v>
      </c>
      <c r="E995" s="92" t="s">
        <v>2052</v>
      </c>
      <c r="F995" s="92">
        <v>1</v>
      </c>
      <c r="G995" s="75">
        <v>1</v>
      </c>
      <c r="H995" s="75" t="s">
        <v>1386</v>
      </c>
      <c r="I995" s="75"/>
      <c r="J995" s="75"/>
      <c r="K995" s="75" t="s">
        <v>162</v>
      </c>
      <c r="L995" s="75" t="s">
        <v>509</v>
      </c>
      <c r="M995" s="75" t="s">
        <v>535</v>
      </c>
      <c r="N995" s="75" t="s">
        <v>509</v>
      </c>
      <c r="O995" s="75" t="s">
        <v>535</v>
      </c>
      <c r="P995" s="75" t="s">
        <v>2701</v>
      </c>
    </row>
    <row r="996" spans="1:16">
      <c r="A996" s="63" t="s">
        <v>4282</v>
      </c>
      <c r="B996" s="14" t="str">
        <f>VLOOKUP(P996,'护理记录单文书字典(数据)'!B$4:C$99,2,0)</f>
        <v>7C10BC350CFAB211FBB2DA70E6E0B948</v>
      </c>
      <c r="C996" s="75" t="s">
        <v>3527</v>
      </c>
      <c r="D996" s="75" t="s">
        <v>2724</v>
      </c>
      <c r="E996" s="92" t="s">
        <v>2052</v>
      </c>
      <c r="F996" s="92">
        <v>1</v>
      </c>
      <c r="G996" s="75">
        <v>1</v>
      </c>
      <c r="H996" s="75" t="s">
        <v>2723</v>
      </c>
      <c r="I996" s="75"/>
      <c r="J996" s="75"/>
      <c r="K996" s="75" t="s">
        <v>162</v>
      </c>
      <c r="L996" s="75" t="s">
        <v>509</v>
      </c>
      <c r="M996" s="75" t="s">
        <v>535</v>
      </c>
      <c r="N996" s="75" t="s">
        <v>509</v>
      </c>
      <c r="O996" s="75" t="s">
        <v>535</v>
      </c>
      <c r="P996" s="75" t="s">
        <v>2701</v>
      </c>
    </row>
    <row r="997" spans="1:16">
      <c r="A997" s="63" t="s">
        <v>4282</v>
      </c>
      <c r="B997" s="14" t="str">
        <f>VLOOKUP(P997,'护理记录单文书字典(数据)'!B$4:C$99,2,0)</f>
        <v>7C10BC350CFAB211FBB2DA70E6E0B948</v>
      </c>
      <c r="C997" s="75" t="s">
        <v>3528</v>
      </c>
      <c r="D997" s="75" t="s">
        <v>2726</v>
      </c>
      <c r="E997" s="92" t="s">
        <v>2052</v>
      </c>
      <c r="F997" s="92">
        <v>1</v>
      </c>
      <c r="G997" s="75">
        <v>1</v>
      </c>
      <c r="H997" s="75" t="s">
        <v>2725</v>
      </c>
      <c r="I997" s="75"/>
      <c r="J997" s="75"/>
      <c r="K997" s="75" t="s">
        <v>162</v>
      </c>
      <c r="L997" s="75" t="s">
        <v>509</v>
      </c>
      <c r="M997" s="75" t="s">
        <v>535</v>
      </c>
      <c r="N997" s="75" t="s">
        <v>509</v>
      </c>
      <c r="O997" s="75" t="s">
        <v>535</v>
      </c>
      <c r="P997" s="75" t="s">
        <v>2701</v>
      </c>
    </row>
    <row r="998" spans="1:16">
      <c r="A998" s="63" t="s">
        <v>4282</v>
      </c>
      <c r="B998" s="14" t="str">
        <f>VLOOKUP(P998,'护理记录单文书字典(数据)'!B$4:C$99,2,0)</f>
        <v>7C10BC350CFAB211FBB2DA70E6E0B948</v>
      </c>
      <c r="C998" s="75" t="s">
        <v>3529</v>
      </c>
      <c r="D998" s="75" t="s">
        <v>2728</v>
      </c>
      <c r="E998" s="92" t="s">
        <v>2052</v>
      </c>
      <c r="F998" s="92">
        <v>1</v>
      </c>
      <c r="G998" s="75">
        <v>1</v>
      </c>
      <c r="H998" s="75" t="s">
        <v>2727</v>
      </c>
      <c r="I998" s="75"/>
      <c r="J998" s="75"/>
      <c r="K998" s="75" t="s">
        <v>162</v>
      </c>
      <c r="L998" s="75" t="s">
        <v>509</v>
      </c>
      <c r="M998" s="75" t="s">
        <v>535</v>
      </c>
      <c r="N998" s="75" t="s">
        <v>509</v>
      </c>
      <c r="O998" s="75" t="s">
        <v>535</v>
      </c>
      <c r="P998" s="75" t="s">
        <v>2701</v>
      </c>
    </row>
    <row r="999" spans="1:16">
      <c r="A999" s="63" t="s">
        <v>4282</v>
      </c>
      <c r="B999" s="14" t="str">
        <f>VLOOKUP(P999,'护理记录单文书字典(数据)'!B$4:C$99,2,0)</f>
        <v>7C10BC350CFAB211FBB2DA70E6E0B948</v>
      </c>
      <c r="C999" s="75" t="s">
        <v>3530</v>
      </c>
      <c r="D999" s="75" t="s">
        <v>2730</v>
      </c>
      <c r="E999" s="92" t="s">
        <v>2052</v>
      </c>
      <c r="F999" s="92">
        <v>1</v>
      </c>
      <c r="G999" s="75">
        <v>1</v>
      </c>
      <c r="H999" s="75" t="s">
        <v>2729</v>
      </c>
      <c r="I999" s="75"/>
      <c r="J999" s="75"/>
      <c r="K999" s="75" t="s">
        <v>162</v>
      </c>
      <c r="L999" s="75" t="s">
        <v>509</v>
      </c>
      <c r="M999" s="75" t="s">
        <v>535</v>
      </c>
      <c r="N999" s="75" t="s">
        <v>509</v>
      </c>
      <c r="O999" s="75" t="s">
        <v>535</v>
      </c>
      <c r="P999" s="75" t="s">
        <v>2701</v>
      </c>
    </row>
    <row r="1000" spans="1:16">
      <c r="A1000" s="63" t="s">
        <v>4282</v>
      </c>
      <c r="B1000" s="14" t="str">
        <f>VLOOKUP(P1000,'护理记录单文书字典(数据)'!B$4:C$99,2,0)</f>
        <v>7C10BC350CFAB211FBB2DA70E6E0B948</v>
      </c>
      <c r="C1000" s="75" t="s">
        <v>3531</v>
      </c>
      <c r="D1000" s="75" t="s">
        <v>2732</v>
      </c>
      <c r="E1000" s="92" t="s">
        <v>2052</v>
      </c>
      <c r="F1000" s="92">
        <v>1</v>
      </c>
      <c r="G1000" s="75">
        <v>1</v>
      </c>
      <c r="H1000" s="75" t="s">
        <v>2731</v>
      </c>
      <c r="I1000" s="75"/>
      <c r="J1000" s="75"/>
      <c r="K1000" s="75" t="s">
        <v>162</v>
      </c>
      <c r="L1000" s="75" t="s">
        <v>509</v>
      </c>
      <c r="M1000" s="75" t="s">
        <v>535</v>
      </c>
      <c r="N1000" s="75" t="s">
        <v>509</v>
      </c>
      <c r="O1000" s="75" t="s">
        <v>535</v>
      </c>
      <c r="P1000" s="75" t="s">
        <v>2701</v>
      </c>
    </row>
    <row r="1001" spans="1:16">
      <c r="A1001" s="63" t="s">
        <v>4282</v>
      </c>
      <c r="B1001" s="14" t="str">
        <f>VLOOKUP(P1001,'护理记录单文书字典(数据)'!B$4:C$99,2,0)</f>
        <v>7C10BC350CFAB211FBB2DA70E6E0B948</v>
      </c>
      <c r="C1001" s="75" t="s">
        <v>3532</v>
      </c>
      <c r="D1001" s="75" t="s">
        <v>2734</v>
      </c>
      <c r="E1001" s="92" t="s">
        <v>2052</v>
      </c>
      <c r="F1001" s="92">
        <v>1</v>
      </c>
      <c r="G1001" s="75">
        <v>1</v>
      </c>
      <c r="H1001" s="75" t="s">
        <v>2733</v>
      </c>
      <c r="I1001" s="75"/>
      <c r="J1001" s="75"/>
      <c r="K1001" s="75" t="s">
        <v>162</v>
      </c>
      <c r="L1001" s="75" t="s">
        <v>509</v>
      </c>
      <c r="M1001" s="75" t="s">
        <v>535</v>
      </c>
      <c r="N1001" s="75" t="s">
        <v>509</v>
      </c>
      <c r="O1001" s="75" t="s">
        <v>535</v>
      </c>
      <c r="P1001" s="75" t="s">
        <v>2701</v>
      </c>
    </row>
    <row r="1002" spans="1:16">
      <c r="A1002" s="63" t="s">
        <v>4282</v>
      </c>
      <c r="B1002" s="14" t="str">
        <f>VLOOKUP(P1002,'护理记录单文书字典(数据)'!B$4:C$99,2,0)</f>
        <v>7C10BC350CFAB211FBB2DA70E6E0B948</v>
      </c>
      <c r="C1002" s="75" t="s">
        <v>3533</v>
      </c>
      <c r="D1002" s="75" t="s">
        <v>2736</v>
      </c>
      <c r="E1002" s="92" t="s">
        <v>2052</v>
      </c>
      <c r="F1002" s="92">
        <v>1</v>
      </c>
      <c r="G1002" s="75">
        <v>1</v>
      </c>
      <c r="H1002" s="75" t="s">
        <v>2735</v>
      </c>
      <c r="I1002" s="75"/>
      <c r="J1002" s="75"/>
      <c r="K1002" s="75" t="s">
        <v>162</v>
      </c>
      <c r="L1002" s="75" t="s">
        <v>509</v>
      </c>
      <c r="M1002" s="75" t="s">
        <v>535</v>
      </c>
      <c r="N1002" s="75" t="s">
        <v>509</v>
      </c>
      <c r="O1002" s="75" t="s">
        <v>535</v>
      </c>
      <c r="P1002" s="75" t="s">
        <v>2701</v>
      </c>
    </row>
    <row r="1003" spans="1:16">
      <c r="A1003" s="198" t="s">
        <v>4282</v>
      </c>
      <c r="B1003" s="14" t="str">
        <f>VLOOKUP(P1003,'护理记录单文书字典(数据)'!B$4:C$99,2,0)</f>
        <v>7C10BC350CFAB211FBB2DA70E6E0B948</v>
      </c>
      <c r="C1003" s="200" t="s">
        <v>3027</v>
      </c>
      <c r="D1003" s="200" t="s">
        <v>3028</v>
      </c>
      <c r="E1003" s="202" t="s">
        <v>2048</v>
      </c>
      <c r="F1003" s="202">
        <v>1</v>
      </c>
      <c r="G1003" s="200">
        <v>1</v>
      </c>
      <c r="H1003" s="200"/>
      <c r="I1003" s="200"/>
      <c r="J1003" s="200"/>
      <c r="K1003" s="200" t="s">
        <v>162</v>
      </c>
      <c r="L1003" s="200" t="s">
        <v>509</v>
      </c>
      <c r="M1003" s="200" t="s">
        <v>535</v>
      </c>
      <c r="N1003" s="200" t="s">
        <v>509</v>
      </c>
      <c r="O1003" s="200" t="s">
        <v>535</v>
      </c>
      <c r="P1003" s="200" t="s">
        <v>2701</v>
      </c>
    </row>
    <row r="1004" spans="1:16">
      <c r="A1004" s="198" t="s">
        <v>4282</v>
      </c>
      <c r="B1004" s="14" t="str">
        <f>VLOOKUP(P1004,'护理记录单文书字典(数据)'!B$4:C$99,2,0)</f>
        <v>7C10BC350CFAB211FBB2DA70E6E0B948</v>
      </c>
      <c r="C1004" s="200" t="s">
        <v>4644</v>
      </c>
      <c r="D1004" s="200" t="s">
        <v>4645</v>
      </c>
      <c r="E1004" s="202" t="s">
        <v>2048</v>
      </c>
      <c r="F1004" s="202">
        <v>1</v>
      </c>
      <c r="G1004" s="200">
        <v>1</v>
      </c>
      <c r="H1004" s="200"/>
      <c r="I1004" s="200"/>
      <c r="J1004" s="200"/>
      <c r="K1004" s="200" t="s">
        <v>162</v>
      </c>
      <c r="L1004" s="200" t="s">
        <v>509</v>
      </c>
      <c r="M1004" s="200" t="s">
        <v>535</v>
      </c>
      <c r="N1004" s="200" t="s">
        <v>509</v>
      </c>
      <c r="O1004" s="200" t="s">
        <v>535</v>
      </c>
      <c r="P1004" s="200" t="s">
        <v>2701</v>
      </c>
    </row>
    <row r="1005" spans="1:16">
      <c r="A1005" s="63" t="s">
        <v>4282</v>
      </c>
      <c r="B1005" s="14" t="str">
        <f>VLOOKUP(P1005,'护理记录单文书字典(数据)'!B$4:C$99,2,0)</f>
        <v>A760D1350CFAB211E08C244569B8CF65</v>
      </c>
      <c r="C1005" s="75" t="s">
        <v>3534</v>
      </c>
      <c r="D1005" s="75" t="s">
        <v>3535</v>
      </c>
      <c r="E1005" s="92" t="s">
        <v>2048</v>
      </c>
      <c r="F1005" s="92">
        <v>1</v>
      </c>
      <c r="G1005" s="75">
        <v>1</v>
      </c>
      <c r="H1005" s="75"/>
      <c r="I1005" s="75"/>
      <c r="J1005" s="75"/>
      <c r="K1005" s="75" t="s">
        <v>162</v>
      </c>
      <c r="L1005" s="75" t="s">
        <v>509</v>
      </c>
      <c r="M1005" s="75" t="s">
        <v>535</v>
      </c>
      <c r="N1005" s="75" t="s">
        <v>509</v>
      </c>
      <c r="O1005" s="75" t="s">
        <v>535</v>
      </c>
      <c r="P1005" s="75" t="s">
        <v>1804</v>
      </c>
    </row>
    <row r="1006" spans="1:16">
      <c r="A1006" s="63" t="s">
        <v>4282</v>
      </c>
      <c r="B1006" s="14" t="str">
        <f>VLOOKUP(P1006,'护理记录单文书字典(数据)'!B$4:C$99,2,0)</f>
        <v>A760D1350CFAB211E08C244569B8CF65</v>
      </c>
      <c r="C1006" s="75" t="s">
        <v>3536</v>
      </c>
      <c r="D1006" s="75" t="s">
        <v>3537</v>
      </c>
      <c r="E1006" s="92" t="s">
        <v>2048</v>
      </c>
      <c r="F1006" s="92">
        <v>1</v>
      </c>
      <c r="G1006" s="75">
        <v>1</v>
      </c>
      <c r="H1006" s="75"/>
      <c r="I1006" s="75"/>
      <c r="J1006" s="75"/>
      <c r="K1006" s="75" t="s">
        <v>162</v>
      </c>
      <c r="L1006" s="75" t="s">
        <v>509</v>
      </c>
      <c r="M1006" s="75" t="s">
        <v>535</v>
      </c>
      <c r="N1006" s="75" t="s">
        <v>509</v>
      </c>
      <c r="O1006" s="75" t="s">
        <v>535</v>
      </c>
      <c r="P1006" s="75" t="s">
        <v>1804</v>
      </c>
    </row>
    <row r="1007" spans="1:16">
      <c r="A1007" s="63" t="s">
        <v>4282</v>
      </c>
      <c r="B1007" s="14" t="str">
        <f>VLOOKUP(P1007,'护理记录单文书字典(数据)'!B$4:C$99,2,0)</f>
        <v>A760D1350CFAB211E08C244569B8CF65</v>
      </c>
      <c r="C1007" s="75" t="s">
        <v>3538</v>
      </c>
      <c r="D1007" s="75" t="s">
        <v>3539</v>
      </c>
      <c r="E1007" s="92" t="s">
        <v>2048</v>
      </c>
      <c r="F1007" s="92">
        <v>1</v>
      </c>
      <c r="G1007" s="75">
        <v>1</v>
      </c>
      <c r="H1007" s="75"/>
      <c r="I1007" s="75"/>
      <c r="J1007" s="75"/>
      <c r="K1007" s="75" t="s">
        <v>162</v>
      </c>
      <c r="L1007" s="75" t="s">
        <v>509</v>
      </c>
      <c r="M1007" s="75" t="s">
        <v>535</v>
      </c>
      <c r="N1007" s="75" t="s">
        <v>509</v>
      </c>
      <c r="O1007" s="75" t="s">
        <v>535</v>
      </c>
      <c r="P1007" s="75" t="s">
        <v>1804</v>
      </c>
    </row>
    <row r="1008" spans="1:16">
      <c r="A1008" s="63" t="s">
        <v>4282</v>
      </c>
      <c r="B1008" s="14" t="str">
        <f>VLOOKUP(P1008,'护理记录单文书字典(数据)'!B$4:C$99,2,0)</f>
        <v>A760D1350CFAB211E08C244569B8CF65</v>
      </c>
      <c r="C1008" s="75" t="s">
        <v>3540</v>
      </c>
      <c r="D1008" s="75" t="s">
        <v>3541</v>
      </c>
      <c r="E1008" s="92" t="s">
        <v>2048</v>
      </c>
      <c r="F1008" s="92">
        <v>1</v>
      </c>
      <c r="G1008" s="75">
        <v>1</v>
      </c>
      <c r="H1008" s="75"/>
      <c r="I1008" s="75"/>
      <c r="J1008" s="75"/>
      <c r="K1008" s="75" t="s">
        <v>162</v>
      </c>
      <c r="L1008" s="75" t="s">
        <v>509</v>
      </c>
      <c r="M1008" s="75" t="s">
        <v>535</v>
      </c>
      <c r="N1008" s="75" t="s">
        <v>509</v>
      </c>
      <c r="O1008" s="75" t="s">
        <v>535</v>
      </c>
      <c r="P1008" s="75" t="s">
        <v>1804</v>
      </c>
    </row>
    <row r="1009" spans="1:16">
      <c r="A1009" s="63" t="s">
        <v>4282</v>
      </c>
      <c r="B1009" s="14" t="str">
        <f>VLOOKUP(P1009,'护理记录单文书字典(数据)'!B$4:C$99,2,0)</f>
        <v>A760D1350CFAB211E08C244569B8CF65</v>
      </c>
      <c r="C1009" s="75" t="s">
        <v>3542</v>
      </c>
      <c r="D1009" s="75" t="s">
        <v>1802</v>
      </c>
      <c r="E1009" s="92" t="s">
        <v>2052</v>
      </c>
      <c r="F1009" s="92">
        <v>1</v>
      </c>
      <c r="G1009" s="75">
        <v>1</v>
      </c>
      <c r="H1009" s="75" t="s">
        <v>1801</v>
      </c>
      <c r="I1009" s="75"/>
      <c r="J1009" s="75"/>
      <c r="K1009" s="75" t="s">
        <v>162</v>
      </c>
      <c r="L1009" s="75" t="s">
        <v>509</v>
      </c>
      <c r="M1009" s="75" t="s">
        <v>535</v>
      </c>
      <c r="N1009" s="75" t="s">
        <v>509</v>
      </c>
      <c r="O1009" s="75" t="s">
        <v>535</v>
      </c>
      <c r="P1009" s="75" t="s">
        <v>1804</v>
      </c>
    </row>
    <row r="1010" spans="1:16">
      <c r="A1010" s="63" t="s">
        <v>4282</v>
      </c>
      <c r="B1010" s="14" t="str">
        <f>VLOOKUP(P1010,'护理记录单文书字典(数据)'!B$4:C$99,2,0)</f>
        <v>A760D1350CFAB211E08C244569B8CF65</v>
      </c>
      <c r="C1010" s="75" t="s">
        <v>3543</v>
      </c>
      <c r="D1010" s="75" t="s">
        <v>1807</v>
      </c>
      <c r="E1010" s="92" t="s">
        <v>2052</v>
      </c>
      <c r="F1010" s="92">
        <v>1</v>
      </c>
      <c r="G1010" s="75">
        <v>1</v>
      </c>
      <c r="H1010" s="75" t="s">
        <v>1806</v>
      </c>
      <c r="I1010" s="75"/>
      <c r="J1010" s="75"/>
      <c r="K1010" s="75" t="s">
        <v>162</v>
      </c>
      <c r="L1010" s="75" t="s">
        <v>509</v>
      </c>
      <c r="M1010" s="75" t="s">
        <v>535</v>
      </c>
      <c r="N1010" s="75" t="s">
        <v>509</v>
      </c>
      <c r="O1010" s="75" t="s">
        <v>535</v>
      </c>
      <c r="P1010" s="75" t="s">
        <v>1804</v>
      </c>
    </row>
    <row r="1011" spans="1:16">
      <c r="A1011" s="63" t="s">
        <v>4282</v>
      </c>
      <c r="B1011" s="14" t="str">
        <f>VLOOKUP(P1011,'护理记录单文书字典(数据)'!B$4:C$99,2,0)</f>
        <v>A760D1350CFAB211E08C244569B8CF65</v>
      </c>
      <c r="C1011" s="75" t="s">
        <v>3544</v>
      </c>
      <c r="D1011" s="75" t="s">
        <v>3545</v>
      </c>
      <c r="E1011" s="92" t="s">
        <v>2048</v>
      </c>
      <c r="F1011" s="92">
        <v>1</v>
      </c>
      <c r="G1011" s="75">
        <v>1</v>
      </c>
      <c r="H1011" s="75"/>
      <c r="I1011" s="75"/>
      <c r="J1011" s="75"/>
      <c r="K1011" s="75" t="s">
        <v>162</v>
      </c>
      <c r="L1011" s="75" t="s">
        <v>509</v>
      </c>
      <c r="M1011" s="75" t="s">
        <v>535</v>
      </c>
      <c r="N1011" s="75" t="s">
        <v>509</v>
      </c>
      <c r="O1011" s="75" t="s">
        <v>535</v>
      </c>
      <c r="P1011" s="75" t="s">
        <v>1804</v>
      </c>
    </row>
    <row r="1012" spans="1:16">
      <c r="A1012" s="63" t="s">
        <v>4282</v>
      </c>
      <c r="B1012" s="14" t="str">
        <f>VLOOKUP(P1012,'护理记录单文书字典(数据)'!B$4:C$99,2,0)</f>
        <v>A760D1350CFAB211E08C244569B8CF65</v>
      </c>
      <c r="C1012" s="75" t="s">
        <v>3546</v>
      </c>
      <c r="D1012" s="75" t="s">
        <v>3547</v>
      </c>
      <c r="E1012" s="92" t="s">
        <v>2048</v>
      </c>
      <c r="F1012" s="92">
        <v>1</v>
      </c>
      <c r="G1012" s="75">
        <v>1</v>
      </c>
      <c r="H1012" s="75"/>
      <c r="I1012" s="75"/>
      <c r="J1012" s="75"/>
      <c r="K1012" s="75" t="s">
        <v>162</v>
      </c>
      <c r="L1012" s="75" t="s">
        <v>509</v>
      </c>
      <c r="M1012" s="75" t="s">
        <v>535</v>
      </c>
      <c r="N1012" s="75" t="s">
        <v>509</v>
      </c>
      <c r="O1012" s="75" t="s">
        <v>535</v>
      </c>
      <c r="P1012" s="75" t="s">
        <v>1804</v>
      </c>
    </row>
    <row r="1013" spans="1:16">
      <c r="A1013" s="63" t="s">
        <v>4282</v>
      </c>
      <c r="B1013" s="14" t="str">
        <f>VLOOKUP(P1013,'护理记录单文书字典(数据)'!B$4:C$99,2,0)</f>
        <v>A760D1350CFAB211E08C244569B8CF65</v>
      </c>
      <c r="C1013" s="75" t="s">
        <v>3548</v>
      </c>
      <c r="D1013" s="75" t="s">
        <v>1275</v>
      </c>
      <c r="E1013" s="92" t="s">
        <v>2048</v>
      </c>
      <c r="F1013" s="92">
        <v>1</v>
      </c>
      <c r="G1013" s="75">
        <v>1</v>
      </c>
      <c r="H1013" s="75"/>
      <c r="I1013" s="75"/>
      <c r="J1013" s="75"/>
      <c r="K1013" s="75" t="s">
        <v>162</v>
      </c>
      <c r="L1013" s="75" t="s">
        <v>509</v>
      </c>
      <c r="M1013" s="75" t="s">
        <v>535</v>
      </c>
      <c r="N1013" s="75" t="s">
        <v>509</v>
      </c>
      <c r="O1013" s="75" t="s">
        <v>535</v>
      </c>
      <c r="P1013" s="75" t="s">
        <v>1804</v>
      </c>
    </row>
    <row r="1014" spans="1:16">
      <c r="A1014" s="63" t="s">
        <v>4282</v>
      </c>
      <c r="B1014" s="14" t="str">
        <f>VLOOKUP(P1014,'护理记录单文书字典(数据)'!B$4:C$99,2,0)</f>
        <v>A760D1350CFAB211E08C244569B8CF65</v>
      </c>
      <c r="C1014" s="75" t="s">
        <v>2886</v>
      </c>
      <c r="D1014" s="75" t="s">
        <v>2887</v>
      </c>
      <c r="E1014" s="92" t="s">
        <v>2048</v>
      </c>
      <c r="F1014" s="92">
        <v>1</v>
      </c>
      <c r="G1014" s="161">
        <v>1</v>
      </c>
      <c r="H1014" s="75"/>
      <c r="I1014" s="75"/>
      <c r="J1014" s="75"/>
      <c r="K1014" s="75" t="s">
        <v>162</v>
      </c>
      <c r="L1014" s="75" t="s">
        <v>509</v>
      </c>
      <c r="M1014" s="75" t="s">
        <v>535</v>
      </c>
      <c r="N1014" s="75" t="s">
        <v>509</v>
      </c>
      <c r="O1014" s="75" t="s">
        <v>535</v>
      </c>
      <c r="P1014" s="75" t="s">
        <v>1804</v>
      </c>
    </row>
    <row r="1015" spans="1:16">
      <c r="A1015" s="63" t="s">
        <v>4282</v>
      </c>
      <c r="B1015" s="14" t="str">
        <f>VLOOKUP(P1015,'护理记录单文书字典(数据)'!B$4:C$99,2,0)</f>
        <v>A760D1350CFAB211E08C244569B8CF65</v>
      </c>
      <c r="C1015" s="75" t="s">
        <v>2105</v>
      </c>
      <c r="D1015" s="75" t="s">
        <v>2103</v>
      </c>
      <c r="E1015" s="92" t="s">
        <v>2104</v>
      </c>
      <c r="F1015" s="92">
        <v>1</v>
      </c>
      <c r="G1015" s="75">
        <v>1</v>
      </c>
      <c r="H1015" s="75"/>
      <c r="I1015" s="75"/>
      <c r="J1015" s="75"/>
      <c r="K1015" s="75" t="s">
        <v>162</v>
      </c>
      <c r="L1015" s="75" t="s">
        <v>509</v>
      </c>
      <c r="M1015" s="75" t="s">
        <v>535</v>
      </c>
      <c r="N1015" s="75" t="s">
        <v>509</v>
      </c>
      <c r="O1015" s="75" t="s">
        <v>535</v>
      </c>
      <c r="P1015" s="75" t="s">
        <v>1804</v>
      </c>
    </row>
    <row r="1016" spans="1:16">
      <c r="A1016" s="198" t="s">
        <v>4282</v>
      </c>
      <c r="B1016" s="14" t="str">
        <f>VLOOKUP(P1016,'护理记录单文书字典(数据)'!B$4:C$99,2,0)</f>
        <v>143BD9350CFAB2115785CF09CCC6AD4F</v>
      </c>
      <c r="C1016" s="200" t="s">
        <v>2046</v>
      </c>
      <c r="D1016" s="200" t="s">
        <v>2047</v>
      </c>
      <c r="E1016" s="202" t="s">
        <v>2048</v>
      </c>
      <c r="F1016" s="202">
        <v>1</v>
      </c>
      <c r="G1016" s="200">
        <v>1</v>
      </c>
      <c r="H1016" s="200"/>
      <c r="I1016" s="200"/>
      <c r="J1016" s="200"/>
      <c r="K1016" s="200" t="s">
        <v>162</v>
      </c>
      <c r="L1016" s="200" t="s">
        <v>509</v>
      </c>
      <c r="M1016" s="200" t="s">
        <v>535</v>
      </c>
      <c r="N1016" s="200" t="s">
        <v>509</v>
      </c>
      <c r="O1016" s="200" t="s">
        <v>535</v>
      </c>
      <c r="P1016" s="200" t="s">
        <v>1809</v>
      </c>
    </row>
    <row r="1017" spans="1:16">
      <c r="A1017" s="63" t="s">
        <v>4282</v>
      </c>
      <c r="B1017" s="14" t="str">
        <f>VLOOKUP(P1017,'护理记录单文书字典(数据)'!B$4:C$99,2,0)</f>
        <v>143BD9350CFAB2115785CF09CCC6AD4F</v>
      </c>
      <c r="C1017" s="75" t="s">
        <v>3549</v>
      </c>
      <c r="D1017" s="75" t="s">
        <v>3550</v>
      </c>
      <c r="E1017" s="92" t="s">
        <v>2048</v>
      </c>
      <c r="F1017" s="92">
        <v>1</v>
      </c>
      <c r="G1017" s="75">
        <v>1</v>
      </c>
      <c r="H1017" s="75"/>
      <c r="I1017" s="75"/>
      <c r="J1017" s="75"/>
      <c r="K1017" s="75" t="s">
        <v>162</v>
      </c>
      <c r="L1017" s="75" t="s">
        <v>509</v>
      </c>
      <c r="M1017" s="75" t="s">
        <v>535</v>
      </c>
      <c r="N1017" s="75" t="s">
        <v>509</v>
      </c>
      <c r="O1017" s="75" t="s">
        <v>535</v>
      </c>
      <c r="P1017" s="75" t="s">
        <v>1809</v>
      </c>
    </row>
    <row r="1018" spans="1:16">
      <c r="A1018" s="63" t="s">
        <v>4282</v>
      </c>
      <c r="B1018" s="14" t="str">
        <f>VLOOKUP(P1018,'护理记录单文书字典(数据)'!B$4:C$99,2,0)</f>
        <v>143BD9350CFAB2115785CF09CCC6AD4F</v>
      </c>
      <c r="C1018" s="75" t="s">
        <v>3551</v>
      </c>
      <c r="D1018" s="75" t="s">
        <v>3552</v>
      </c>
      <c r="E1018" s="92" t="s">
        <v>2048</v>
      </c>
      <c r="F1018" s="92">
        <v>1</v>
      </c>
      <c r="G1018" s="75">
        <v>1</v>
      </c>
      <c r="H1018" s="75"/>
      <c r="I1018" s="75"/>
      <c r="J1018" s="75"/>
      <c r="K1018" s="75" t="s">
        <v>162</v>
      </c>
      <c r="L1018" s="75" t="s">
        <v>509</v>
      </c>
      <c r="M1018" s="75" t="s">
        <v>535</v>
      </c>
      <c r="N1018" s="75" t="s">
        <v>509</v>
      </c>
      <c r="O1018" s="75" t="s">
        <v>535</v>
      </c>
      <c r="P1018" s="75" t="s">
        <v>1809</v>
      </c>
    </row>
    <row r="1019" spans="1:16">
      <c r="A1019" s="63" t="s">
        <v>4282</v>
      </c>
      <c r="B1019" s="14" t="str">
        <f>VLOOKUP(P1019,'护理记录单文书字典(数据)'!B$4:C$99,2,0)</f>
        <v>143BD9350CFAB2115785CF09CCC6AD4F</v>
      </c>
      <c r="C1019" s="75" t="s">
        <v>3553</v>
      </c>
      <c r="D1019" s="75" t="s">
        <v>3554</v>
      </c>
      <c r="E1019" s="92" t="s">
        <v>2048</v>
      </c>
      <c r="F1019" s="92">
        <v>1</v>
      </c>
      <c r="G1019" s="75">
        <v>1</v>
      </c>
      <c r="H1019" s="75"/>
      <c r="I1019" s="75"/>
      <c r="J1019" s="75"/>
      <c r="K1019" s="75" t="s">
        <v>162</v>
      </c>
      <c r="L1019" s="75" t="s">
        <v>509</v>
      </c>
      <c r="M1019" s="75" t="s">
        <v>535</v>
      </c>
      <c r="N1019" s="75" t="s">
        <v>509</v>
      </c>
      <c r="O1019" s="75" t="s">
        <v>535</v>
      </c>
      <c r="P1019" s="75" t="s">
        <v>1809</v>
      </c>
    </row>
    <row r="1020" spans="1:16">
      <c r="A1020" s="63" t="s">
        <v>4282</v>
      </c>
      <c r="B1020" s="14" t="str">
        <f>VLOOKUP(P1020,'护理记录单文书字典(数据)'!B$4:C$99,2,0)</f>
        <v>143BD9350CFAB2115785CF09CCC6AD4F</v>
      </c>
      <c r="C1020" s="75" t="s">
        <v>3555</v>
      </c>
      <c r="D1020" s="75" t="s">
        <v>3556</v>
      </c>
      <c r="E1020" s="92" t="s">
        <v>2048</v>
      </c>
      <c r="F1020" s="92">
        <v>1</v>
      </c>
      <c r="G1020" s="75">
        <v>1</v>
      </c>
      <c r="H1020" s="75"/>
      <c r="I1020" s="75"/>
      <c r="J1020" s="75"/>
      <c r="K1020" s="75" t="s">
        <v>162</v>
      </c>
      <c r="L1020" s="75" t="s">
        <v>509</v>
      </c>
      <c r="M1020" s="75" t="s">
        <v>535</v>
      </c>
      <c r="N1020" s="75" t="s">
        <v>509</v>
      </c>
      <c r="O1020" s="75" t="s">
        <v>535</v>
      </c>
      <c r="P1020" s="75" t="s">
        <v>1809</v>
      </c>
    </row>
    <row r="1021" spans="1:16">
      <c r="A1021" s="63" t="s">
        <v>4282</v>
      </c>
      <c r="B1021" s="14" t="str">
        <f>VLOOKUP(P1021,'护理记录单文书字典(数据)'!B$4:C$99,2,0)</f>
        <v>143BD9350CFAB2115785CF09CCC6AD4F</v>
      </c>
      <c r="C1021" s="75" t="s">
        <v>3557</v>
      </c>
      <c r="D1021" s="75" t="s">
        <v>3558</v>
      </c>
      <c r="E1021" s="92" t="s">
        <v>2048</v>
      </c>
      <c r="F1021" s="92">
        <v>1</v>
      </c>
      <c r="G1021" s="75">
        <v>1</v>
      </c>
      <c r="H1021" s="75"/>
      <c r="I1021" s="75"/>
      <c r="J1021" s="75"/>
      <c r="K1021" s="75" t="s">
        <v>162</v>
      </c>
      <c r="L1021" s="75" t="s">
        <v>509</v>
      </c>
      <c r="M1021" s="75" t="s">
        <v>535</v>
      </c>
      <c r="N1021" s="75" t="s">
        <v>509</v>
      </c>
      <c r="O1021" s="75" t="s">
        <v>535</v>
      </c>
      <c r="P1021" s="75" t="s">
        <v>1809</v>
      </c>
    </row>
    <row r="1022" spans="1:16">
      <c r="A1022" s="63" t="s">
        <v>4282</v>
      </c>
      <c r="B1022" s="14" t="str">
        <f>VLOOKUP(P1022,'护理记录单文书字典(数据)'!B$4:C$99,2,0)</f>
        <v>143BD9350CFAB2115785CF09CCC6AD4F</v>
      </c>
      <c r="C1022" s="75" t="s">
        <v>3559</v>
      </c>
      <c r="D1022" s="75" t="s">
        <v>3560</v>
      </c>
      <c r="E1022" s="92" t="s">
        <v>2052</v>
      </c>
      <c r="F1022" s="92">
        <v>1</v>
      </c>
      <c r="G1022" s="75">
        <v>1</v>
      </c>
      <c r="H1022" s="75" t="s">
        <v>1460</v>
      </c>
      <c r="I1022" s="75"/>
      <c r="J1022" s="75"/>
      <c r="K1022" s="75" t="s">
        <v>162</v>
      </c>
      <c r="L1022" s="75" t="s">
        <v>509</v>
      </c>
      <c r="M1022" s="75" t="s">
        <v>535</v>
      </c>
      <c r="N1022" s="75" t="s">
        <v>509</v>
      </c>
      <c r="O1022" s="75" t="s">
        <v>535</v>
      </c>
      <c r="P1022" s="75" t="s">
        <v>1809</v>
      </c>
    </row>
    <row r="1023" spans="1:16">
      <c r="A1023" s="63" t="s">
        <v>4282</v>
      </c>
      <c r="B1023" s="14" t="str">
        <f>VLOOKUP(P1023,'护理记录单文书字典(数据)'!B$4:C$99,2,0)</f>
        <v>143BD9350CFAB2115785CF09CCC6AD4F</v>
      </c>
      <c r="C1023" s="75" t="s">
        <v>3561</v>
      </c>
      <c r="D1023" s="75" t="s">
        <v>3562</v>
      </c>
      <c r="E1023" s="92" t="s">
        <v>2048</v>
      </c>
      <c r="F1023" s="92">
        <v>1</v>
      </c>
      <c r="G1023" s="75">
        <v>1</v>
      </c>
      <c r="H1023" s="75"/>
      <c r="I1023" s="75"/>
      <c r="J1023" s="75"/>
      <c r="K1023" s="75" t="s">
        <v>162</v>
      </c>
      <c r="L1023" s="75" t="s">
        <v>509</v>
      </c>
      <c r="M1023" s="75" t="s">
        <v>535</v>
      </c>
      <c r="N1023" s="75" t="s">
        <v>509</v>
      </c>
      <c r="O1023" s="75" t="s">
        <v>535</v>
      </c>
      <c r="P1023" s="75" t="s">
        <v>1809</v>
      </c>
    </row>
    <row r="1024" spans="1:16">
      <c r="A1024" s="63" t="s">
        <v>4282</v>
      </c>
      <c r="B1024" s="14" t="str">
        <f>VLOOKUP(P1024,'护理记录单文书字典(数据)'!B$4:C$99,2,0)</f>
        <v>143BD9350CFAB2115785CF09CCC6AD4F</v>
      </c>
      <c r="C1024" s="75" t="s">
        <v>3563</v>
      </c>
      <c r="D1024" s="75" t="s">
        <v>3564</v>
      </c>
      <c r="E1024" s="92" t="s">
        <v>2052</v>
      </c>
      <c r="F1024" s="92">
        <v>1</v>
      </c>
      <c r="G1024" s="75">
        <v>1</v>
      </c>
      <c r="H1024" s="75" t="s">
        <v>1810</v>
      </c>
      <c r="I1024" s="75"/>
      <c r="J1024" s="75"/>
      <c r="K1024" s="75" t="s">
        <v>162</v>
      </c>
      <c r="L1024" s="75" t="s">
        <v>509</v>
      </c>
      <c r="M1024" s="75" t="s">
        <v>535</v>
      </c>
      <c r="N1024" s="75" t="s">
        <v>509</v>
      </c>
      <c r="O1024" s="75" t="s">
        <v>535</v>
      </c>
      <c r="P1024" s="75" t="s">
        <v>1809</v>
      </c>
    </row>
    <row r="1025" spans="1:16">
      <c r="A1025" s="63" t="s">
        <v>4282</v>
      </c>
      <c r="B1025" s="14" t="str">
        <f>VLOOKUP(P1025,'护理记录单文书字典(数据)'!B$4:C$99,2,0)</f>
        <v>143BD9350CFAB2115785CF09CCC6AD4F</v>
      </c>
      <c r="C1025" s="75" t="s">
        <v>3565</v>
      </c>
      <c r="D1025" s="75" t="s">
        <v>3566</v>
      </c>
      <c r="E1025" s="92" t="s">
        <v>2052</v>
      </c>
      <c r="F1025" s="92">
        <v>1</v>
      </c>
      <c r="G1025" s="75">
        <v>1</v>
      </c>
      <c r="H1025" s="75" t="s">
        <v>1812</v>
      </c>
      <c r="I1025" s="75"/>
      <c r="J1025" s="75"/>
      <c r="K1025" s="75" t="s">
        <v>162</v>
      </c>
      <c r="L1025" s="75" t="s">
        <v>509</v>
      </c>
      <c r="M1025" s="75" t="s">
        <v>535</v>
      </c>
      <c r="N1025" s="75" t="s">
        <v>509</v>
      </c>
      <c r="O1025" s="75" t="s">
        <v>535</v>
      </c>
      <c r="P1025" s="75" t="s">
        <v>1809</v>
      </c>
    </row>
    <row r="1026" spans="1:16">
      <c r="A1026" s="63" t="s">
        <v>4282</v>
      </c>
      <c r="B1026" s="14" t="str">
        <f>VLOOKUP(P1026,'护理记录单文书字典(数据)'!B$4:C$99,2,0)</f>
        <v>143BD9350CFAB2115785CF09CCC6AD4F</v>
      </c>
      <c r="C1026" s="75" t="s">
        <v>3567</v>
      </c>
      <c r="D1026" s="75" t="s">
        <v>3568</v>
      </c>
      <c r="E1026" s="92" t="s">
        <v>2048</v>
      </c>
      <c r="F1026" s="92">
        <v>1</v>
      </c>
      <c r="G1026" s="75">
        <v>1</v>
      </c>
      <c r="H1026" s="75"/>
      <c r="I1026" s="75"/>
      <c r="J1026" s="75"/>
      <c r="K1026" s="75" t="s">
        <v>162</v>
      </c>
      <c r="L1026" s="75" t="s">
        <v>509</v>
      </c>
      <c r="M1026" s="75" t="s">
        <v>535</v>
      </c>
      <c r="N1026" s="75" t="s">
        <v>509</v>
      </c>
      <c r="O1026" s="75" t="s">
        <v>535</v>
      </c>
      <c r="P1026" s="75" t="s">
        <v>1809</v>
      </c>
    </row>
    <row r="1027" spans="1:16">
      <c r="A1027" s="63" t="s">
        <v>4282</v>
      </c>
      <c r="B1027" s="14" t="str">
        <f>VLOOKUP(P1027,'护理记录单文书字典(数据)'!B$4:C$99,2,0)</f>
        <v>143BD9350CFAB2115785CF09CCC6AD4F</v>
      </c>
      <c r="C1027" s="75" t="s">
        <v>3569</v>
      </c>
      <c r="D1027" s="75" t="s">
        <v>3570</v>
      </c>
      <c r="E1027" s="92" t="s">
        <v>2048</v>
      </c>
      <c r="F1027" s="92">
        <v>1</v>
      </c>
      <c r="G1027" s="75">
        <v>1</v>
      </c>
      <c r="H1027" s="75"/>
      <c r="I1027" s="75"/>
      <c r="J1027" s="75"/>
      <c r="K1027" s="75" t="s">
        <v>162</v>
      </c>
      <c r="L1027" s="75" t="s">
        <v>509</v>
      </c>
      <c r="M1027" s="75" t="s">
        <v>535</v>
      </c>
      <c r="N1027" s="75" t="s">
        <v>509</v>
      </c>
      <c r="O1027" s="75" t="s">
        <v>535</v>
      </c>
      <c r="P1027" s="75" t="s">
        <v>1809</v>
      </c>
    </row>
    <row r="1028" spans="1:16">
      <c r="A1028" s="63" t="s">
        <v>4282</v>
      </c>
      <c r="B1028" s="14" t="str">
        <f>VLOOKUP(P1028,'护理记录单文书字典(数据)'!B$4:C$99,2,0)</f>
        <v>143BD9350CFAB2115785CF09CCC6AD4F</v>
      </c>
      <c r="C1028" s="75" t="s">
        <v>3571</v>
      </c>
      <c r="D1028" s="75" t="s">
        <v>3572</v>
      </c>
      <c r="E1028" s="92" t="s">
        <v>2048</v>
      </c>
      <c r="F1028" s="92">
        <v>1</v>
      </c>
      <c r="G1028" s="75">
        <v>1</v>
      </c>
      <c r="H1028" s="75"/>
      <c r="I1028" s="75"/>
      <c r="J1028" s="75"/>
      <c r="K1028" s="75" t="s">
        <v>162</v>
      </c>
      <c r="L1028" s="75" t="s">
        <v>509</v>
      </c>
      <c r="M1028" s="75" t="s">
        <v>535</v>
      </c>
      <c r="N1028" s="75" t="s">
        <v>509</v>
      </c>
      <c r="O1028" s="75" t="s">
        <v>535</v>
      </c>
      <c r="P1028" s="75" t="s">
        <v>1809</v>
      </c>
    </row>
    <row r="1029" spans="1:16">
      <c r="A1029" s="63" t="s">
        <v>4282</v>
      </c>
      <c r="B1029" s="14" t="str">
        <f>VLOOKUP(P1029,'护理记录单文书字典(数据)'!B$4:C$99,2,0)</f>
        <v>143BD9350CFAB2115785CF09CCC6AD4F</v>
      </c>
      <c r="C1029" s="75" t="s">
        <v>3573</v>
      </c>
      <c r="D1029" s="75" t="s">
        <v>3574</v>
      </c>
      <c r="E1029" s="92" t="s">
        <v>2048</v>
      </c>
      <c r="F1029" s="92">
        <v>1</v>
      </c>
      <c r="G1029" s="75">
        <v>1</v>
      </c>
      <c r="H1029" s="75"/>
      <c r="I1029" s="75"/>
      <c r="J1029" s="75"/>
      <c r="K1029" s="75" t="s">
        <v>162</v>
      </c>
      <c r="L1029" s="75" t="s">
        <v>509</v>
      </c>
      <c r="M1029" s="75" t="s">
        <v>535</v>
      </c>
      <c r="N1029" s="75" t="s">
        <v>509</v>
      </c>
      <c r="O1029" s="75" t="s">
        <v>535</v>
      </c>
      <c r="P1029" s="75" t="s">
        <v>1809</v>
      </c>
    </row>
    <row r="1030" spans="1:16">
      <c r="A1030" s="63" t="s">
        <v>4282</v>
      </c>
      <c r="B1030" s="14" t="str">
        <f>VLOOKUP(P1030,'护理记录单文书字典(数据)'!B$4:C$99,2,0)</f>
        <v>143BD9350CFAB2115785CF09CCC6AD4F</v>
      </c>
      <c r="C1030" s="75" t="s">
        <v>3575</v>
      </c>
      <c r="D1030" s="75" t="s">
        <v>3576</v>
      </c>
      <c r="E1030" s="92" t="s">
        <v>2048</v>
      </c>
      <c r="F1030" s="92">
        <v>1</v>
      </c>
      <c r="G1030" s="75">
        <v>1</v>
      </c>
      <c r="H1030" s="75"/>
      <c r="I1030" s="75"/>
      <c r="J1030" s="75"/>
      <c r="K1030" s="75" t="s">
        <v>162</v>
      </c>
      <c r="L1030" s="75" t="s">
        <v>509</v>
      </c>
      <c r="M1030" s="75" t="s">
        <v>535</v>
      </c>
      <c r="N1030" s="75" t="s">
        <v>509</v>
      </c>
      <c r="O1030" s="75" t="s">
        <v>535</v>
      </c>
      <c r="P1030" s="75" t="s">
        <v>1809</v>
      </c>
    </row>
    <row r="1031" spans="1:16">
      <c r="A1031" s="63" t="s">
        <v>4282</v>
      </c>
      <c r="B1031" s="14" t="str">
        <f>VLOOKUP(P1031,'护理记录单文书字典(数据)'!B$4:C$99,2,0)</f>
        <v>143BD9350CFAB2115785CF09CCC6AD4F</v>
      </c>
      <c r="C1031" s="75" t="s">
        <v>3577</v>
      </c>
      <c r="D1031" s="75" t="s">
        <v>3578</v>
      </c>
      <c r="E1031" s="92" t="s">
        <v>2048</v>
      </c>
      <c r="F1031" s="92">
        <v>1</v>
      </c>
      <c r="G1031" s="75">
        <v>1</v>
      </c>
      <c r="H1031" s="75"/>
      <c r="I1031" s="75"/>
      <c r="J1031" s="75"/>
      <c r="K1031" s="75" t="s">
        <v>162</v>
      </c>
      <c r="L1031" s="75" t="s">
        <v>509</v>
      </c>
      <c r="M1031" s="75" t="s">
        <v>535</v>
      </c>
      <c r="N1031" s="75" t="s">
        <v>509</v>
      </c>
      <c r="O1031" s="75" t="s">
        <v>535</v>
      </c>
      <c r="P1031" s="75" t="s">
        <v>1809</v>
      </c>
    </row>
    <row r="1032" spans="1:16">
      <c r="A1032" s="63" t="s">
        <v>4282</v>
      </c>
      <c r="B1032" s="14" t="str">
        <f>VLOOKUP(P1032,'护理记录单文书字典(数据)'!B$4:C$99,2,0)</f>
        <v>143BD9350CFAB2115785CF09CCC6AD4F</v>
      </c>
      <c r="C1032" s="75" t="s">
        <v>3579</v>
      </c>
      <c r="D1032" s="75" t="s">
        <v>3580</v>
      </c>
      <c r="E1032" s="92" t="s">
        <v>2052</v>
      </c>
      <c r="F1032" s="92">
        <v>1</v>
      </c>
      <c r="G1032" s="75">
        <v>1</v>
      </c>
      <c r="H1032" s="75" t="s">
        <v>1820</v>
      </c>
      <c r="I1032" s="75"/>
      <c r="J1032" s="75"/>
      <c r="K1032" s="75" t="s">
        <v>162</v>
      </c>
      <c r="L1032" s="75" t="s">
        <v>509</v>
      </c>
      <c r="M1032" s="75" t="s">
        <v>535</v>
      </c>
      <c r="N1032" s="75" t="s">
        <v>509</v>
      </c>
      <c r="O1032" s="75" t="s">
        <v>535</v>
      </c>
      <c r="P1032" s="75" t="s">
        <v>1809</v>
      </c>
    </row>
    <row r="1033" spans="1:16">
      <c r="A1033" s="63" t="s">
        <v>4282</v>
      </c>
      <c r="B1033" s="14" t="str">
        <f>VLOOKUP(P1033,'护理记录单文书字典(数据)'!B$4:C$99,2,0)</f>
        <v>143BD9350CFAB2115785CF09CCC6AD4F</v>
      </c>
      <c r="C1033" s="75" t="s">
        <v>3581</v>
      </c>
      <c r="D1033" s="75" t="s">
        <v>3582</v>
      </c>
      <c r="E1033" s="92" t="s">
        <v>2052</v>
      </c>
      <c r="F1033" s="92">
        <v>1</v>
      </c>
      <c r="G1033" s="75">
        <v>1</v>
      </c>
      <c r="H1033" s="75" t="s">
        <v>1824</v>
      </c>
      <c r="I1033" s="75"/>
      <c r="J1033" s="75"/>
      <c r="K1033" s="75" t="s">
        <v>162</v>
      </c>
      <c r="L1033" s="75" t="s">
        <v>509</v>
      </c>
      <c r="M1033" s="75" t="s">
        <v>535</v>
      </c>
      <c r="N1033" s="75" t="s">
        <v>509</v>
      </c>
      <c r="O1033" s="75" t="s">
        <v>535</v>
      </c>
      <c r="P1033" s="75" t="s">
        <v>1809</v>
      </c>
    </row>
    <row r="1034" spans="1:16">
      <c r="A1034" s="63" t="s">
        <v>4282</v>
      </c>
      <c r="B1034" s="14" t="str">
        <f>VLOOKUP(P1034,'护理记录单文书字典(数据)'!B$4:C$99,2,0)</f>
        <v>143BD9350CFAB2115785CF09CCC6AD4F</v>
      </c>
      <c r="C1034" s="75" t="s">
        <v>3583</v>
      </c>
      <c r="D1034" s="75" t="s">
        <v>3584</v>
      </c>
      <c r="E1034" s="92" t="s">
        <v>2052</v>
      </c>
      <c r="F1034" s="92">
        <v>1</v>
      </c>
      <c r="G1034" s="75">
        <v>1</v>
      </c>
      <c r="H1034" s="75" t="s">
        <v>1815</v>
      </c>
      <c r="I1034" s="75"/>
      <c r="J1034" s="75"/>
      <c r="K1034" s="75" t="s">
        <v>162</v>
      </c>
      <c r="L1034" s="75" t="s">
        <v>509</v>
      </c>
      <c r="M1034" s="75" t="s">
        <v>535</v>
      </c>
      <c r="N1034" s="75" t="s">
        <v>509</v>
      </c>
      <c r="O1034" s="75" t="s">
        <v>535</v>
      </c>
      <c r="P1034" s="75" t="s">
        <v>1809</v>
      </c>
    </row>
    <row r="1035" spans="1:16">
      <c r="A1035" s="63" t="s">
        <v>4282</v>
      </c>
      <c r="B1035" s="14" t="str">
        <f>VLOOKUP(P1035,'护理记录单文书字典(数据)'!B$4:C$99,2,0)</f>
        <v>143BD9350CFAB2115785CF09CCC6AD4F</v>
      </c>
      <c r="C1035" s="75" t="s">
        <v>3585</v>
      </c>
      <c r="D1035" s="75" t="s">
        <v>3586</v>
      </c>
      <c r="E1035" s="92" t="s">
        <v>2048</v>
      </c>
      <c r="F1035" s="92">
        <v>1</v>
      </c>
      <c r="G1035" s="75">
        <v>1</v>
      </c>
      <c r="H1035" s="75"/>
      <c r="I1035" s="75"/>
      <c r="J1035" s="75"/>
      <c r="K1035" s="75" t="s">
        <v>162</v>
      </c>
      <c r="L1035" s="75" t="s">
        <v>509</v>
      </c>
      <c r="M1035" s="75" t="s">
        <v>535</v>
      </c>
      <c r="N1035" s="75" t="s">
        <v>509</v>
      </c>
      <c r="O1035" s="75" t="s">
        <v>535</v>
      </c>
      <c r="P1035" s="75" t="s">
        <v>1809</v>
      </c>
    </row>
    <row r="1036" spans="1:16">
      <c r="A1036" s="63" t="s">
        <v>4282</v>
      </c>
      <c r="B1036" s="14" t="str">
        <f>VLOOKUP(P1036,'护理记录单文书字典(数据)'!B$4:C$99,2,0)</f>
        <v>143BD9350CFAB2115785CF09CCC6AD4F</v>
      </c>
      <c r="C1036" s="75" t="s">
        <v>3587</v>
      </c>
      <c r="D1036" s="75" t="s">
        <v>3588</v>
      </c>
      <c r="E1036" s="92" t="s">
        <v>2048</v>
      </c>
      <c r="F1036" s="92">
        <v>1</v>
      </c>
      <c r="G1036" s="75">
        <v>1</v>
      </c>
      <c r="H1036" s="75"/>
      <c r="I1036" s="75"/>
      <c r="J1036" s="75"/>
      <c r="K1036" s="75" t="s">
        <v>162</v>
      </c>
      <c r="L1036" s="75" t="s">
        <v>509</v>
      </c>
      <c r="M1036" s="75" t="s">
        <v>535</v>
      </c>
      <c r="N1036" s="75" t="s">
        <v>509</v>
      </c>
      <c r="O1036" s="75" t="s">
        <v>535</v>
      </c>
      <c r="P1036" s="75" t="s">
        <v>1809</v>
      </c>
    </row>
    <row r="1037" spans="1:16">
      <c r="A1037" s="63" t="s">
        <v>4282</v>
      </c>
      <c r="B1037" s="14" t="str">
        <f>VLOOKUP(P1037,'护理记录单文书字典(数据)'!B$4:C$99,2,0)</f>
        <v>143BD9350CFAB2115785CF09CCC6AD4F</v>
      </c>
      <c r="C1037" s="75" t="s">
        <v>3589</v>
      </c>
      <c r="D1037" s="75" t="s">
        <v>3590</v>
      </c>
      <c r="E1037" s="92" t="s">
        <v>2052</v>
      </c>
      <c r="F1037" s="92">
        <v>1</v>
      </c>
      <c r="G1037" s="75">
        <v>1</v>
      </c>
      <c r="H1037" s="75" t="s">
        <v>3485</v>
      </c>
      <c r="I1037" s="75"/>
      <c r="J1037" s="75"/>
      <c r="K1037" s="75" t="s">
        <v>162</v>
      </c>
      <c r="L1037" s="75" t="s">
        <v>509</v>
      </c>
      <c r="M1037" s="75" t="s">
        <v>535</v>
      </c>
      <c r="N1037" s="75" t="s">
        <v>509</v>
      </c>
      <c r="O1037" s="75" t="s">
        <v>535</v>
      </c>
      <c r="P1037" s="75" t="s">
        <v>1809</v>
      </c>
    </row>
    <row r="1038" spans="1:16">
      <c r="A1038" s="63" t="s">
        <v>4282</v>
      </c>
      <c r="B1038" s="14" t="str">
        <f>VLOOKUP(P1038,'护理记录单文书字典(数据)'!B$4:C$99,2,0)</f>
        <v>143BD9350CFAB2115785CF09CCC6AD4F</v>
      </c>
      <c r="C1038" s="75" t="s">
        <v>3591</v>
      </c>
      <c r="D1038" s="75" t="s">
        <v>3592</v>
      </c>
      <c r="E1038" s="92" t="s">
        <v>2052</v>
      </c>
      <c r="F1038" s="92">
        <v>1</v>
      </c>
      <c r="G1038" s="75">
        <v>1</v>
      </c>
      <c r="H1038" s="75" t="s">
        <v>3485</v>
      </c>
      <c r="I1038" s="75"/>
      <c r="J1038" s="75"/>
      <c r="K1038" s="75" t="s">
        <v>162</v>
      </c>
      <c r="L1038" s="75" t="s">
        <v>509</v>
      </c>
      <c r="M1038" s="75" t="s">
        <v>535</v>
      </c>
      <c r="N1038" s="75" t="s">
        <v>509</v>
      </c>
      <c r="O1038" s="75" t="s">
        <v>535</v>
      </c>
      <c r="P1038" s="75" t="s">
        <v>1809</v>
      </c>
    </row>
    <row r="1039" spans="1:16">
      <c r="A1039" s="63" t="s">
        <v>4282</v>
      </c>
      <c r="B1039" s="14" t="str">
        <f>VLOOKUP(P1039,'护理记录单文书字典(数据)'!B$4:C$99,2,0)</f>
        <v>143BD9350CFAB2115785CF09CCC6AD4F</v>
      </c>
      <c r="C1039" s="75" t="s">
        <v>3593</v>
      </c>
      <c r="D1039" s="75" t="s">
        <v>3594</v>
      </c>
      <c r="E1039" s="92" t="s">
        <v>2048</v>
      </c>
      <c r="F1039" s="92">
        <v>1</v>
      </c>
      <c r="G1039" s="75">
        <v>1</v>
      </c>
      <c r="H1039" s="75"/>
      <c r="I1039" s="75"/>
      <c r="J1039" s="75"/>
      <c r="K1039" s="75" t="s">
        <v>162</v>
      </c>
      <c r="L1039" s="75" t="s">
        <v>509</v>
      </c>
      <c r="M1039" s="75" t="s">
        <v>535</v>
      </c>
      <c r="N1039" s="75" t="s">
        <v>509</v>
      </c>
      <c r="O1039" s="75" t="s">
        <v>535</v>
      </c>
      <c r="P1039" s="75" t="s">
        <v>1809</v>
      </c>
    </row>
    <row r="1040" spans="1:16">
      <c r="A1040" s="63" t="s">
        <v>4282</v>
      </c>
      <c r="B1040" s="14" t="str">
        <f>VLOOKUP(P1040,'护理记录单文书字典(数据)'!B$4:C$99,2,0)</f>
        <v>143BD9350CFAB2115785CF09CCC6AD4F</v>
      </c>
      <c r="C1040" s="75" t="s">
        <v>2105</v>
      </c>
      <c r="D1040" s="75" t="s">
        <v>2103</v>
      </c>
      <c r="E1040" s="92" t="s">
        <v>2104</v>
      </c>
      <c r="F1040" s="92">
        <v>1</v>
      </c>
      <c r="G1040" s="75">
        <v>1</v>
      </c>
      <c r="H1040" s="75"/>
      <c r="I1040" s="75"/>
      <c r="J1040" s="75"/>
      <c r="K1040" s="75" t="s">
        <v>162</v>
      </c>
      <c r="L1040" s="75" t="s">
        <v>509</v>
      </c>
      <c r="M1040" s="75" t="s">
        <v>535</v>
      </c>
      <c r="N1040" s="75" t="s">
        <v>509</v>
      </c>
      <c r="O1040" s="75" t="s">
        <v>535</v>
      </c>
      <c r="P1040" s="75" t="s">
        <v>1809</v>
      </c>
    </row>
    <row r="1041" spans="1:16">
      <c r="A1041" s="198" t="s">
        <v>4282</v>
      </c>
      <c r="B1041" s="14" t="str">
        <f>VLOOKUP(P1041,'护理记录单文书字典(数据)'!B$4:C$99,2,0)</f>
        <v>4577E0350CFAB211B5A6FFC39BFAC821</v>
      </c>
      <c r="C1041" s="200" t="s">
        <v>2046</v>
      </c>
      <c r="D1041" s="200" t="s">
        <v>2047</v>
      </c>
      <c r="E1041" s="202" t="s">
        <v>2048</v>
      </c>
      <c r="F1041" s="202">
        <v>1</v>
      </c>
      <c r="G1041" s="200">
        <v>1</v>
      </c>
      <c r="H1041" s="200"/>
      <c r="I1041" s="200"/>
      <c r="J1041" s="200"/>
      <c r="K1041" s="200" t="s">
        <v>162</v>
      </c>
      <c r="L1041" s="200" t="s">
        <v>509</v>
      </c>
      <c r="M1041" s="200" t="s">
        <v>535</v>
      </c>
      <c r="N1041" s="200" t="s">
        <v>509</v>
      </c>
      <c r="O1041" s="200" t="s">
        <v>535</v>
      </c>
      <c r="P1041" s="200" t="s">
        <v>1826</v>
      </c>
    </row>
    <row r="1042" spans="1:16">
      <c r="A1042" s="63" t="s">
        <v>4282</v>
      </c>
      <c r="B1042" s="14" t="str">
        <f>VLOOKUP(P1042,'护理记录单文书字典(数据)'!B$4:C$99,2,0)</f>
        <v>4577E0350CFAB211B5A6FFC39BFAC821</v>
      </c>
      <c r="C1042" s="75" t="s">
        <v>3595</v>
      </c>
      <c r="D1042" s="75" t="s">
        <v>3596</v>
      </c>
      <c r="E1042" s="92" t="s">
        <v>2048</v>
      </c>
      <c r="F1042" s="92">
        <v>1</v>
      </c>
      <c r="G1042" s="75">
        <v>1</v>
      </c>
      <c r="H1042" s="75"/>
      <c r="I1042" s="75"/>
      <c r="J1042" s="75"/>
      <c r="K1042" s="75" t="s">
        <v>162</v>
      </c>
      <c r="L1042" s="75" t="s">
        <v>509</v>
      </c>
      <c r="M1042" s="75" t="s">
        <v>535</v>
      </c>
      <c r="N1042" s="75" t="s">
        <v>509</v>
      </c>
      <c r="O1042" s="75" t="s">
        <v>535</v>
      </c>
      <c r="P1042" s="75" t="s">
        <v>1826</v>
      </c>
    </row>
    <row r="1043" spans="1:16">
      <c r="A1043" s="63" t="s">
        <v>4282</v>
      </c>
      <c r="B1043" s="14" t="str">
        <f>VLOOKUP(P1043,'护理记录单文书字典(数据)'!B$4:C$99,2,0)</f>
        <v>4577E0350CFAB211B5A6FFC39BFAC821</v>
      </c>
      <c r="C1043" s="75" t="s">
        <v>3597</v>
      </c>
      <c r="D1043" s="75" t="s">
        <v>3598</v>
      </c>
      <c r="E1043" s="92" t="s">
        <v>2048</v>
      </c>
      <c r="F1043" s="92">
        <v>1</v>
      </c>
      <c r="G1043" s="75">
        <v>1</v>
      </c>
      <c r="H1043" s="75"/>
      <c r="I1043" s="75"/>
      <c r="J1043" s="75"/>
      <c r="K1043" s="75" t="s">
        <v>162</v>
      </c>
      <c r="L1043" s="75" t="s">
        <v>509</v>
      </c>
      <c r="M1043" s="75" t="s">
        <v>535</v>
      </c>
      <c r="N1043" s="75" t="s">
        <v>509</v>
      </c>
      <c r="O1043" s="75" t="s">
        <v>535</v>
      </c>
      <c r="P1043" s="75" t="s">
        <v>1826</v>
      </c>
    </row>
    <row r="1044" spans="1:16">
      <c r="A1044" s="63" t="s">
        <v>4282</v>
      </c>
      <c r="B1044" s="14" t="str">
        <f>VLOOKUP(P1044,'护理记录单文书字典(数据)'!B$4:C$99,2,0)</f>
        <v>4577E0350CFAB211B5A6FFC39BFAC821</v>
      </c>
      <c r="C1044" s="75" t="s">
        <v>3599</v>
      </c>
      <c r="D1044" s="161" t="s">
        <v>3600</v>
      </c>
      <c r="E1044" s="92" t="s">
        <v>2048</v>
      </c>
      <c r="F1044" s="92">
        <v>1</v>
      </c>
      <c r="G1044" s="75">
        <v>1</v>
      </c>
      <c r="H1044" s="75"/>
      <c r="I1044" s="75"/>
      <c r="J1044" s="75"/>
      <c r="K1044" s="75" t="s">
        <v>162</v>
      </c>
      <c r="L1044" s="75" t="s">
        <v>509</v>
      </c>
      <c r="M1044" s="75" t="s">
        <v>535</v>
      </c>
      <c r="N1044" s="75" t="s">
        <v>509</v>
      </c>
      <c r="O1044" s="75" t="s">
        <v>535</v>
      </c>
      <c r="P1044" s="75" t="s">
        <v>1826</v>
      </c>
    </row>
    <row r="1045" spans="1:16">
      <c r="A1045" s="63" t="s">
        <v>4282</v>
      </c>
      <c r="B1045" s="14" t="str">
        <f>VLOOKUP(P1045,'护理记录单文书字典(数据)'!B$4:C$99,2,0)</f>
        <v>4577E0350CFAB211B5A6FFC39BFAC821</v>
      </c>
      <c r="C1045" s="75" t="s">
        <v>3601</v>
      </c>
      <c r="D1045" s="161" t="s">
        <v>3602</v>
      </c>
      <c r="E1045" s="92" t="s">
        <v>2048</v>
      </c>
      <c r="F1045" s="92">
        <v>1</v>
      </c>
      <c r="G1045" s="75">
        <v>1</v>
      </c>
      <c r="H1045" s="75"/>
      <c r="I1045" s="75"/>
      <c r="J1045" s="75"/>
      <c r="K1045" s="75" t="s">
        <v>162</v>
      </c>
      <c r="L1045" s="75" t="s">
        <v>509</v>
      </c>
      <c r="M1045" s="75" t="s">
        <v>535</v>
      </c>
      <c r="N1045" s="75" t="s">
        <v>509</v>
      </c>
      <c r="O1045" s="75" t="s">
        <v>535</v>
      </c>
      <c r="P1045" s="75" t="s">
        <v>1826</v>
      </c>
    </row>
    <row r="1046" spans="1:16">
      <c r="A1046" s="63" t="s">
        <v>4282</v>
      </c>
      <c r="B1046" s="14" t="str">
        <f>VLOOKUP(P1046,'护理记录单文书字典(数据)'!B$4:C$99,2,0)</f>
        <v>4577E0350CFAB211B5A6FFC39BFAC821</v>
      </c>
      <c r="C1046" s="75" t="s">
        <v>3603</v>
      </c>
      <c r="D1046" s="161" t="s">
        <v>3604</v>
      </c>
      <c r="E1046" s="92" t="s">
        <v>2048</v>
      </c>
      <c r="F1046" s="92">
        <v>1</v>
      </c>
      <c r="G1046" s="75">
        <v>1</v>
      </c>
      <c r="H1046" s="75"/>
      <c r="I1046" s="75"/>
      <c r="J1046" s="75"/>
      <c r="K1046" s="75" t="s">
        <v>162</v>
      </c>
      <c r="L1046" s="75" t="s">
        <v>509</v>
      </c>
      <c r="M1046" s="75" t="s">
        <v>535</v>
      </c>
      <c r="N1046" s="75" t="s">
        <v>509</v>
      </c>
      <c r="O1046" s="75" t="s">
        <v>535</v>
      </c>
      <c r="P1046" s="75" t="s">
        <v>1826</v>
      </c>
    </row>
    <row r="1047" spans="1:16">
      <c r="A1047" s="63" t="s">
        <v>4282</v>
      </c>
      <c r="B1047" s="14" t="str">
        <f>VLOOKUP(P1047,'护理记录单文书字典(数据)'!B$4:C$99,2,0)</f>
        <v>4577E0350CFAB211B5A6FFC39BFAC821</v>
      </c>
      <c r="C1047" s="75" t="s">
        <v>3605</v>
      </c>
      <c r="D1047" s="161" t="s">
        <v>3606</v>
      </c>
      <c r="E1047" s="92" t="s">
        <v>2052</v>
      </c>
      <c r="F1047" s="92">
        <v>1</v>
      </c>
      <c r="G1047" s="75">
        <v>1</v>
      </c>
      <c r="H1047" s="75" t="s">
        <v>1460</v>
      </c>
      <c r="I1047" s="75"/>
      <c r="J1047" s="75"/>
      <c r="K1047" s="75" t="s">
        <v>162</v>
      </c>
      <c r="L1047" s="75" t="s">
        <v>509</v>
      </c>
      <c r="M1047" s="75" t="s">
        <v>535</v>
      </c>
      <c r="N1047" s="75" t="s">
        <v>509</v>
      </c>
      <c r="O1047" s="75" t="s">
        <v>535</v>
      </c>
      <c r="P1047" s="75" t="s">
        <v>1826</v>
      </c>
    </row>
    <row r="1048" spans="1:16">
      <c r="A1048" s="63" t="s">
        <v>4282</v>
      </c>
      <c r="B1048" s="14" t="str">
        <f>VLOOKUP(P1048,'护理记录单文书字典(数据)'!B$4:C$99,2,0)</f>
        <v>4577E0350CFAB211B5A6FFC39BFAC821</v>
      </c>
      <c r="C1048" s="75" t="s">
        <v>3607</v>
      </c>
      <c r="D1048" s="75" t="s">
        <v>3608</v>
      </c>
      <c r="E1048" s="92" t="s">
        <v>2048</v>
      </c>
      <c r="F1048" s="92">
        <v>1</v>
      </c>
      <c r="G1048" s="75">
        <v>1</v>
      </c>
      <c r="H1048" s="75"/>
      <c r="I1048" s="75"/>
      <c r="J1048" s="75"/>
      <c r="K1048" s="75" t="s">
        <v>162</v>
      </c>
      <c r="L1048" s="75" t="s">
        <v>509</v>
      </c>
      <c r="M1048" s="75" t="s">
        <v>535</v>
      </c>
      <c r="N1048" s="75" t="s">
        <v>509</v>
      </c>
      <c r="O1048" s="75" t="s">
        <v>535</v>
      </c>
      <c r="P1048" s="75" t="s">
        <v>1826</v>
      </c>
    </row>
    <row r="1049" spans="1:16">
      <c r="A1049" s="63" t="s">
        <v>4282</v>
      </c>
      <c r="B1049" s="14" t="str">
        <f>VLOOKUP(P1049,'护理记录单文书字典(数据)'!B$4:C$99,2,0)</f>
        <v>4577E0350CFAB211B5A6FFC39BFAC821</v>
      </c>
      <c r="C1049" s="75" t="s">
        <v>3609</v>
      </c>
      <c r="D1049" s="75" t="s">
        <v>3610</v>
      </c>
      <c r="E1049" s="92" t="s">
        <v>2052</v>
      </c>
      <c r="F1049" s="92">
        <v>1</v>
      </c>
      <c r="G1049" s="75">
        <v>1</v>
      </c>
      <c r="H1049" s="75" t="s">
        <v>3488</v>
      </c>
      <c r="I1049" s="75"/>
      <c r="J1049" s="75"/>
      <c r="K1049" s="75" t="s">
        <v>162</v>
      </c>
      <c r="L1049" s="75" t="s">
        <v>509</v>
      </c>
      <c r="M1049" s="75" t="s">
        <v>535</v>
      </c>
      <c r="N1049" s="75" t="s">
        <v>509</v>
      </c>
      <c r="O1049" s="75" t="s">
        <v>535</v>
      </c>
      <c r="P1049" s="75" t="s">
        <v>1826</v>
      </c>
    </row>
    <row r="1050" spans="1:16">
      <c r="A1050" s="63" t="s">
        <v>4282</v>
      </c>
      <c r="B1050" s="14" t="str">
        <f>VLOOKUP(P1050,'护理记录单文书字典(数据)'!B$4:C$99,2,0)</f>
        <v>4577E0350CFAB211B5A6FFC39BFAC821</v>
      </c>
      <c r="C1050" s="75" t="s">
        <v>3611</v>
      </c>
      <c r="D1050" s="75" t="s">
        <v>3612</v>
      </c>
      <c r="E1050" s="92" t="s">
        <v>2052</v>
      </c>
      <c r="F1050" s="92">
        <v>1</v>
      </c>
      <c r="G1050" s="75">
        <v>1</v>
      </c>
      <c r="H1050" s="75" t="s">
        <v>3488</v>
      </c>
      <c r="I1050" s="75"/>
      <c r="J1050" s="75"/>
      <c r="K1050" s="75" t="s">
        <v>162</v>
      </c>
      <c r="L1050" s="75" t="s">
        <v>509</v>
      </c>
      <c r="M1050" s="75" t="s">
        <v>535</v>
      </c>
      <c r="N1050" s="75" t="s">
        <v>509</v>
      </c>
      <c r="O1050" s="75" t="s">
        <v>535</v>
      </c>
      <c r="P1050" s="75" t="s">
        <v>1826</v>
      </c>
    </row>
    <row r="1051" spans="1:16">
      <c r="A1051" s="63" t="s">
        <v>4282</v>
      </c>
      <c r="B1051" s="14" t="str">
        <f>VLOOKUP(P1051,'护理记录单文书字典(数据)'!B$4:C$99,2,0)</f>
        <v>4577E0350CFAB211B5A6FFC39BFAC821</v>
      </c>
      <c r="C1051" s="75" t="s">
        <v>3613</v>
      </c>
      <c r="D1051" s="75" t="s">
        <v>3614</v>
      </c>
      <c r="E1051" s="92" t="s">
        <v>2052</v>
      </c>
      <c r="F1051" s="92">
        <v>1</v>
      </c>
      <c r="G1051" s="75">
        <v>1</v>
      </c>
      <c r="H1051" s="75" t="s">
        <v>3488</v>
      </c>
      <c r="I1051" s="75"/>
      <c r="J1051" s="75"/>
      <c r="K1051" s="75" t="s">
        <v>162</v>
      </c>
      <c r="L1051" s="75" t="s">
        <v>509</v>
      </c>
      <c r="M1051" s="75" t="s">
        <v>535</v>
      </c>
      <c r="N1051" s="75" t="s">
        <v>509</v>
      </c>
      <c r="O1051" s="75" t="s">
        <v>535</v>
      </c>
      <c r="P1051" s="75" t="s">
        <v>1826</v>
      </c>
    </row>
    <row r="1052" spans="1:16">
      <c r="A1052" s="63" t="s">
        <v>4282</v>
      </c>
      <c r="B1052" s="14" t="str">
        <f>VLOOKUP(P1052,'护理记录单文书字典(数据)'!B$4:C$99,2,0)</f>
        <v>4577E0350CFAB211B5A6FFC39BFAC821</v>
      </c>
      <c r="C1052" s="75" t="s">
        <v>3615</v>
      </c>
      <c r="D1052" s="75" t="s">
        <v>3616</v>
      </c>
      <c r="E1052" s="92" t="s">
        <v>2048</v>
      </c>
      <c r="F1052" s="92">
        <v>1</v>
      </c>
      <c r="G1052" s="75">
        <v>1</v>
      </c>
      <c r="H1052" s="75"/>
      <c r="I1052" s="75"/>
      <c r="J1052" s="75"/>
      <c r="K1052" s="75" t="s">
        <v>162</v>
      </c>
      <c r="L1052" s="75" t="s">
        <v>509</v>
      </c>
      <c r="M1052" s="75" t="s">
        <v>535</v>
      </c>
      <c r="N1052" s="75" t="s">
        <v>509</v>
      </c>
      <c r="O1052" s="75" t="s">
        <v>535</v>
      </c>
      <c r="P1052" s="75" t="s">
        <v>1826</v>
      </c>
    </row>
    <row r="1053" spans="1:16">
      <c r="A1053" s="63" t="s">
        <v>4282</v>
      </c>
      <c r="B1053" s="14" t="str">
        <f>VLOOKUP(P1053,'护理记录单文书字典(数据)'!B$4:C$99,2,0)</f>
        <v>4577E0350CFAB211B5A6FFC39BFAC821</v>
      </c>
      <c r="C1053" s="75" t="s">
        <v>3617</v>
      </c>
      <c r="D1053" s="75" t="s">
        <v>3618</v>
      </c>
      <c r="E1053" s="92" t="s">
        <v>2048</v>
      </c>
      <c r="F1053" s="92">
        <v>1</v>
      </c>
      <c r="G1053" s="75">
        <v>1</v>
      </c>
      <c r="H1053" s="75"/>
      <c r="I1053" s="75"/>
      <c r="J1053" s="75"/>
      <c r="K1053" s="75" t="s">
        <v>162</v>
      </c>
      <c r="L1053" s="75" t="s">
        <v>509</v>
      </c>
      <c r="M1053" s="75" t="s">
        <v>535</v>
      </c>
      <c r="N1053" s="75" t="s">
        <v>509</v>
      </c>
      <c r="O1053" s="75" t="s">
        <v>535</v>
      </c>
      <c r="P1053" s="75" t="s">
        <v>1826</v>
      </c>
    </row>
    <row r="1054" spans="1:16">
      <c r="A1054" s="63" t="s">
        <v>4282</v>
      </c>
      <c r="B1054" s="14" t="str">
        <f>VLOOKUP(P1054,'护理记录单文书字典(数据)'!B$4:C$99,2,0)</f>
        <v>4577E0350CFAB211B5A6FFC39BFAC821</v>
      </c>
      <c r="C1054" s="75" t="s">
        <v>3619</v>
      </c>
      <c r="D1054" s="75" t="s">
        <v>3620</v>
      </c>
      <c r="E1054" s="92" t="s">
        <v>2048</v>
      </c>
      <c r="F1054" s="92">
        <v>1</v>
      </c>
      <c r="G1054" s="75">
        <v>1</v>
      </c>
      <c r="H1054" s="75"/>
      <c r="I1054" s="75"/>
      <c r="J1054" s="75"/>
      <c r="K1054" s="75" t="s">
        <v>162</v>
      </c>
      <c r="L1054" s="75" t="s">
        <v>509</v>
      </c>
      <c r="M1054" s="75" t="s">
        <v>535</v>
      </c>
      <c r="N1054" s="75" t="s">
        <v>509</v>
      </c>
      <c r="O1054" s="75" t="s">
        <v>535</v>
      </c>
      <c r="P1054" s="75" t="s">
        <v>1826</v>
      </c>
    </row>
    <row r="1055" spans="1:16">
      <c r="A1055" s="63" t="s">
        <v>4282</v>
      </c>
      <c r="B1055" s="14" t="str">
        <f>VLOOKUP(P1055,'护理记录单文书字典(数据)'!B$4:C$99,2,0)</f>
        <v>4577E0350CFAB211B5A6FFC39BFAC821</v>
      </c>
      <c r="C1055" s="75" t="s">
        <v>3621</v>
      </c>
      <c r="D1055" s="75" t="s">
        <v>3622</v>
      </c>
      <c r="E1055" s="92" t="s">
        <v>2048</v>
      </c>
      <c r="F1055" s="92">
        <v>1</v>
      </c>
      <c r="G1055" s="75">
        <v>1</v>
      </c>
      <c r="H1055" s="75"/>
      <c r="I1055" s="75"/>
      <c r="J1055" s="75"/>
      <c r="K1055" s="75" t="s">
        <v>162</v>
      </c>
      <c r="L1055" s="75" t="s">
        <v>509</v>
      </c>
      <c r="M1055" s="75" t="s">
        <v>535</v>
      </c>
      <c r="N1055" s="75" t="s">
        <v>509</v>
      </c>
      <c r="O1055" s="75" t="s">
        <v>535</v>
      </c>
      <c r="P1055" s="75" t="s">
        <v>1826</v>
      </c>
    </row>
    <row r="1056" spans="1:16">
      <c r="A1056" s="63" t="s">
        <v>4282</v>
      </c>
      <c r="B1056" s="14" t="str">
        <f>VLOOKUP(P1056,'护理记录单文书字典(数据)'!B$4:C$99,2,0)</f>
        <v>4577E0350CFAB211B5A6FFC39BFAC821</v>
      </c>
      <c r="C1056" s="75" t="s">
        <v>3623</v>
      </c>
      <c r="D1056" s="75" t="s">
        <v>3624</v>
      </c>
      <c r="E1056" s="92" t="s">
        <v>2048</v>
      </c>
      <c r="F1056" s="92">
        <v>1</v>
      </c>
      <c r="G1056" s="75">
        <v>1</v>
      </c>
      <c r="H1056" s="75"/>
      <c r="I1056" s="75"/>
      <c r="J1056" s="75"/>
      <c r="K1056" s="75" t="s">
        <v>162</v>
      </c>
      <c r="L1056" s="75" t="s">
        <v>509</v>
      </c>
      <c r="M1056" s="75" t="s">
        <v>535</v>
      </c>
      <c r="N1056" s="75" t="s">
        <v>509</v>
      </c>
      <c r="O1056" s="75" t="s">
        <v>535</v>
      </c>
      <c r="P1056" s="75" t="s">
        <v>1826</v>
      </c>
    </row>
    <row r="1057" spans="1:16">
      <c r="A1057" s="63" t="s">
        <v>4282</v>
      </c>
      <c r="B1057" s="14" t="str">
        <f>VLOOKUP(P1057,'护理记录单文书字典(数据)'!B$4:C$99,2,0)</f>
        <v>4577E0350CFAB211B5A6FFC39BFAC821</v>
      </c>
      <c r="C1057" s="75" t="s">
        <v>3625</v>
      </c>
      <c r="D1057" s="75" t="s">
        <v>3626</v>
      </c>
      <c r="E1057" s="92" t="s">
        <v>2048</v>
      </c>
      <c r="F1057" s="92">
        <v>1</v>
      </c>
      <c r="G1057" s="75">
        <v>1</v>
      </c>
      <c r="H1057" s="75"/>
      <c r="I1057" s="75"/>
      <c r="J1057" s="75"/>
      <c r="K1057" s="75" t="s">
        <v>162</v>
      </c>
      <c r="L1057" s="75" t="s">
        <v>509</v>
      </c>
      <c r="M1057" s="75" t="s">
        <v>535</v>
      </c>
      <c r="N1057" s="75" t="s">
        <v>509</v>
      </c>
      <c r="O1057" s="75" t="s">
        <v>535</v>
      </c>
      <c r="P1057" s="75" t="s">
        <v>1826</v>
      </c>
    </row>
    <row r="1058" spans="1:16">
      <c r="A1058" s="63" t="s">
        <v>4282</v>
      </c>
      <c r="B1058" s="14" t="str">
        <f>VLOOKUP(P1058,'护理记录单文书字典(数据)'!B$4:C$99,2,0)</f>
        <v>4577E0350CFAB211B5A6FFC39BFAC821</v>
      </c>
      <c r="C1058" s="75" t="s">
        <v>3627</v>
      </c>
      <c r="D1058" s="75" t="s">
        <v>3628</v>
      </c>
      <c r="E1058" s="92" t="s">
        <v>2052</v>
      </c>
      <c r="F1058" s="92">
        <v>1</v>
      </c>
      <c r="G1058" s="75">
        <v>1</v>
      </c>
      <c r="H1058" s="75" t="s">
        <v>1827</v>
      </c>
      <c r="I1058" s="75"/>
      <c r="J1058" s="75"/>
      <c r="K1058" s="75" t="s">
        <v>162</v>
      </c>
      <c r="L1058" s="75" t="s">
        <v>509</v>
      </c>
      <c r="M1058" s="75" t="s">
        <v>535</v>
      </c>
      <c r="N1058" s="75" t="s">
        <v>509</v>
      </c>
      <c r="O1058" s="75" t="s">
        <v>535</v>
      </c>
      <c r="P1058" s="75" t="s">
        <v>1826</v>
      </c>
    </row>
    <row r="1059" spans="1:16">
      <c r="A1059" s="63" t="s">
        <v>4282</v>
      </c>
      <c r="B1059" s="14" t="str">
        <f>VLOOKUP(P1059,'护理记录单文书字典(数据)'!B$4:C$99,2,0)</f>
        <v>4577E0350CFAB211B5A6FFC39BFAC821</v>
      </c>
      <c r="C1059" s="75" t="s">
        <v>3629</v>
      </c>
      <c r="D1059" s="75" t="s">
        <v>3630</v>
      </c>
      <c r="E1059" s="92" t="s">
        <v>2052</v>
      </c>
      <c r="F1059" s="92">
        <v>1</v>
      </c>
      <c r="G1059" s="75">
        <v>1</v>
      </c>
      <c r="H1059" s="75" t="s">
        <v>1829</v>
      </c>
      <c r="I1059" s="75"/>
      <c r="J1059" s="75"/>
      <c r="K1059" s="75" t="s">
        <v>162</v>
      </c>
      <c r="L1059" s="75" t="s">
        <v>509</v>
      </c>
      <c r="M1059" s="75" t="s">
        <v>535</v>
      </c>
      <c r="N1059" s="75" t="s">
        <v>509</v>
      </c>
      <c r="O1059" s="75" t="s">
        <v>535</v>
      </c>
      <c r="P1059" s="75" t="s">
        <v>1826</v>
      </c>
    </row>
    <row r="1060" spans="1:16">
      <c r="A1060" s="63" t="s">
        <v>4282</v>
      </c>
      <c r="B1060" s="14" t="str">
        <f>VLOOKUP(P1060,'护理记录单文书字典(数据)'!B$4:C$99,2,0)</f>
        <v>4577E0350CFAB211B5A6FFC39BFAC821</v>
      </c>
      <c r="C1060" s="75" t="s">
        <v>3631</v>
      </c>
      <c r="D1060" s="75" t="s">
        <v>3632</v>
      </c>
      <c r="E1060" s="92" t="s">
        <v>2052</v>
      </c>
      <c r="F1060" s="92">
        <v>1</v>
      </c>
      <c r="G1060" s="75">
        <v>1</v>
      </c>
      <c r="H1060" s="75" t="s">
        <v>1831</v>
      </c>
      <c r="I1060" s="75"/>
      <c r="J1060" s="75"/>
      <c r="K1060" s="75" t="s">
        <v>162</v>
      </c>
      <c r="L1060" s="75" t="s">
        <v>509</v>
      </c>
      <c r="M1060" s="75" t="s">
        <v>535</v>
      </c>
      <c r="N1060" s="75" t="s">
        <v>509</v>
      </c>
      <c r="O1060" s="75" t="s">
        <v>535</v>
      </c>
      <c r="P1060" s="75" t="s">
        <v>1826</v>
      </c>
    </row>
    <row r="1061" spans="1:16">
      <c r="A1061" s="63" t="s">
        <v>4282</v>
      </c>
      <c r="B1061" s="14" t="str">
        <f>VLOOKUP(P1061,'护理记录单文书字典(数据)'!B$4:C$99,2,0)</f>
        <v>4577E0350CFAB211B5A6FFC39BFAC821</v>
      </c>
      <c r="C1061" s="75" t="s">
        <v>3633</v>
      </c>
      <c r="D1061" s="75" t="s">
        <v>1835</v>
      </c>
      <c r="E1061" s="92" t="s">
        <v>2052</v>
      </c>
      <c r="F1061" s="92">
        <v>1</v>
      </c>
      <c r="G1061" s="75">
        <v>1</v>
      </c>
      <c r="H1061" s="75" t="s">
        <v>1834</v>
      </c>
      <c r="I1061" s="75"/>
      <c r="J1061" s="75"/>
      <c r="K1061" s="75" t="s">
        <v>162</v>
      </c>
      <c r="L1061" s="75" t="s">
        <v>509</v>
      </c>
      <c r="M1061" s="75" t="s">
        <v>535</v>
      </c>
      <c r="N1061" s="75" t="s">
        <v>509</v>
      </c>
      <c r="O1061" s="75" t="s">
        <v>535</v>
      </c>
      <c r="P1061" s="75" t="s">
        <v>1826</v>
      </c>
    </row>
    <row r="1062" spans="1:16">
      <c r="A1062" s="63" t="s">
        <v>4282</v>
      </c>
      <c r="B1062" s="14" t="str">
        <f>VLOOKUP(P1062,'护理记录单文书字典(数据)'!B$4:C$99,2,0)</f>
        <v>4577E0350CFAB211B5A6FFC39BFAC821</v>
      </c>
      <c r="C1062" s="75" t="s">
        <v>3634</v>
      </c>
      <c r="D1062" s="75" t="s">
        <v>3635</v>
      </c>
      <c r="E1062" s="92" t="s">
        <v>2048</v>
      </c>
      <c r="F1062" s="92">
        <v>1</v>
      </c>
      <c r="G1062" s="75">
        <v>1</v>
      </c>
      <c r="H1062" s="75"/>
      <c r="I1062" s="75"/>
      <c r="J1062" s="75"/>
      <c r="K1062" s="75" t="s">
        <v>162</v>
      </c>
      <c r="L1062" s="75" t="s">
        <v>509</v>
      </c>
      <c r="M1062" s="75" t="s">
        <v>535</v>
      </c>
      <c r="N1062" s="75" t="s">
        <v>509</v>
      </c>
      <c r="O1062" s="75" t="s">
        <v>535</v>
      </c>
      <c r="P1062" s="75" t="s">
        <v>1826</v>
      </c>
    </row>
    <row r="1063" spans="1:16">
      <c r="A1063" s="63" t="s">
        <v>4282</v>
      </c>
      <c r="B1063" s="14" t="str">
        <f>VLOOKUP(P1063,'护理记录单文书字典(数据)'!B$4:C$99,2,0)</f>
        <v>4577E0350CFAB211B5A6FFC39BFAC821</v>
      </c>
      <c r="C1063" s="75" t="s">
        <v>3636</v>
      </c>
      <c r="D1063" s="75" t="s">
        <v>3637</v>
      </c>
      <c r="E1063" s="92" t="s">
        <v>2048</v>
      </c>
      <c r="F1063" s="92">
        <v>1</v>
      </c>
      <c r="G1063" s="75">
        <v>1</v>
      </c>
      <c r="H1063" s="75"/>
      <c r="I1063" s="75"/>
      <c r="J1063" s="75"/>
      <c r="K1063" s="75" t="s">
        <v>162</v>
      </c>
      <c r="L1063" s="75" t="s">
        <v>509</v>
      </c>
      <c r="M1063" s="75" t="s">
        <v>535</v>
      </c>
      <c r="N1063" s="75" t="s">
        <v>509</v>
      </c>
      <c r="O1063" s="75" t="s">
        <v>535</v>
      </c>
      <c r="P1063" s="75" t="s">
        <v>1826</v>
      </c>
    </row>
    <row r="1064" spans="1:16">
      <c r="A1064" s="63" t="s">
        <v>4282</v>
      </c>
      <c r="B1064" s="14" t="str">
        <f>VLOOKUP(P1064,'护理记录单文书字典(数据)'!B$4:C$99,2,0)</f>
        <v>4577E0350CFAB211B5A6FFC39BFAC821</v>
      </c>
      <c r="C1064" s="75" t="s">
        <v>3638</v>
      </c>
      <c r="D1064" s="75" t="s">
        <v>3639</v>
      </c>
      <c r="E1064" s="92" t="s">
        <v>2048</v>
      </c>
      <c r="F1064" s="92">
        <v>1</v>
      </c>
      <c r="G1064" s="75">
        <v>1</v>
      </c>
      <c r="H1064" s="75"/>
      <c r="I1064" s="75"/>
      <c r="J1064" s="75"/>
      <c r="K1064" s="75" t="s">
        <v>162</v>
      </c>
      <c r="L1064" s="75" t="s">
        <v>509</v>
      </c>
      <c r="M1064" s="75" t="s">
        <v>535</v>
      </c>
      <c r="N1064" s="75" t="s">
        <v>509</v>
      </c>
      <c r="O1064" s="75" t="s">
        <v>535</v>
      </c>
      <c r="P1064" s="75" t="s">
        <v>1826</v>
      </c>
    </row>
    <row r="1065" spans="1:16">
      <c r="A1065" s="63" t="s">
        <v>4282</v>
      </c>
      <c r="B1065" s="14" t="str">
        <f>VLOOKUP(P1065,'护理记录单文书字典(数据)'!B$4:C$99,2,0)</f>
        <v>4577E0350CFAB211B5A6FFC39BFAC821</v>
      </c>
      <c r="C1065" s="75" t="s">
        <v>3640</v>
      </c>
      <c r="D1065" s="75" t="s">
        <v>3641</v>
      </c>
      <c r="E1065" s="92" t="s">
        <v>2048</v>
      </c>
      <c r="F1065" s="92">
        <v>1</v>
      </c>
      <c r="G1065" s="75">
        <v>1</v>
      </c>
      <c r="H1065" s="75"/>
      <c r="I1065" s="75"/>
      <c r="J1065" s="75"/>
      <c r="K1065" s="75" t="s">
        <v>162</v>
      </c>
      <c r="L1065" s="75" t="s">
        <v>509</v>
      </c>
      <c r="M1065" s="75" t="s">
        <v>535</v>
      </c>
      <c r="N1065" s="75" t="s">
        <v>509</v>
      </c>
      <c r="O1065" s="75" t="s">
        <v>535</v>
      </c>
      <c r="P1065" s="75" t="s">
        <v>1826</v>
      </c>
    </row>
    <row r="1066" spans="1:16">
      <c r="A1066" s="63" t="s">
        <v>4282</v>
      </c>
      <c r="B1066" s="14" t="str">
        <f>VLOOKUP(P1066,'护理记录单文书字典(数据)'!B$4:C$99,2,0)</f>
        <v>4577E0350CFAB211B5A6FFC39BFAC821</v>
      </c>
      <c r="C1066" s="75" t="s">
        <v>3642</v>
      </c>
      <c r="D1066" s="75" t="s">
        <v>1839</v>
      </c>
      <c r="E1066" s="92" t="s">
        <v>2052</v>
      </c>
      <c r="F1066" s="92">
        <v>1</v>
      </c>
      <c r="G1066" s="75">
        <v>1</v>
      </c>
      <c r="H1066" s="75" t="s">
        <v>1838</v>
      </c>
      <c r="I1066" s="75"/>
      <c r="J1066" s="75"/>
      <c r="K1066" s="75" t="s">
        <v>162</v>
      </c>
      <c r="L1066" s="75" t="s">
        <v>509</v>
      </c>
      <c r="M1066" s="75" t="s">
        <v>535</v>
      </c>
      <c r="N1066" s="75" t="s">
        <v>509</v>
      </c>
      <c r="O1066" s="75" t="s">
        <v>535</v>
      </c>
      <c r="P1066" s="75" t="s">
        <v>1826</v>
      </c>
    </row>
    <row r="1067" spans="1:16">
      <c r="A1067" s="63" t="s">
        <v>4282</v>
      </c>
      <c r="B1067" s="14" t="str">
        <f>VLOOKUP(P1067,'护理记录单文书字典(数据)'!B$4:C$99,2,0)</f>
        <v>4577E0350CFAB211B5A6FFC39BFAC821</v>
      </c>
      <c r="C1067" s="75" t="s">
        <v>3643</v>
      </c>
      <c r="D1067" s="75" t="s">
        <v>1842</v>
      </c>
      <c r="E1067" s="92" t="s">
        <v>2052</v>
      </c>
      <c r="F1067" s="92">
        <v>1</v>
      </c>
      <c r="G1067" s="75">
        <v>1</v>
      </c>
      <c r="H1067" s="75" t="s">
        <v>1841</v>
      </c>
      <c r="I1067" s="75"/>
      <c r="J1067" s="75"/>
      <c r="K1067" s="75" t="s">
        <v>162</v>
      </c>
      <c r="L1067" s="75" t="s">
        <v>509</v>
      </c>
      <c r="M1067" s="75" t="s">
        <v>535</v>
      </c>
      <c r="N1067" s="75" t="s">
        <v>509</v>
      </c>
      <c r="O1067" s="75" t="s">
        <v>535</v>
      </c>
      <c r="P1067" s="75" t="s">
        <v>1826</v>
      </c>
    </row>
    <row r="1068" spans="1:16">
      <c r="A1068" s="63" t="s">
        <v>4282</v>
      </c>
      <c r="B1068" s="14" t="str">
        <f>VLOOKUP(P1068,'护理记录单文书字典(数据)'!B$4:C$99,2,0)</f>
        <v>4577E0350CFAB211B5A6FFC39BFAC821</v>
      </c>
      <c r="C1068" s="75" t="s">
        <v>3644</v>
      </c>
      <c r="D1068" s="75" t="s">
        <v>3645</v>
      </c>
      <c r="E1068" s="92" t="s">
        <v>2048</v>
      </c>
      <c r="F1068" s="92">
        <v>1</v>
      </c>
      <c r="G1068" s="75">
        <v>1</v>
      </c>
      <c r="H1068" s="75"/>
      <c r="I1068" s="75"/>
      <c r="J1068" s="75"/>
      <c r="K1068" s="75" t="s">
        <v>162</v>
      </c>
      <c r="L1068" s="75" t="s">
        <v>509</v>
      </c>
      <c r="M1068" s="75" t="s">
        <v>535</v>
      </c>
      <c r="N1068" s="75" t="s">
        <v>509</v>
      </c>
      <c r="O1068" s="75" t="s">
        <v>535</v>
      </c>
      <c r="P1068" s="75" t="s">
        <v>1826</v>
      </c>
    </row>
    <row r="1069" spans="1:16">
      <c r="A1069" s="63" t="s">
        <v>4282</v>
      </c>
      <c r="B1069" s="14" t="str">
        <f>VLOOKUP(P1069,'护理记录单文书字典(数据)'!B$4:C$99,2,0)</f>
        <v>4577E0350CFAB211B5A6FFC39BFAC821</v>
      </c>
      <c r="C1069" s="75" t="s">
        <v>3646</v>
      </c>
      <c r="D1069" s="75" t="s">
        <v>3647</v>
      </c>
      <c r="E1069" s="92" t="s">
        <v>2052</v>
      </c>
      <c r="F1069" s="92">
        <v>1</v>
      </c>
      <c r="G1069" s="75">
        <v>1</v>
      </c>
      <c r="H1069" s="75" t="s">
        <v>3488</v>
      </c>
      <c r="I1069" s="75"/>
      <c r="J1069" s="75"/>
      <c r="K1069" s="75" t="s">
        <v>162</v>
      </c>
      <c r="L1069" s="75" t="s">
        <v>509</v>
      </c>
      <c r="M1069" s="75" t="s">
        <v>535</v>
      </c>
      <c r="N1069" s="75" t="s">
        <v>509</v>
      </c>
      <c r="O1069" s="75" t="s">
        <v>535</v>
      </c>
      <c r="P1069" s="75" t="s">
        <v>1826</v>
      </c>
    </row>
    <row r="1070" spans="1:16">
      <c r="A1070" s="63" t="s">
        <v>4282</v>
      </c>
      <c r="B1070" s="14" t="str">
        <f>VLOOKUP(P1070,'护理记录单文书字典(数据)'!B$4:C$99,2,0)</f>
        <v>4577E0350CFAB211B5A6FFC39BFAC821</v>
      </c>
      <c r="C1070" s="159" t="s">
        <v>4646</v>
      </c>
      <c r="D1070" s="75" t="s">
        <v>3648</v>
      </c>
      <c r="E1070" s="92" t="s">
        <v>2052</v>
      </c>
      <c r="F1070" s="92">
        <v>1</v>
      </c>
      <c r="G1070" s="75">
        <v>1</v>
      </c>
      <c r="H1070" s="75" t="s">
        <v>3488</v>
      </c>
      <c r="I1070" s="75"/>
      <c r="J1070" s="75"/>
      <c r="K1070" s="75" t="s">
        <v>162</v>
      </c>
      <c r="L1070" s="75" t="s">
        <v>509</v>
      </c>
      <c r="M1070" s="75" t="s">
        <v>535</v>
      </c>
      <c r="N1070" s="75" t="s">
        <v>509</v>
      </c>
      <c r="O1070" s="75" t="s">
        <v>535</v>
      </c>
      <c r="P1070" s="75" t="s">
        <v>1826</v>
      </c>
    </row>
    <row r="1071" spans="1:16">
      <c r="A1071" s="63" t="s">
        <v>4282</v>
      </c>
      <c r="B1071" s="14" t="str">
        <f>VLOOKUP(P1071,'护理记录单文书字典(数据)'!B$4:C$99,2,0)</f>
        <v>4577E0350CFAB211B5A6FFC39BFAC821</v>
      </c>
      <c r="C1071" s="159" t="s">
        <v>4656</v>
      </c>
      <c r="D1071" s="75" t="s">
        <v>1844</v>
      </c>
      <c r="E1071" s="92" t="s">
        <v>2052</v>
      </c>
      <c r="F1071" s="92">
        <v>1</v>
      </c>
      <c r="G1071" s="75">
        <v>1</v>
      </c>
      <c r="H1071" s="75" t="s">
        <v>1843</v>
      </c>
      <c r="I1071" s="75"/>
      <c r="J1071" s="75"/>
      <c r="K1071" s="75" t="s">
        <v>162</v>
      </c>
      <c r="L1071" s="75" t="s">
        <v>509</v>
      </c>
      <c r="M1071" s="75" t="s">
        <v>535</v>
      </c>
      <c r="N1071" s="75" t="s">
        <v>509</v>
      </c>
      <c r="O1071" s="75" t="s">
        <v>535</v>
      </c>
      <c r="P1071" s="75" t="s">
        <v>1826</v>
      </c>
    </row>
    <row r="1072" spans="1:16">
      <c r="A1072" s="63" t="s">
        <v>4282</v>
      </c>
      <c r="B1072" s="14" t="str">
        <f>VLOOKUP(P1072,'护理记录单文书字典(数据)'!B$4:C$99,2,0)</f>
        <v>4577E0350CFAB211B5A6FFC39BFAC821</v>
      </c>
      <c r="C1072" s="159" t="s">
        <v>4657</v>
      </c>
      <c r="D1072" s="75" t="s">
        <v>3649</v>
      </c>
      <c r="E1072" s="92" t="s">
        <v>2048</v>
      </c>
      <c r="F1072" s="92">
        <v>1</v>
      </c>
      <c r="G1072" s="75">
        <v>1</v>
      </c>
      <c r="H1072" s="75"/>
      <c r="I1072" s="75"/>
      <c r="J1072" s="75"/>
      <c r="K1072" s="75" t="s">
        <v>162</v>
      </c>
      <c r="L1072" s="75" t="s">
        <v>509</v>
      </c>
      <c r="M1072" s="75" t="s">
        <v>535</v>
      </c>
      <c r="N1072" s="75" t="s">
        <v>509</v>
      </c>
      <c r="O1072" s="75" t="s">
        <v>535</v>
      </c>
      <c r="P1072" s="75" t="s">
        <v>1826</v>
      </c>
    </row>
    <row r="1073" spans="1:16">
      <c r="A1073" s="63" t="s">
        <v>4282</v>
      </c>
      <c r="B1073" s="14" t="str">
        <f>VLOOKUP(P1073,'护理记录单文书字典(数据)'!B$4:C$99,2,0)</f>
        <v>4577E0350CFAB211B5A6FFC39BFAC821</v>
      </c>
      <c r="C1073" s="159" t="s">
        <v>4647</v>
      </c>
      <c r="D1073" s="75" t="s">
        <v>2754</v>
      </c>
      <c r="E1073" s="92" t="s">
        <v>2052</v>
      </c>
      <c r="F1073" s="92">
        <v>1</v>
      </c>
      <c r="G1073" s="75">
        <v>1</v>
      </c>
      <c r="H1073" s="75" t="s">
        <v>3488</v>
      </c>
      <c r="I1073" s="75"/>
      <c r="J1073" s="75"/>
      <c r="K1073" s="75" t="s">
        <v>162</v>
      </c>
      <c r="L1073" s="75" t="s">
        <v>509</v>
      </c>
      <c r="M1073" s="75" t="s">
        <v>535</v>
      </c>
      <c r="N1073" s="75" t="s">
        <v>509</v>
      </c>
      <c r="O1073" s="75" t="s">
        <v>535</v>
      </c>
      <c r="P1073" s="75" t="s">
        <v>1826</v>
      </c>
    </row>
    <row r="1074" spans="1:16">
      <c r="A1074" s="63" t="s">
        <v>4282</v>
      </c>
      <c r="B1074" s="14" t="str">
        <f>VLOOKUP(P1074,'护理记录单文书字典(数据)'!B$4:C$99,2,0)</f>
        <v>4577E0350CFAB211B5A6FFC39BFAC821</v>
      </c>
      <c r="C1074" s="159" t="s">
        <v>4658</v>
      </c>
      <c r="D1074" s="75" t="s">
        <v>3650</v>
      </c>
      <c r="E1074" s="92" t="s">
        <v>2048</v>
      </c>
      <c r="F1074" s="92">
        <v>1</v>
      </c>
      <c r="G1074" s="75">
        <v>1</v>
      </c>
      <c r="H1074" s="75"/>
      <c r="I1074" s="75"/>
      <c r="J1074" s="75"/>
      <c r="K1074" s="75" t="s">
        <v>162</v>
      </c>
      <c r="L1074" s="75" t="s">
        <v>509</v>
      </c>
      <c r="M1074" s="75" t="s">
        <v>535</v>
      </c>
      <c r="N1074" s="75" t="s">
        <v>509</v>
      </c>
      <c r="O1074" s="75" t="s">
        <v>535</v>
      </c>
      <c r="P1074" s="75" t="s">
        <v>1826</v>
      </c>
    </row>
    <row r="1075" spans="1:16">
      <c r="A1075" s="63" t="s">
        <v>4282</v>
      </c>
      <c r="B1075" s="14" t="str">
        <f>VLOOKUP(P1075,'护理记录单文书字典(数据)'!B$4:C$99,2,0)</f>
        <v>4577E0350CFAB211B5A6FFC39BFAC821</v>
      </c>
      <c r="C1075" s="159" t="s">
        <v>4659</v>
      </c>
      <c r="D1075" s="75" t="s">
        <v>3651</v>
      </c>
      <c r="E1075" s="92" t="s">
        <v>2048</v>
      </c>
      <c r="F1075" s="92">
        <v>1</v>
      </c>
      <c r="G1075" s="75">
        <v>1</v>
      </c>
      <c r="H1075" s="75"/>
      <c r="I1075" s="75"/>
      <c r="J1075" s="75"/>
      <c r="K1075" s="75" t="s">
        <v>162</v>
      </c>
      <c r="L1075" s="75" t="s">
        <v>509</v>
      </c>
      <c r="M1075" s="75" t="s">
        <v>535</v>
      </c>
      <c r="N1075" s="75" t="s">
        <v>509</v>
      </c>
      <c r="O1075" s="75" t="s">
        <v>535</v>
      </c>
      <c r="P1075" s="75" t="s">
        <v>1826</v>
      </c>
    </row>
    <row r="1076" spans="1:16">
      <c r="A1076" s="63" t="s">
        <v>4282</v>
      </c>
      <c r="B1076" s="14" t="str">
        <f>VLOOKUP(P1076,'护理记录单文书字典(数据)'!B$4:C$99,2,0)</f>
        <v>4577E0350CFAB211B5A6FFC39BFAC821</v>
      </c>
      <c r="C1076" s="75" t="s">
        <v>2105</v>
      </c>
      <c r="D1076" s="75" t="s">
        <v>2103</v>
      </c>
      <c r="E1076" s="92" t="s">
        <v>2104</v>
      </c>
      <c r="F1076" s="92">
        <v>1</v>
      </c>
      <c r="G1076" s="75">
        <v>1</v>
      </c>
      <c r="H1076" s="75"/>
      <c r="I1076" s="75"/>
      <c r="J1076" s="75"/>
      <c r="K1076" s="75" t="s">
        <v>162</v>
      </c>
      <c r="L1076" s="75" t="s">
        <v>509</v>
      </c>
      <c r="M1076" s="75" t="s">
        <v>535</v>
      </c>
      <c r="N1076" s="75" t="s">
        <v>509</v>
      </c>
      <c r="O1076" s="75" t="s">
        <v>535</v>
      </c>
      <c r="P1076" s="75" t="s">
        <v>1826</v>
      </c>
    </row>
    <row r="1077" spans="1:16">
      <c r="A1077" s="63" t="s">
        <v>4282</v>
      </c>
      <c r="B1077" s="14" t="str">
        <f>VLOOKUP(P1077,'护理记录单文书字典(数据)'!B$4:C$99,2,0)</f>
        <v>2EDFFD350CFAB211D8B7EBE7200C5C59</v>
      </c>
      <c r="C1077" s="75" t="s">
        <v>3652</v>
      </c>
      <c r="D1077" s="75" t="s">
        <v>3653</v>
      </c>
      <c r="E1077" s="92" t="s">
        <v>2048</v>
      </c>
      <c r="F1077" s="92">
        <v>1</v>
      </c>
      <c r="G1077" s="75">
        <v>1</v>
      </c>
      <c r="H1077" s="75"/>
      <c r="I1077" s="75"/>
      <c r="J1077" s="75"/>
      <c r="K1077" s="75" t="s">
        <v>162</v>
      </c>
      <c r="L1077" s="75" t="s">
        <v>509</v>
      </c>
      <c r="M1077" s="75" t="s">
        <v>535</v>
      </c>
      <c r="N1077" s="75" t="s">
        <v>509</v>
      </c>
      <c r="O1077" s="75" t="s">
        <v>535</v>
      </c>
      <c r="P1077" s="75" t="s">
        <v>1899</v>
      </c>
    </row>
    <row r="1078" spans="1:16">
      <c r="A1078" s="63" t="s">
        <v>4282</v>
      </c>
      <c r="B1078" s="14" t="str">
        <f>VLOOKUP(P1078,'护理记录单文书字典(数据)'!B$4:C$99,2,0)</f>
        <v>2EDFFD350CFAB211D8B7EBE7200C5C59</v>
      </c>
      <c r="C1078" s="75" t="s">
        <v>3654</v>
      </c>
      <c r="D1078" s="75" t="s">
        <v>3655</v>
      </c>
      <c r="E1078" s="92" t="s">
        <v>2048</v>
      </c>
      <c r="F1078" s="92">
        <v>1</v>
      </c>
      <c r="G1078" s="75">
        <v>1</v>
      </c>
      <c r="H1078" s="75"/>
      <c r="I1078" s="75"/>
      <c r="J1078" s="75"/>
      <c r="K1078" s="75" t="s">
        <v>162</v>
      </c>
      <c r="L1078" s="75" t="s">
        <v>509</v>
      </c>
      <c r="M1078" s="75" t="s">
        <v>535</v>
      </c>
      <c r="N1078" s="75" t="s">
        <v>509</v>
      </c>
      <c r="O1078" s="75" t="s">
        <v>535</v>
      </c>
      <c r="P1078" s="75" t="s">
        <v>1899</v>
      </c>
    </row>
    <row r="1079" spans="1:16">
      <c r="A1079" s="63" t="s">
        <v>4282</v>
      </c>
      <c r="B1079" s="14" t="str">
        <f>VLOOKUP(P1079,'护理记录单文书字典(数据)'!B$4:C$99,2,0)</f>
        <v>2EDFFD350CFAB211D8B7EBE7200C5C59</v>
      </c>
      <c r="C1079" s="75" t="s">
        <v>3656</v>
      </c>
      <c r="D1079" s="75" t="s">
        <v>3657</v>
      </c>
      <c r="E1079" s="92" t="s">
        <v>2048</v>
      </c>
      <c r="F1079" s="92">
        <v>1</v>
      </c>
      <c r="G1079" s="75">
        <v>1</v>
      </c>
      <c r="H1079" s="75"/>
      <c r="I1079" s="75"/>
      <c r="J1079" s="75"/>
      <c r="K1079" s="75" t="s">
        <v>162</v>
      </c>
      <c r="L1079" s="75" t="s">
        <v>509</v>
      </c>
      <c r="M1079" s="75" t="s">
        <v>535</v>
      </c>
      <c r="N1079" s="75" t="s">
        <v>509</v>
      </c>
      <c r="O1079" s="75" t="s">
        <v>535</v>
      </c>
      <c r="P1079" s="75" t="s">
        <v>1899</v>
      </c>
    </row>
    <row r="1080" spans="1:16">
      <c r="A1080" s="63" t="s">
        <v>4282</v>
      </c>
      <c r="B1080" s="14" t="str">
        <f>VLOOKUP(P1080,'护理记录单文书字典(数据)'!B$4:C$99,2,0)</f>
        <v>2EDFFD350CFAB211D8B7EBE7200C5C59</v>
      </c>
      <c r="C1080" s="75" t="s">
        <v>3658</v>
      </c>
      <c r="D1080" s="75" t="s">
        <v>1898</v>
      </c>
      <c r="E1080" s="92" t="s">
        <v>2052</v>
      </c>
      <c r="F1080" s="92">
        <v>1</v>
      </c>
      <c r="G1080" s="75">
        <v>1</v>
      </c>
      <c r="H1080" s="75" t="s">
        <v>1897</v>
      </c>
      <c r="I1080" s="75"/>
      <c r="J1080" s="75"/>
      <c r="K1080" s="75" t="s">
        <v>162</v>
      </c>
      <c r="L1080" s="75" t="s">
        <v>509</v>
      </c>
      <c r="M1080" s="75" t="s">
        <v>535</v>
      </c>
      <c r="N1080" s="75" t="s">
        <v>509</v>
      </c>
      <c r="O1080" s="75" t="s">
        <v>535</v>
      </c>
      <c r="P1080" s="75" t="s">
        <v>1899</v>
      </c>
    </row>
    <row r="1081" spans="1:16">
      <c r="A1081" s="63" t="s">
        <v>4282</v>
      </c>
      <c r="B1081" s="14" t="str">
        <f>VLOOKUP(P1081,'护理记录单文书字典(数据)'!B$4:C$99,2,0)</f>
        <v>2EDFFD350CFAB211D8B7EBE7200C5C59</v>
      </c>
      <c r="C1081" s="75" t="s">
        <v>3523</v>
      </c>
      <c r="D1081" s="75" t="s">
        <v>1901</v>
      </c>
      <c r="E1081" s="92" t="s">
        <v>2052</v>
      </c>
      <c r="F1081" s="92">
        <v>1</v>
      </c>
      <c r="G1081" s="75">
        <v>1</v>
      </c>
      <c r="H1081" s="75" t="s">
        <v>1212</v>
      </c>
      <c r="I1081" s="75"/>
      <c r="J1081" s="75"/>
      <c r="K1081" s="75" t="s">
        <v>162</v>
      </c>
      <c r="L1081" s="75" t="s">
        <v>509</v>
      </c>
      <c r="M1081" s="75" t="s">
        <v>535</v>
      </c>
      <c r="N1081" s="75" t="s">
        <v>509</v>
      </c>
      <c r="O1081" s="75" t="s">
        <v>535</v>
      </c>
      <c r="P1081" s="75" t="s">
        <v>1899</v>
      </c>
    </row>
    <row r="1082" spans="1:16">
      <c r="A1082" s="63" t="s">
        <v>4282</v>
      </c>
      <c r="B1082" s="14" t="str">
        <f>VLOOKUP(P1082,'护理记录单文书字典(数据)'!B$4:C$99,2,0)</f>
        <v>2EDFFD350CFAB211D8B7EBE7200C5C59</v>
      </c>
      <c r="C1082" s="75" t="s">
        <v>3659</v>
      </c>
      <c r="D1082" s="75" t="s">
        <v>1905</v>
      </c>
      <c r="E1082" s="92" t="s">
        <v>2052</v>
      </c>
      <c r="F1082" s="92">
        <v>1</v>
      </c>
      <c r="G1082" s="75">
        <v>1</v>
      </c>
      <c r="H1082" s="75" t="s">
        <v>1904</v>
      </c>
      <c r="I1082" s="75"/>
      <c r="J1082" s="75"/>
      <c r="K1082" s="75" t="s">
        <v>162</v>
      </c>
      <c r="L1082" s="75" t="s">
        <v>509</v>
      </c>
      <c r="M1082" s="75" t="s">
        <v>535</v>
      </c>
      <c r="N1082" s="75" t="s">
        <v>509</v>
      </c>
      <c r="O1082" s="75" t="s">
        <v>535</v>
      </c>
      <c r="P1082" s="75" t="s">
        <v>1899</v>
      </c>
    </row>
    <row r="1083" spans="1:16">
      <c r="A1083" s="63" t="s">
        <v>4282</v>
      </c>
      <c r="B1083" s="14" t="str">
        <f>VLOOKUP(P1083,'护理记录单文书字典(数据)'!B$4:C$99,2,0)</f>
        <v>2EDFFD350CFAB211D8B7EBE7200C5C59</v>
      </c>
      <c r="C1083" s="75" t="s">
        <v>3660</v>
      </c>
      <c r="D1083" s="75" t="s">
        <v>3661</v>
      </c>
      <c r="E1083" s="92" t="s">
        <v>2048</v>
      </c>
      <c r="F1083" s="92">
        <v>1</v>
      </c>
      <c r="G1083" s="75">
        <v>1</v>
      </c>
      <c r="H1083" s="75"/>
      <c r="I1083" s="75"/>
      <c r="J1083" s="75"/>
      <c r="K1083" s="75" t="s">
        <v>162</v>
      </c>
      <c r="L1083" s="75" t="s">
        <v>509</v>
      </c>
      <c r="M1083" s="75" t="s">
        <v>535</v>
      </c>
      <c r="N1083" s="75" t="s">
        <v>509</v>
      </c>
      <c r="O1083" s="75" t="s">
        <v>535</v>
      </c>
      <c r="P1083" s="75" t="s">
        <v>1899</v>
      </c>
    </row>
    <row r="1084" spans="1:16">
      <c r="A1084" s="63" t="s">
        <v>4282</v>
      </c>
      <c r="B1084" s="14" t="str">
        <f>VLOOKUP(P1084,'护理记录单文书字典(数据)'!B$4:C$99,2,0)</f>
        <v>2EDFFD350CFAB211D8B7EBE7200C5C59</v>
      </c>
      <c r="C1084" s="75" t="s">
        <v>3662</v>
      </c>
      <c r="D1084" s="75" t="s">
        <v>1909</v>
      </c>
      <c r="E1084" s="92" t="s">
        <v>2052</v>
      </c>
      <c r="F1084" s="92">
        <v>1</v>
      </c>
      <c r="G1084" s="75">
        <v>1</v>
      </c>
      <c r="H1084" s="75" t="s">
        <v>1908</v>
      </c>
      <c r="I1084" s="75"/>
      <c r="J1084" s="75"/>
      <c r="K1084" s="75" t="s">
        <v>162</v>
      </c>
      <c r="L1084" s="75" t="s">
        <v>509</v>
      </c>
      <c r="M1084" s="75" t="s">
        <v>535</v>
      </c>
      <c r="N1084" s="75" t="s">
        <v>509</v>
      </c>
      <c r="O1084" s="75" t="s">
        <v>535</v>
      </c>
      <c r="P1084" s="75" t="s">
        <v>1899</v>
      </c>
    </row>
    <row r="1085" spans="1:16">
      <c r="A1085" s="63" t="s">
        <v>4282</v>
      </c>
      <c r="B1085" s="14" t="str">
        <f>VLOOKUP(P1085,'护理记录单文书字典(数据)'!B$4:C$99,2,0)</f>
        <v>2EDFFD350CFAB211D8B7EBE7200C5C59</v>
      </c>
      <c r="C1085" s="75" t="s">
        <v>3663</v>
      </c>
      <c r="D1085" s="75" t="s">
        <v>1914</v>
      </c>
      <c r="E1085" s="92" t="s">
        <v>2052</v>
      </c>
      <c r="F1085" s="92">
        <v>1</v>
      </c>
      <c r="G1085" s="75">
        <v>1</v>
      </c>
      <c r="H1085" s="75" t="s">
        <v>1913</v>
      </c>
      <c r="I1085" s="75"/>
      <c r="J1085" s="75"/>
      <c r="K1085" s="75" t="s">
        <v>162</v>
      </c>
      <c r="L1085" s="75" t="s">
        <v>509</v>
      </c>
      <c r="M1085" s="75" t="s">
        <v>535</v>
      </c>
      <c r="N1085" s="75" t="s">
        <v>509</v>
      </c>
      <c r="O1085" s="75" t="s">
        <v>535</v>
      </c>
      <c r="P1085" s="75" t="s">
        <v>1899</v>
      </c>
    </row>
    <row r="1086" spans="1:16">
      <c r="A1086" s="63" t="s">
        <v>4282</v>
      </c>
      <c r="B1086" s="14" t="str">
        <f>VLOOKUP(P1086,'护理记录单文书字典(数据)'!B$4:C$99,2,0)</f>
        <v>2EDFFD350CFAB211D8B7EBE7200C5C59</v>
      </c>
      <c r="C1086" s="75" t="s">
        <v>3664</v>
      </c>
      <c r="D1086" s="75" t="s">
        <v>1919</v>
      </c>
      <c r="E1086" s="92" t="s">
        <v>2052</v>
      </c>
      <c r="F1086" s="92">
        <v>1</v>
      </c>
      <c r="G1086" s="75">
        <v>1</v>
      </c>
      <c r="H1086" s="75" t="s">
        <v>1918</v>
      </c>
      <c r="I1086" s="75"/>
      <c r="J1086" s="75"/>
      <c r="K1086" s="75" t="s">
        <v>162</v>
      </c>
      <c r="L1086" s="75" t="s">
        <v>509</v>
      </c>
      <c r="M1086" s="75" t="s">
        <v>535</v>
      </c>
      <c r="N1086" s="75" t="s">
        <v>509</v>
      </c>
      <c r="O1086" s="75" t="s">
        <v>535</v>
      </c>
      <c r="P1086" s="75" t="s">
        <v>1899</v>
      </c>
    </row>
    <row r="1087" spans="1:16">
      <c r="A1087" s="63" t="s">
        <v>4282</v>
      </c>
      <c r="B1087" s="14" t="str">
        <f>VLOOKUP(P1087,'护理记录单文书字典(数据)'!B$4:C$99,2,0)</f>
        <v>2EDFFD350CFAB211D8B7EBE7200C5C59</v>
      </c>
      <c r="C1087" s="75" t="s">
        <v>3665</v>
      </c>
      <c r="D1087" s="75" t="s">
        <v>3666</v>
      </c>
      <c r="E1087" s="92" t="s">
        <v>2052</v>
      </c>
      <c r="F1087" s="92">
        <v>1</v>
      </c>
      <c r="G1087" s="75">
        <v>1</v>
      </c>
      <c r="H1087" s="75" t="s">
        <v>1921</v>
      </c>
      <c r="I1087" s="75"/>
      <c r="J1087" s="75"/>
      <c r="K1087" s="75" t="s">
        <v>162</v>
      </c>
      <c r="L1087" s="75" t="s">
        <v>509</v>
      </c>
      <c r="M1087" s="75" t="s">
        <v>535</v>
      </c>
      <c r="N1087" s="75" t="s">
        <v>509</v>
      </c>
      <c r="O1087" s="75" t="s">
        <v>535</v>
      </c>
      <c r="P1087" s="75" t="s">
        <v>1899</v>
      </c>
    </row>
    <row r="1088" spans="1:16">
      <c r="A1088" s="63" t="s">
        <v>4282</v>
      </c>
      <c r="B1088" s="14" t="str">
        <f>VLOOKUP(P1088,'护理记录单文书字典(数据)'!B$4:C$99,2,0)</f>
        <v>2EDFFD350CFAB211D8B7EBE7200C5C59</v>
      </c>
      <c r="C1088" s="75" t="s">
        <v>3667</v>
      </c>
      <c r="D1088" s="75" t="s">
        <v>1926</v>
      </c>
      <c r="E1088" s="92" t="s">
        <v>2052</v>
      </c>
      <c r="F1088" s="92">
        <v>1</v>
      </c>
      <c r="G1088" s="75">
        <v>1</v>
      </c>
      <c r="H1088" s="75" t="s">
        <v>1925</v>
      </c>
      <c r="I1088" s="75"/>
      <c r="J1088" s="75"/>
      <c r="K1088" s="75" t="s">
        <v>162</v>
      </c>
      <c r="L1088" s="75" t="s">
        <v>509</v>
      </c>
      <c r="M1088" s="75" t="s">
        <v>535</v>
      </c>
      <c r="N1088" s="75" t="s">
        <v>509</v>
      </c>
      <c r="O1088" s="75" t="s">
        <v>535</v>
      </c>
      <c r="P1088" s="75" t="s">
        <v>1899</v>
      </c>
    </row>
    <row r="1089" spans="1:16">
      <c r="A1089" s="63" t="s">
        <v>4282</v>
      </c>
      <c r="B1089" s="14" t="str">
        <f>VLOOKUP(P1089,'护理记录单文书字典(数据)'!B$4:C$99,2,0)</f>
        <v>2EDFFD350CFAB211D8B7EBE7200C5C59</v>
      </c>
      <c r="C1089" s="75" t="s">
        <v>3668</v>
      </c>
      <c r="D1089" s="75" t="s">
        <v>3669</v>
      </c>
      <c r="E1089" s="92" t="s">
        <v>2048</v>
      </c>
      <c r="F1089" s="92">
        <v>1</v>
      </c>
      <c r="G1089" s="75">
        <v>1</v>
      </c>
      <c r="H1089" s="75"/>
      <c r="I1089" s="75"/>
      <c r="J1089" s="75"/>
      <c r="K1089" s="75" t="s">
        <v>162</v>
      </c>
      <c r="L1089" s="75" t="s">
        <v>509</v>
      </c>
      <c r="M1089" s="75" t="s">
        <v>535</v>
      </c>
      <c r="N1089" s="75" t="s">
        <v>509</v>
      </c>
      <c r="O1089" s="75" t="s">
        <v>535</v>
      </c>
      <c r="P1089" s="75" t="s">
        <v>1899</v>
      </c>
    </row>
    <row r="1090" spans="1:16">
      <c r="A1090" s="63" t="s">
        <v>4282</v>
      </c>
      <c r="B1090" s="14" t="str">
        <f>VLOOKUP(P1090,'护理记录单文书字典(数据)'!B$4:C$99,2,0)</f>
        <v>2EDFFD350CFAB211D8B7EBE7200C5C59</v>
      </c>
      <c r="C1090" s="75" t="s">
        <v>3670</v>
      </c>
      <c r="D1090" s="75" t="s">
        <v>3671</v>
      </c>
      <c r="E1090" s="92" t="s">
        <v>2048</v>
      </c>
      <c r="F1090" s="92">
        <v>1</v>
      </c>
      <c r="G1090" s="75">
        <v>1</v>
      </c>
      <c r="H1090" s="75"/>
      <c r="I1090" s="75"/>
      <c r="J1090" s="75"/>
      <c r="K1090" s="75" t="s">
        <v>162</v>
      </c>
      <c r="L1090" s="75" t="s">
        <v>509</v>
      </c>
      <c r="M1090" s="75" t="s">
        <v>535</v>
      </c>
      <c r="N1090" s="75" t="s">
        <v>509</v>
      </c>
      <c r="O1090" s="75" t="s">
        <v>535</v>
      </c>
      <c r="P1090" s="75" t="s">
        <v>1899</v>
      </c>
    </row>
    <row r="1091" spans="1:16">
      <c r="A1091" s="63" t="s">
        <v>4282</v>
      </c>
      <c r="B1091" s="14" t="str">
        <f>VLOOKUP(P1091,'护理记录单文书字典(数据)'!B$4:C$99,2,0)</f>
        <v>2EDFFD350CFAB211D8B7EBE7200C5C59</v>
      </c>
      <c r="C1091" s="75" t="s">
        <v>3672</v>
      </c>
      <c r="D1091" s="75" t="s">
        <v>3673</v>
      </c>
      <c r="E1091" s="92" t="s">
        <v>2048</v>
      </c>
      <c r="F1091" s="92">
        <v>1</v>
      </c>
      <c r="G1091" s="75">
        <v>1</v>
      </c>
      <c r="H1091" s="75"/>
      <c r="I1091" s="75"/>
      <c r="J1091" s="75"/>
      <c r="K1091" s="75" t="s">
        <v>162</v>
      </c>
      <c r="L1091" s="75" t="s">
        <v>509</v>
      </c>
      <c r="M1091" s="75" t="s">
        <v>535</v>
      </c>
      <c r="N1091" s="75" t="s">
        <v>509</v>
      </c>
      <c r="O1091" s="75" t="s">
        <v>535</v>
      </c>
      <c r="P1091" s="75" t="s">
        <v>1899</v>
      </c>
    </row>
    <row r="1092" spans="1:16">
      <c r="A1092" s="63" t="s">
        <v>4282</v>
      </c>
      <c r="B1092" s="14" t="str">
        <f>VLOOKUP(P1092,'护理记录单文书字典(数据)'!B$4:C$99,2,0)</f>
        <v>2EDFFD350CFAB211D8B7EBE7200C5C59</v>
      </c>
      <c r="C1092" s="75" t="s">
        <v>3674</v>
      </c>
      <c r="D1092" s="75" t="s">
        <v>3675</v>
      </c>
      <c r="E1092" s="92" t="s">
        <v>2048</v>
      </c>
      <c r="F1092" s="92">
        <v>1</v>
      </c>
      <c r="G1092" s="75">
        <v>1</v>
      </c>
      <c r="H1092" s="75"/>
      <c r="I1092" s="75"/>
      <c r="J1092" s="75"/>
      <c r="K1092" s="75" t="s">
        <v>162</v>
      </c>
      <c r="L1092" s="75" t="s">
        <v>509</v>
      </c>
      <c r="M1092" s="75" t="s">
        <v>535</v>
      </c>
      <c r="N1092" s="75" t="s">
        <v>509</v>
      </c>
      <c r="O1092" s="75" t="s">
        <v>535</v>
      </c>
      <c r="P1092" s="75" t="s">
        <v>1899</v>
      </c>
    </row>
    <row r="1093" spans="1:16">
      <c r="A1093" s="63" t="s">
        <v>4282</v>
      </c>
      <c r="B1093" s="14" t="str">
        <f>VLOOKUP(P1093,'护理记录单文书字典(数据)'!B$4:C$99,2,0)</f>
        <v>2EDFFD350CFAB211D8B7EBE7200C5C59</v>
      </c>
      <c r="C1093" s="75" t="s">
        <v>3676</v>
      </c>
      <c r="D1093" s="75" t="s">
        <v>3677</v>
      </c>
      <c r="E1093" s="92" t="s">
        <v>2048</v>
      </c>
      <c r="F1093" s="92">
        <v>1</v>
      </c>
      <c r="G1093" s="75">
        <v>1</v>
      </c>
      <c r="H1093" s="75"/>
      <c r="I1093" s="75"/>
      <c r="J1093" s="75"/>
      <c r="K1093" s="75" t="s">
        <v>162</v>
      </c>
      <c r="L1093" s="75" t="s">
        <v>509</v>
      </c>
      <c r="M1093" s="75" t="s">
        <v>535</v>
      </c>
      <c r="N1093" s="75" t="s">
        <v>509</v>
      </c>
      <c r="O1093" s="75" t="s">
        <v>535</v>
      </c>
      <c r="P1093" s="75" t="s">
        <v>1899</v>
      </c>
    </row>
    <row r="1094" spans="1:16">
      <c r="A1094" s="63" t="s">
        <v>4282</v>
      </c>
      <c r="B1094" s="14" t="str">
        <f>VLOOKUP(P1094,'护理记录单文书字典(数据)'!B$4:C$99,2,0)</f>
        <v>2EDFFD350CFAB211D8B7EBE7200C5C59</v>
      </c>
      <c r="C1094" s="75" t="s">
        <v>3678</v>
      </c>
      <c r="D1094" s="75" t="s">
        <v>1930</v>
      </c>
      <c r="E1094" s="92" t="s">
        <v>2052</v>
      </c>
      <c r="F1094" s="92">
        <v>1</v>
      </c>
      <c r="G1094" s="75">
        <v>1</v>
      </c>
      <c r="H1094" s="75" t="s">
        <v>1929</v>
      </c>
      <c r="I1094" s="75"/>
      <c r="J1094" s="75"/>
      <c r="K1094" s="75" t="s">
        <v>162</v>
      </c>
      <c r="L1094" s="75" t="s">
        <v>509</v>
      </c>
      <c r="M1094" s="75" t="s">
        <v>535</v>
      </c>
      <c r="N1094" s="75" t="s">
        <v>509</v>
      </c>
      <c r="O1094" s="75" t="s">
        <v>535</v>
      </c>
      <c r="P1094" s="75" t="s">
        <v>1899</v>
      </c>
    </row>
    <row r="1095" spans="1:16">
      <c r="A1095" s="63" t="s">
        <v>4282</v>
      </c>
      <c r="B1095" s="14" t="str">
        <f>VLOOKUP(P1095,'护理记录单文书字典(数据)'!B$4:C$99,2,0)</f>
        <v>2EDFFD350CFAB211D8B7EBE7200C5C59</v>
      </c>
      <c r="C1095" s="75" t="s">
        <v>3679</v>
      </c>
      <c r="D1095" s="75" t="s">
        <v>1932</v>
      </c>
      <c r="E1095" s="92" t="s">
        <v>2052</v>
      </c>
      <c r="F1095" s="92">
        <v>1</v>
      </c>
      <c r="G1095" s="75">
        <v>1</v>
      </c>
      <c r="H1095" s="75" t="s">
        <v>1931</v>
      </c>
      <c r="I1095" s="75"/>
      <c r="J1095" s="75"/>
      <c r="K1095" s="75" t="s">
        <v>162</v>
      </c>
      <c r="L1095" s="75" t="s">
        <v>509</v>
      </c>
      <c r="M1095" s="75" t="s">
        <v>535</v>
      </c>
      <c r="N1095" s="75" t="s">
        <v>509</v>
      </c>
      <c r="O1095" s="75" t="s">
        <v>535</v>
      </c>
      <c r="P1095" s="75" t="s">
        <v>1899</v>
      </c>
    </row>
    <row r="1096" spans="1:16">
      <c r="A1096" s="63" t="s">
        <v>4282</v>
      </c>
      <c r="B1096" s="14" t="str">
        <f>VLOOKUP(P1096,'护理记录单文书字典(数据)'!B$4:C$99,2,0)</f>
        <v>2EDFFD350CFAB211D8B7EBE7200C5C59</v>
      </c>
      <c r="C1096" s="75" t="s">
        <v>3680</v>
      </c>
      <c r="D1096" s="75" t="s">
        <v>1937</v>
      </c>
      <c r="E1096" s="92" t="s">
        <v>2052</v>
      </c>
      <c r="F1096" s="92">
        <v>1</v>
      </c>
      <c r="G1096" s="75">
        <v>1</v>
      </c>
      <c r="H1096" s="75" t="s">
        <v>1936</v>
      </c>
      <c r="I1096" s="75"/>
      <c r="J1096" s="75"/>
      <c r="K1096" s="75" t="s">
        <v>162</v>
      </c>
      <c r="L1096" s="75" t="s">
        <v>509</v>
      </c>
      <c r="M1096" s="75" t="s">
        <v>535</v>
      </c>
      <c r="N1096" s="75" t="s">
        <v>509</v>
      </c>
      <c r="O1096" s="75" t="s">
        <v>535</v>
      </c>
      <c r="P1096" s="75" t="s">
        <v>1899</v>
      </c>
    </row>
    <row r="1097" spans="1:16">
      <c r="A1097" s="63" t="s">
        <v>4282</v>
      </c>
      <c r="B1097" s="14" t="str">
        <f>VLOOKUP(P1097,'护理记录单文书字典(数据)'!B$4:C$99,2,0)</f>
        <v>2EDFFD350CFAB211D8B7EBE7200C5C59</v>
      </c>
      <c r="C1097" s="75" t="s">
        <v>3681</v>
      </c>
      <c r="D1097" s="75" t="s">
        <v>1939</v>
      </c>
      <c r="E1097" s="92" t="s">
        <v>2052</v>
      </c>
      <c r="F1097" s="92">
        <v>1</v>
      </c>
      <c r="G1097" s="75">
        <v>1</v>
      </c>
      <c r="H1097" s="75" t="s">
        <v>1938</v>
      </c>
      <c r="I1097" s="75"/>
      <c r="J1097" s="75"/>
      <c r="K1097" s="75" t="s">
        <v>162</v>
      </c>
      <c r="L1097" s="75" t="s">
        <v>509</v>
      </c>
      <c r="M1097" s="75" t="s">
        <v>535</v>
      </c>
      <c r="N1097" s="75" t="s">
        <v>509</v>
      </c>
      <c r="O1097" s="75" t="s">
        <v>535</v>
      </c>
      <c r="P1097" s="75" t="s">
        <v>1899</v>
      </c>
    </row>
    <row r="1098" spans="1:16">
      <c r="A1098" s="63" t="s">
        <v>4282</v>
      </c>
      <c r="B1098" s="14" t="str">
        <f>VLOOKUP(P1098,'护理记录单文书字典(数据)'!B$4:C$99,2,0)</f>
        <v>2EDFFD350CFAB211D8B7EBE7200C5C59</v>
      </c>
      <c r="C1098" s="75" t="s">
        <v>2105</v>
      </c>
      <c r="D1098" s="75" t="s">
        <v>2103</v>
      </c>
      <c r="E1098" s="92" t="s">
        <v>2104</v>
      </c>
      <c r="F1098" s="92">
        <v>1</v>
      </c>
      <c r="G1098" s="75">
        <v>1</v>
      </c>
      <c r="H1098" s="75"/>
      <c r="I1098" s="75"/>
      <c r="J1098" s="75"/>
      <c r="K1098" s="75" t="s">
        <v>162</v>
      </c>
      <c r="L1098" s="75" t="s">
        <v>509</v>
      </c>
      <c r="M1098" s="75" t="s">
        <v>535</v>
      </c>
      <c r="N1098" s="75" t="s">
        <v>509</v>
      </c>
      <c r="O1098" s="75" t="s">
        <v>535</v>
      </c>
      <c r="P1098" s="75" t="s">
        <v>1899</v>
      </c>
    </row>
    <row r="1099" spans="1:16">
      <c r="A1099" s="63" t="s">
        <v>4282</v>
      </c>
      <c r="B1099" s="14" t="str">
        <f>VLOOKUP(P1099,'护理记录单文书字典(数据)'!B$4:C$99,2,0)</f>
        <v>3B718C350CFAB211C196D23EFDAAC124</v>
      </c>
      <c r="C1099" s="75" t="s">
        <v>2046</v>
      </c>
      <c r="D1099" s="75" t="s">
        <v>2047</v>
      </c>
      <c r="E1099" s="92" t="s">
        <v>2048</v>
      </c>
      <c r="F1099" s="92">
        <v>1</v>
      </c>
      <c r="G1099" s="75">
        <v>1</v>
      </c>
      <c r="H1099" s="75"/>
      <c r="I1099" s="75"/>
      <c r="J1099" s="75"/>
      <c r="K1099" s="75" t="s">
        <v>162</v>
      </c>
      <c r="L1099" s="75" t="s">
        <v>509</v>
      </c>
      <c r="M1099" s="75" t="s">
        <v>535</v>
      </c>
      <c r="N1099" s="75" t="s">
        <v>509</v>
      </c>
      <c r="O1099" s="75" t="s">
        <v>535</v>
      </c>
      <c r="P1099" s="75" t="s">
        <v>1683</v>
      </c>
    </row>
    <row r="1100" spans="1:16">
      <c r="A1100" s="63" t="s">
        <v>4282</v>
      </c>
      <c r="B1100" s="14" t="str">
        <f>VLOOKUP(P1100,'护理记录单文书字典(数据)'!B$4:C$99,2,0)</f>
        <v>3B718C350CFAB211C196D23EFDAAC124</v>
      </c>
      <c r="C1100" s="75" t="s">
        <v>3682</v>
      </c>
      <c r="D1100" s="75" t="s">
        <v>3683</v>
      </c>
      <c r="E1100" s="92" t="s">
        <v>2048</v>
      </c>
      <c r="F1100" s="92">
        <v>1</v>
      </c>
      <c r="G1100" s="75">
        <v>1</v>
      </c>
      <c r="H1100" s="75"/>
      <c r="I1100" s="75"/>
      <c r="J1100" s="75"/>
      <c r="K1100" s="75" t="s">
        <v>162</v>
      </c>
      <c r="L1100" s="75" t="s">
        <v>509</v>
      </c>
      <c r="M1100" s="75" t="s">
        <v>535</v>
      </c>
      <c r="N1100" s="75" t="s">
        <v>509</v>
      </c>
      <c r="O1100" s="75" t="s">
        <v>535</v>
      </c>
      <c r="P1100" s="75" t="s">
        <v>1683</v>
      </c>
    </row>
    <row r="1101" spans="1:16">
      <c r="A1101" s="63" t="s">
        <v>4282</v>
      </c>
      <c r="B1101" s="14" t="str">
        <f>VLOOKUP(P1101,'护理记录单文书字典(数据)'!B$4:C$99,2,0)</f>
        <v>3B718C350CFAB211C196D23EFDAAC124</v>
      </c>
      <c r="C1101" s="75" t="s">
        <v>3684</v>
      </c>
      <c r="D1101" s="75" t="s">
        <v>1682</v>
      </c>
      <c r="E1101" s="92" t="s">
        <v>2052</v>
      </c>
      <c r="F1101" s="92">
        <v>1</v>
      </c>
      <c r="G1101" s="75">
        <v>1</v>
      </c>
      <c r="H1101" s="75" t="s">
        <v>1681</v>
      </c>
      <c r="I1101" s="75"/>
      <c r="J1101" s="75"/>
      <c r="K1101" s="75" t="s">
        <v>162</v>
      </c>
      <c r="L1101" s="75" t="s">
        <v>509</v>
      </c>
      <c r="M1101" s="75" t="s">
        <v>535</v>
      </c>
      <c r="N1101" s="75" t="s">
        <v>509</v>
      </c>
      <c r="O1101" s="75" t="s">
        <v>535</v>
      </c>
      <c r="P1101" s="75" t="s">
        <v>1683</v>
      </c>
    </row>
    <row r="1102" spans="1:16">
      <c r="A1102" s="63" t="s">
        <v>4282</v>
      </c>
      <c r="B1102" s="14" t="str">
        <f>VLOOKUP(P1102,'护理记录单文书字典(数据)'!B$4:C$99,2,0)</f>
        <v>3B718C350CFAB211C196D23EFDAAC124</v>
      </c>
      <c r="C1102" s="75" t="s">
        <v>3685</v>
      </c>
      <c r="D1102" s="75" t="s">
        <v>1917</v>
      </c>
      <c r="E1102" s="92" t="s">
        <v>2048</v>
      </c>
      <c r="F1102" s="92">
        <v>1</v>
      </c>
      <c r="G1102" s="75">
        <v>1</v>
      </c>
      <c r="H1102" s="75"/>
      <c r="I1102" s="75"/>
      <c r="J1102" s="75"/>
      <c r="K1102" s="75" t="s">
        <v>162</v>
      </c>
      <c r="L1102" s="75" t="s">
        <v>509</v>
      </c>
      <c r="M1102" s="75" t="s">
        <v>535</v>
      </c>
      <c r="N1102" s="75" t="s">
        <v>509</v>
      </c>
      <c r="O1102" s="75" t="s">
        <v>535</v>
      </c>
      <c r="P1102" s="75" t="s">
        <v>1683</v>
      </c>
    </row>
    <row r="1103" spans="1:16">
      <c r="A1103" s="63" t="s">
        <v>4282</v>
      </c>
      <c r="B1103" s="14" t="str">
        <f>VLOOKUP(P1103,'护理记录单文书字典(数据)'!B$4:C$99,2,0)</f>
        <v>3B718C350CFAB211C196D23EFDAAC124</v>
      </c>
      <c r="C1103" s="75" t="s">
        <v>3686</v>
      </c>
      <c r="D1103" s="75" t="s">
        <v>3687</v>
      </c>
      <c r="E1103" s="92" t="s">
        <v>2048</v>
      </c>
      <c r="F1103" s="92">
        <v>1</v>
      </c>
      <c r="G1103" s="75">
        <v>1</v>
      </c>
      <c r="H1103" s="75"/>
      <c r="I1103" s="75"/>
      <c r="J1103" s="75"/>
      <c r="K1103" s="75" t="s">
        <v>162</v>
      </c>
      <c r="L1103" s="75" t="s">
        <v>509</v>
      </c>
      <c r="M1103" s="75" t="s">
        <v>535</v>
      </c>
      <c r="N1103" s="75" t="s">
        <v>509</v>
      </c>
      <c r="O1103" s="75" t="s">
        <v>535</v>
      </c>
      <c r="P1103" s="75" t="s">
        <v>1683</v>
      </c>
    </row>
    <row r="1104" spans="1:16">
      <c r="A1104" s="63" t="s">
        <v>4282</v>
      </c>
      <c r="B1104" s="14" t="str">
        <f>VLOOKUP(P1104,'护理记录单文书字典(数据)'!B$4:C$99,2,0)</f>
        <v>3B718C350CFAB211C196D23EFDAAC124</v>
      </c>
      <c r="C1104" s="75" t="s">
        <v>3688</v>
      </c>
      <c r="D1104" s="75" t="s">
        <v>3689</v>
      </c>
      <c r="E1104" s="92" t="s">
        <v>2048</v>
      </c>
      <c r="F1104" s="92">
        <v>1</v>
      </c>
      <c r="G1104" s="75">
        <v>1</v>
      </c>
      <c r="H1104" s="75"/>
      <c r="I1104" s="75"/>
      <c r="J1104" s="75"/>
      <c r="K1104" s="75" t="s">
        <v>162</v>
      </c>
      <c r="L1104" s="75" t="s">
        <v>509</v>
      </c>
      <c r="M1104" s="75" t="s">
        <v>535</v>
      </c>
      <c r="N1104" s="75" t="s">
        <v>509</v>
      </c>
      <c r="O1104" s="75" t="s">
        <v>535</v>
      </c>
      <c r="P1104" s="75" t="s">
        <v>1683</v>
      </c>
    </row>
    <row r="1105" spans="1:16">
      <c r="A1105" s="63" t="s">
        <v>4282</v>
      </c>
      <c r="B1105" s="14" t="str">
        <f>VLOOKUP(P1105,'护理记录单文书字典(数据)'!B$4:C$99,2,0)</f>
        <v>3B718C350CFAB211C196D23EFDAAC124</v>
      </c>
      <c r="C1105" s="75" t="s">
        <v>2122</v>
      </c>
      <c r="D1105" s="75" t="s">
        <v>1093</v>
      </c>
      <c r="E1105" s="92" t="s">
        <v>2048</v>
      </c>
      <c r="F1105" s="92">
        <v>1</v>
      </c>
      <c r="G1105" s="75">
        <v>1</v>
      </c>
      <c r="H1105" s="75"/>
      <c r="I1105" s="75"/>
      <c r="J1105" s="75"/>
      <c r="K1105" s="75" t="s">
        <v>162</v>
      </c>
      <c r="L1105" s="75" t="s">
        <v>509</v>
      </c>
      <c r="M1105" s="75" t="s">
        <v>535</v>
      </c>
      <c r="N1105" s="75" t="s">
        <v>509</v>
      </c>
      <c r="O1105" s="75" t="s">
        <v>535</v>
      </c>
      <c r="P1105" s="75" t="s">
        <v>1683</v>
      </c>
    </row>
    <row r="1106" spans="1:16">
      <c r="A1106" s="63" t="s">
        <v>4282</v>
      </c>
      <c r="B1106" s="14" t="str">
        <f>VLOOKUP(P1106,'护理记录单文书字典(数据)'!B$4:C$99,2,0)</f>
        <v>3B718C350CFAB211C196D23EFDAAC124</v>
      </c>
      <c r="C1106" s="75" t="s">
        <v>3690</v>
      </c>
      <c r="D1106" s="75" t="s">
        <v>3691</v>
      </c>
      <c r="E1106" s="92" t="s">
        <v>2048</v>
      </c>
      <c r="F1106" s="92">
        <v>1</v>
      </c>
      <c r="G1106" s="75">
        <v>1</v>
      </c>
      <c r="H1106" s="75"/>
      <c r="I1106" s="75"/>
      <c r="J1106" s="75"/>
      <c r="K1106" s="75" t="s">
        <v>162</v>
      </c>
      <c r="L1106" s="75" t="s">
        <v>509</v>
      </c>
      <c r="M1106" s="75" t="s">
        <v>535</v>
      </c>
      <c r="N1106" s="75" t="s">
        <v>509</v>
      </c>
      <c r="O1106" s="75" t="s">
        <v>535</v>
      </c>
      <c r="P1106" s="75" t="s">
        <v>1683</v>
      </c>
    </row>
    <row r="1107" spans="1:16">
      <c r="A1107" s="63" t="s">
        <v>4282</v>
      </c>
      <c r="B1107" s="14" t="str">
        <f>VLOOKUP(P1107,'护理记录单文书字典(数据)'!B$4:C$99,2,0)</f>
        <v>3B718C350CFAB211C196D23EFDAAC124</v>
      </c>
      <c r="C1107" s="75" t="s">
        <v>3692</v>
      </c>
      <c r="D1107" s="75" t="s">
        <v>3693</v>
      </c>
      <c r="E1107" s="92" t="s">
        <v>2048</v>
      </c>
      <c r="F1107" s="92">
        <v>1</v>
      </c>
      <c r="G1107" s="75">
        <v>1</v>
      </c>
      <c r="H1107" s="75"/>
      <c r="I1107" s="75"/>
      <c r="J1107" s="75"/>
      <c r="K1107" s="75" t="s">
        <v>162</v>
      </c>
      <c r="L1107" s="75" t="s">
        <v>509</v>
      </c>
      <c r="M1107" s="75" t="s">
        <v>535</v>
      </c>
      <c r="N1107" s="75" t="s">
        <v>509</v>
      </c>
      <c r="O1107" s="75" t="s">
        <v>535</v>
      </c>
      <c r="P1107" s="75" t="s">
        <v>1683</v>
      </c>
    </row>
    <row r="1108" spans="1:16">
      <c r="A1108" s="63" t="s">
        <v>4282</v>
      </c>
      <c r="B1108" s="14" t="str">
        <f>VLOOKUP(P1108,'护理记录单文书字典(数据)'!B$4:C$99,2,0)</f>
        <v>3B718C350CFAB211C196D23EFDAAC124</v>
      </c>
      <c r="C1108" s="75" t="s">
        <v>3694</v>
      </c>
      <c r="D1108" s="75" t="s">
        <v>3695</v>
      </c>
      <c r="E1108" s="92" t="s">
        <v>2048</v>
      </c>
      <c r="F1108" s="92">
        <v>1</v>
      </c>
      <c r="G1108" s="75">
        <v>1</v>
      </c>
      <c r="H1108" s="75"/>
      <c r="I1108" s="75"/>
      <c r="J1108" s="75"/>
      <c r="K1108" s="75" t="s">
        <v>162</v>
      </c>
      <c r="L1108" s="75" t="s">
        <v>509</v>
      </c>
      <c r="M1108" s="75" t="s">
        <v>535</v>
      </c>
      <c r="N1108" s="75" t="s">
        <v>509</v>
      </c>
      <c r="O1108" s="75" t="s">
        <v>535</v>
      </c>
      <c r="P1108" s="75" t="s">
        <v>1683</v>
      </c>
    </row>
    <row r="1109" spans="1:16">
      <c r="A1109" s="63" t="s">
        <v>4282</v>
      </c>
      <c r="B1109" s="14" t="str">
        <f>VLOOKUP(P1109,'护理记录单文书字典(数据)'!B$4:C$99,2,0)</f>
        <v>3B718C350CFAB211C196D23EFDAAC124</v>
      </c>
      <c r="C1109" s="75" t="s">
        <v>3696</v>
      </c>
      <c r="D1109" s="75" t="s">
        <v>3697</v>
      </c>
      <c r="E1109" s="92" t="s">
        <v>2048</v>
      </c>
      <c r="F1109" s="92">
        <v>1</v>
      </c>
      <c r="G1109" s="75">
        <v>1</v>
      </c>
      <c r="H1109" s="75"/>
      <c r="I1109" s="75"/>
      <c r="J1109" s="75"/>
      <c r="K1109" s="75" t="s">
        <v>162</v>
      </c>
      <c r="L1109" s="75" t="s">
        <v>509</v>
      </c>
      <c r="M1109" s="75" t="s">
        <v>535</v>
      </c>
      <c r="N1109" s="75" t="s">
        <v>509</v>
      </c>
      <c r="O1109" s="75" t="s">
        <v>535</v>
      </c>
      <c r="P1109" s="75" t="s">
        <v>1683</v>
      </c>
    </row>
    <row r="1110" spans="1:16">
      <c r="A1110" s="63" t="s">
        <v>4282</v>
      </c>
      <c r="B1110" s="14" t="str">
        <f>VLOOKUP(P1110,'护理记录单文书字典(数据)'!B$4:C$99,2,0)</f>
        <v>3B718C350CFAB211C196D23EFDAAC124</v>
      </c>
      <c r="C1110" s="75" t="s">
        <v>2886</v>
      </c>
      <c r="D1110" s="75" t="s">
        <v>2887</v>
      </c>
      <c r="E1110" s="92" t="s">
        <v>2048</v>
      </c>
      <c r="F1110" s="92">
        <v>1</v>
      </c>
      <c r="G1110" s="75">
        <v>1</v>
      </c>
      <c r="H1110" s="75"/>
      <c r="I1110" s="75"/>
      <c r="J1110" s="75"/>
      <c r="K1110" s="75" t="s">
        <v>162</v>
      </c>
      <c r="L1110" s="75" t="s">
        <v>509</v>
      </c>
      <c r="M1110" s="75" t="s">
        <v>535</v>
      </c>
      <c r="N1110" s="75" t="s">
        <v>509</v>
      </c>
      <c r="O1110" s="75" t="s">
        <v>535</v>
      </c>
      <c r="P1110" s="75" t="s">
        <v>1683</v>
      </c>
    </row>
    <row r="1111" spans="1:16">
      <c r="A1111" s="63" t="s">
        <v>4282</v>
      </c>
      <c r="B1111" s="14" t="str">
        <f>VLOOKUP(P1111,'护理记录单文书字典(数据)'!B$4:C$99,2,0)</f>
        <v>3B718C350CFAB211C196D23EFDAAC124</v>
      </c>
      <c r="C1111" s="75" t="s">
        <v>3698</v>
      </c>
      <c r="D1111" s="75" t="s">
        <v>3699</v>
      </c>
      <c r="E1111" s="92" t="s">
        <v>2048</v>
      </c>
      <c r="F1111" s="92">
        <v>1</v>
      </c>
      <c r="G1111" s="75">
        <v>1</v>
      </c>
      <c r="H1111" s="75"/>
      <c r="I1111" s="75"/>
      <c r="J1111" s="75"/>
      <c r="K1111" s="75" t="s">
        <v>162</v>
      </c>
      <c r="L1111" s="75" t="s">
        <v>509</v>
      </c>
      <c r="M1111" s="75" t="s">
        <v>535</v>
      </c>
      <c r="N1111" s="75" t="s">
        <v>509</v>
      </c>
      <c r="O1111" s="75" t="s">
        <v>535</v>
      </c>
      <c r="P1111" s="75" t="s">
        <v>1683</v>
      </c>
    </row>
    <row r="1112" spans="1:16">
      <c r="A1112" s="63" t="s">
        <v>4282</v>
      </c>
      <c r="B1112" s="14" t="str">
        <f>VLOOKUP(P1112,'护理记录单文书字典(数据)'!B$4:C$99,2,0)</f>
        <v>3B718C350CFAB211C196D23EFDAAC124</v>
      </c>
      <c r="C1112" s="75" t="s">
        <v>2105</v>
      </c>
      <c r="D1112" s="75" t="s">
        <v>2103</v>
      </c>
      <c r="E1112" s="92" t="s">
        <v>2104</v>
      </c>
      <c r="F1112" s="92">
        <v>1</v>
      </c>
      <c r="G1112" s="75">
        <v>1</v>
      </c>
      <c r="H1112" s="75"/>
      <c r="I1112" s="75"/>
      <c r="J1112" s="75"/>
      <c r="K1112" s="75" t="s">
        <v>162</v>
      </c>
      <c r="L1112" s="75" t="s">
        <v>509</v>
      </c>
      <c r="M1112" s="75" t="s">
        <v>535</v>
      </c>
      <c r="N1112" s="75" t="s">
        <v>509</v>
      </c>
      <c r="O1112" s="75" t="s">
        <v>535</v>
      </c>
      <c r="P1112" s="75" t="s">
        <v>1683</v>
      </c>
    </row>
    <row r="1113" spans="1:16">
      <c r="A1113" s="63" t="s">
        <v>4282</v>
      </c>
      <c r="B1113" s="14" t="str">
        <f>VLOOKUP(P1113,'护理记录单文书字典(数据)'!B$4:C$99,2,0)</f>
        <v>F08A84350CFAB2116D8D65FADDD59D5E</v>
      </c>
      <c r="C1113" s="75" t="s">
        <v>2046</v>
      </c>
      <c r="D1113" s="75" t="s">
        <v>2047</v>
      </c>
      <c r="E1113" s="92" t="s">
        <v>2048</v>
      </c>
      <c r="F1113" s="92">
        <v>1</v>
      </c>
      <c r="G1113" s="75">
        <v>1</v>
      </c>
      <c r="H1113" s="75"/>
      <c r="I1113" s="75"/>
      <c r="J1113" s="75"/>
      <c r="K1113" s="75" t="s">
        <v>162</v>
      </c>
      <c r="L1113" s="75" t="s">
        <v>509</v>
      </c>
      <c r="M1113" s="75" t="s">
        <v>535</v>
      </c>
      <c r="N1113" s="75" t="s">
        <v>509</v>
      </c>
      <c r="O1113" s="75" t="s">
        <v>535</v>
      </c>
      <c r="P1113" s="75" t="s">
        <v>3700</v>
      </c>
    </row>
    <row r="1114" spans="1:16">
      <c r="A1114" s="63" t="s">
        <v>4282</v>
      </c>
      <c r="B1114" s="14" t="str">
        <f>VLOOKUP(P1114,'护理记录单文书字典(数据)'!B$4:C$99,2,0)</f>
        <v>F08A84350CFAB2116D8D65FADDD59D5E</v>
      </c>
      <c r="C1114" s="75" t="s">
        <v>2856</v>
      </c>
      <c r="D1114" s="75" t="s">
        <v>3701</v>
      </c>
      <c r="E1114" s="92" t="s">
        <v>2048</v>
      </c>
      <c r="F1114" s="92">
        <v>1</v>
      </c>
      <c r="G1114" s="75">
        <v>1</v>
      </c>
      <c r="H1114" s="75"/>
      <c r="I1114" s="75"/>
      <c r="J1114" s="75"/>
      <c r="K1114" s="75" t="s">
        <v>162</v>
      </c>
      <c r="L1114" s="75" t="s">
        <v>509</v>
      </c>
      <c r="M1114" s="75" t="s">
        <v>535</v>
      </c>
      <c r="N1114" s="75" t="s">
        <v>509</v>
      </c>
      <c r="O1114" s="75" t="s">
        <v>535</v>
      </c>
      <c r="P1114" s="75" t="s">
        <v>3700</v>
      </c>
    </row>
    <row r="1115" spans="1:16">
      <c r="A1115" s="63" t="s">
        <v>4282</v>
      </c>
      <c r="B1115" s="14" t="str">
        <f>VLOOKUP(P1115,'护理记录单文书字典(数据)'!B$4:C$99,2,0)</f>
        <v>F08A84350CFAB2116D8D65FADDD59D5E</v>
      </c>
      <c r="C1115" s="75" t="s">
        <v>3702</v>
      </c>
      <c r="D1115" s="75" t="s">
        <v>1010</v>
      </c>
      <c r="E1115" s="92" t="s">
        <v>2048</v>
      </c>
      <c r="F1115" s="92">
        <v>1</v>
      </c>
      <c r="G1115" s="75">
        <v>1</v>
      </c>
      <c r="H1115" s="75"/>
      <c r="I1115" s="75"/>
      <c r="J1115" s="75"/>
      <c r="K1115" s="75" t="s">
        <v>162</v>
      </c>
      <c r="L1115" s="75" t="s">
        <v>509</v>
      </c>
      <c r="M1115" s="75" t="s">
        <v>535</v>
      </c>
      <c r="N1115" s="75" t="s">
        <v>509</v>
      </c>
      <c r="O1115" s="75" t="s">
        <v>535</v>
      </c>
      <c r="P1115" s="75" t="s">
        <v>3700</v>
      </c>
    </row>
    <row r="1116" spans="1:16">
      <c r="A1116" s="63" t="s">
        <v>4282</v>
      </c>
      <c r="B1116" s="14" t="str">
        <f>VLOOKUP(P1116,'护理记录单文书字典(数据)'!B$4:C$99,2,0)</f>
        <v>F08A84350CFAB2116D8D65FADDD59D5E</v>
      </c>
      <c r="C1116" s="75" t="s">
        <v>3703</v>
      </c>
      <c r="D1116" s="75" t="s">
        <v>3704</v>
      </c>
      <c r="E1116" s="92" t="s">
        <v>2048</v>
      </c>
      <c r="F1116" s="92">
        <v>1</v>
      </c>
      <c r="G1116" s="75">
        <v>1</v>
      </c>
      <c r="H1116" s="75"/>
      <c r="I1116" s="75"/>
      <c r="J1116" s="75"/>
      <c r="K1116" s="75" t="s">
        <v>162</v>
      </c>
      <c r="L1116" s="75" t="s">
        <v>509</v>
      </c>
      <c r="M1116" s="75" t="s">
        <v>535</v>
      </c>
      <c r="N1116" s="75" t="s">
        <v>509</v>
      </c>
      <c r="O1116" s="75" t="s">
        <v>535</v>
      </c>
      <c r="P1116" s="75" t="s">
        <v>3700</v>
      </c>
    </row>
    <row r="1117" spans="1:16">
      <c r="A1117" s="63" t="s">
        <v>4282</v>
      </c>
      <c r="B1117" s="14" t="str">
        <f>VLOOKUP(P1117,'护理记录单文书字典(数据)'!B$4:C$99,2,0)</f>
        <v>F08A84350CFAB2116D8D65FADDD59D5E</v>
      </c>
      <c r="C1117" s="75" t="s">
        <v>3705</v>
      </c>
      <c r="D1117" s="75" t="s">
        <v>3706</v>
      </c>
      <c r="E1117" s="92" t="s">
        <v>2048</v>
      </c>
      <c r="F1117" s="92">
        <v>1</v>
      </c>
      <c r="G1117" s="75">
        <v>1</v>
      </c>
      <c r="H1117" s="75"/>
      <c r="I1117" s="75"/>
      <c r="J1117" s="75"/>
      <c r="K1117" s="75" t="s">
        <v>162</v>
      </c>
      <c r="L1117" s="75" t="s">
        <v>509</v>
      </c>
      <c r="M1117" s="75" t="s">
        <v>535</v>
      </c>
      <c r="N1117" s="75" t="s">
        <v>509</v>
      </c>
      <c r="O1117" s="75" t="s">
        <v>535</v>
      </c>
      <c r="P1117" s="75" t="s">
        <v>3700</v>
      </c>
    </row>
    <row r="1118" spans="1:16">
      <c r="A1118" s="63" t="s">
        <v>4282</v>
      </c>
      <c r="B1118" s="14" t="str">
        <f>VLOOKUP(P1118,'护理记录单文书字典(数据)'!B$4:C$99,2,0)</f>
        <v>F08A84350CFAB2116D8D65FADDD59D5E</v>
      </c>
      <c r="C1118" s="75" t="s">
        <v>3707</v>
      </c>
      <c r="D1118" s="75" t="s">
        <v>3708</v>
      </c>
      <c r="E1118" s="92" t="s">
        <v>2048</v>
      </c>
      <c r="F1118" s="92">
        <v>1</v>
      </c>
      <c r="G1118" s="75">
        <v>1</v>
      </c>
      <c r="H1118" s="75"/>
      <c r="I1118" s="75"/>
      <c r="J1118" s="75"/>
      <c r="K1118" s="75" t="s">
        <v>162</v>
      </c>
      <c r="L1118" s="75" t="s">
        <v>509</v>
      </c>
      <c r="M1118" s="75" t="s">
        <v>535</v>
      </c>
      <c r="N1118" s="75" t="s">
        <v>509</v>
      </c>
      <c r="O1118" s="75" t="s">
        <v>535</v>
      </c>
      <c r="P1118" s="75" t="s">
        <v>3700</v>
      </c>
    </row>
    <row r="1119" spans="1:16">
      <c r="A1119" s="63" t="s">
        <v>4282</v>
      </c>
      <c r="B1119" s="14" t="str">
        <f>VLOOKUP(P1119,'护理记录单文书字典(数据)'!B$4:C$99,2,0)</f>
        <v>DD567D350CFAB21109A725EA623D6041</v>
      </c>
      <c r="C1119" s="75" t="s">
        <v>2046</v>
      </c>
      <c r="D1119" s="75" t="s">
        <v>2047</v>
      </c>
      <c r="E1119" s="92" t="s">
        <v>2048</v>
      </c>
      <c r="F1119" s="92">
        <v>1</v>
      </c>
      <c r="G1119" s="75">
        <v>1</v>
      </c>
      <c r="H1119" s="75"/>
      <c r="I1119" s="75"/>
      <c r="J1119" s="75"/>
      <c r="K1119" s="75" t="s">
        <v>162</v>
      </c>
      <c r="L1119" s="75" t="s">
        <v>509</v>
      </c>
      <c r="M1119" s="75" t="s">
        <v>535</v>
      </c>
      <c r="N1119" s="75" t="s">
        <v>509</v>
      </c>
      <c r="O1119" s="75" t="s">
        <v>535</v>
      </c>
      <c r="P1119" s="75" t="s">
        <v>1637</v>
      </c>
    </row>
    <row r="1120" spans="1:16">
      <c r="A1120" s="63" t="s">
        <v>4282</v>
      </c>
      <c r="B1120" s="14" t="str">
        <f>VLOOKUP(P1120,'护理记录单文书字典(数据)'!B$4:C$99,2,0)</f>
        <v>DD567D350CFAB21109A725EA623D6041</v>
      </c>
      <c r="C1120" s="75" t="s">
        <v>3709</v>
      </c>
      <c r="D1120" s="75" t="s">
        <v>1635</v>
      </c>
      <c r="E1120" s="92" t="s">
        <v>2052</v>
      </c>
      <c r="F1120" s="92">
        <v>1</v>
      </c>
      <c r="G1120" s="75">
        <v>1</v>
      </c>
      <c r="H1120" s="75" t="s">
        <v>1634</v>
      </c>
      <c r="I1120" s="75"/>
      <c r="J1120" s="75"/>
      <c r="K1120" s="75" t="s">
        <v>162</v>
      </c>
      <c r="L1120" s="75" t="s">
        <v>509</v>
      </c>
      <c r="M1120" s="75" t="s">
        <v>535</v>
      </c>
      <c r="N1120" s="75" t="s">
        <v>509</v>
      </c>
      <c r="O1120" s="75" t="s">
        <v>535</v>
      </c>
      <c r="P1120" s="75" t="s">
        <v>1637</v>
      </c>
    </row>
    <row r="1121" spans="1:16">
      <c r="A1121" s="63" t="s">
        <v>4282</v>
      </c>
      <c r="B1121" s="14" t="str">
        <f>VLOOKUP(P1121,'护理记录单文书字典(数据)'!B$4:C$99,2,0)</f>
        <v>DD567D350CFAB21109A725EA623D6041</v>
      </c>
      <c r="C1121" s="75" t="s">
        <v>3710</v>
      </c>
      <c r="D1121" s="75" t="s">
        <v>1641</v>
      </c>
      <c r="E1121" s="92" t="s">
        <v>2052</v>
      </c>
      <c r="F1121" s="92">
        <v>1</v>
      </c>
      <c r="G1121" s="75">
        <v>1</v>
      </c>
      <c r="H1121" s="75" t="s">
        <v>1640</v>
      </c>
      <c r="I1121" s="75"/>
      <c r="J1121" s="75"/>
      <c r="K1121" s="75" t="s">
        <v>162</v>
      </c>
      <c r="L1121" s="75" t="s">
        <v>509</v>
      </c>
      <c r="M1121" s="75" t="s">
        <v>535</v>
      </c>
      <c r="N1121" s="75" t="s">
        <v>509</v>
      </c>
      <c r="O1121" s="75" t="s">
        <v>535</v>
      </c>
      <c r="P1121" s="75" t="s">
        <v>1637</v>
      </c>
    </row>
    <row r="1122" spans="1:16">
      <c r="A1122" s="63" t="s">
        <v>4282</v>
      </c>
      <c r="B1122" s="14" t="str">
        <f>VLOOKUP(P1122,'护理记录单文书字典(数据)'!B$4:C$99,2,0)</f>
        <v>DD567D350CFAB21109A725EA623D6041</v>
      </c>
      <c r="C1122" s="75" t="s">
        <v>3711</v>
      </c>
      <c r="D1122" s="75" t="s">
        <v>1647</v>
      </c>
      <c r="E1122" s="92" t="s">
        <v>2052</v>
      </c>
      <c r="F1122" s="92">
        <v>1</v>
      </c>
      <c r="G1122" s="75">
        <v>1</v>
      </c>
      <c r="H1122" s="75" t="s">
        <v>1646</v>
      </c>
      <c r="I1122" s="75"/>
      <c r="J1122" s="75"/>
      <c r="K1122" s="75" t="s">
        <v>162</v>
      </c>
      <c r="L1122" s="75" t="s">
        <v>509</v>
      </c>
      <c r="M1122" s="75" t="s">
        <v>535</v>
      </c>
      <c r="N1122" s="75" t="s">
        <v>509</v>
      </c>
      <c r="O1122" s="75" t="s">
        <v>535</v>
      </c>
      <c r="P1122" s="75" t="s">
        <v>1637</v>
      </c>
    </row>
    <row r="1123" spans="1:16">
      <c r="A1123" s="63" t="s">
        <v>4282</v>
      </c>
      <c r="B1123" s="14" t="str">
        <f>VLOOKUP(P1123,'护理记录单文书字典(数据)'!B$4:C$99,2,0)</f>
        <v>DD567D350CFAB21109A725EA623D6041</v>
      </c>
      <c r="C1123" s="75" t="s">
        <v>3712</v>
      </c>
      <c r="D1123" s="75" t="s">
        <v>1650</v>
      </c>
      <c r="E1123" s="92" t="s">
        <v>2052</v>
      </c>
      <c r="F1123" s="92">
        <v>1</v>
      </c>
      <c r="G1123" s="75">
        <v>1</v>
      </c>
      <c r="H1123" s="75" t="s">
        <v>1649</v>
      </c>
      <c r="I1123" s="75"/>
      <c r="J1123" s="75"/>
      <c r="K1123" s="75" t="s">
        <v>162</v>
      </c>
      <c r="L1123" s="75" t="s">
        <v>509</v>
      </c>
      <c r="M1123" s="75" t="s">
        <v>535</v>
      </c>
      <c r="N1123" s="75" t="s">
        <v>509</v>
      </c>
      <c r="O1123" s="75" t="s">
        <v>535</v>
      </c>
      <c r="P1123" s="75" t="s">
        <v>1637</v>
      </c>
    </row>
    <row r="1124" spans="1:16">
      <c r="A1124" s="63" t="s">
        <v>4282</v>
      </c>
      <c r="B1124" s="14" t="str">
        <f>VLOOKUP(P1124,'护理记录单文书字典(数据)'!B$4:C$99,2,0)</f>
        <v>DD567D350CFAB21109A725EA623D6041</v>
      </c>
      <c r="C1124" s="75" t="s">
        <v>3713</v>
      </c>
      <c r="D1124" s="75" t="s">
        <v>1655</v>
      </c>
      <c r="E1124" s="92" t="s">
        <v>2052</v>
      </c>
      <c r="F1124" s="92">
        <v>1</v>
      </c>
      <c r="G1124" s="75">
        <v>1</v>
      </c>
      <c r="H1124" s="75" t="s">
        <v>1654</v>
      </c>
      <c r="I1124" s="75"/>
      <c r="J1124" s="75"/>
      <c r="K1124" s="75" t="s">
        <v>162</v>
      </c>
      <c r="L1124" s="75" t="s">
        <v>509</v>
      </c>
      <c r="M1124" s="75" t="s">
        <v>535</v>
      </c>
      <c r="N1124" s="75" t="s">
        <v>509</v>
      </c>
      <c r="O1124" s="75" t="s">
        <v>535</v>
      </c>
      <c r="P1124" s="75" t="s">
        <v>1637</v>
      </c>
    </row>
    <row r="1125" spans="1:16">
      <c r="A1125" s="63" t="s">
        <v>4282</v>
      </c>
      <c r="B1125" s="14" t="str">
        <f>VLOOKUP(P1125,'护理记录单文书字典(数据)'!B$4:C$99,2,0)</f>
        <v>DD567D350CFAB21109A725EA623D6041</v>
      </c>
      <c r="C1125" s="75" t="s">
        <v>3714</v>
      </c>
      <c r="D1125" s="75" t="s">
        <v>1659</v>
      </c>
      <c r="E1125" s="92" t="s">
        <v>2052</v>
      </c>
      <c r="F1125" s="92">
        <v>1</v>
      </c>
      <c r="G1125" s="75">
        <v>1</v>
      </c>
      <c r="H1125" s="75" t="s">
        <v>1658</v>
      </c>
      <c r="I1125" s="75"/>
      <c r="J1125" s="75"/>
      <c r="K1125" s="75" t="s">
        <v>162</v>
      </c>
      <c r="L1125" s="75" t="s">
        <v>509</v>
      </c>
      <c r="M1125" s="75" t="s">
        <v>535</v>
      </c>
      <c r="N1125" s="75" t="s">
        <v>509</v>
      </c>
      <c r="O1125" s="75" t="s">
        <v>535</v>
      </c>
      <c r="P1125" s="75" t="s">
        <v>1637</v>
      </c>
    </row>
    <row r="1126" spans="1:16">
      <c r="A1126" s="63" t="s">
        <v>4282</v>
      </c>
      <c r="B1126" s="14" t="str">
        <f>VLOOKUP(P1126,'护理记录单文书字典(数据)'!B$4:C$99,2,0)</f>
        <v>DD567D350CFAB21109A725EA623D6041</v>
      </c>
      <c r="C1126" s="75" t="s">
        <v>3715</v>
      </c>
      <c r="D1126" s="75" t="s">
        <v>1664</v>
      </c>
      <c r="E1126" s="92" t="s">
        <v>2052</v>
      </c>
      <c r="F1126" s="92">
        <v>1</v>
      </c>
      <c r="G1126" s="75">
        <v>1</v>
      </c>
      <c r="H1126" s="75" t="s">
        <v>1663</v>
      </c>
      <c r="I1126" s="75"/>
      <c r="J1126" s="75"/>
      <c r="K1126" s="75" t="s">
        <v>162</v>
      </c>
      <c r="L1126" s="75" t="s">
        <v>509</v>
      </c>
      <c r="M1126" s="75" t="s">
        <v>535</v>
      </c>
      <c r="N1126" s="75" t="s">
        <v>509</v>
      </c>
      <c r="O1126" s="75" t="s">
        <v>535</v>
      </c>
      <c r="P1126" s="75" t="s">
        <v>1637</v>
      </c>
    </row>
    <row r="1127" spans="1:16">
      <c r="A1127" s="63" t="s">
        <v>4282</v>
      </c>
      <c r="B1127" s="14" t="str">
        <f>VLOOKUP(P1127,'护理记录单文书字典(数据)'!B$4:C$99,2,0)</f>
        <v>DD567D350CFAB21109A725EA623D6041</v>
      </c>
      <c r="C1127" s="75" t="s">
        <v>3716</v>
      </c>
      <c r="D1127" s="75" t="s">
        <v>1676</v>
      </c>
      <c r="E1127" s="92" t="s">
        <v>2052</v>
      </c>
      <c r="F1127" s="92">
        <v>1</v>
      </c>
      <c r="G1127" s="75">
        <v>1</v>
      </c>
      <c r="H1127" s="75" t="s">
        <v>1675</v>
      </c>
      <c r="I1127" s="75"/>
      <c r="J1127" s="75"/>
      <c r="K1127" s="75" t="s">
        <v>162</v>
      </c>
      <c r="L1127" s="75" t="s">
        <v>509</v>
      </c>
      <c r="M1127" s="75" t="s">
        <v>535</v>
      </c>
      <c r="N1127" s="75" t="s">
        <v>509</v>
      </c>
      <c r="O1127" s="75" t="s">
        <v>535</v>
      </c>
      <c r="P1127" s="75" t="s">
        <v>1637</v>
      </c>
    </row>
    <row r="1128" spans="1:16">
      <c r="A1128" s="63" t="s">
        <v>4282</v>
      </c>
      <c r="B1128" s="14" t="str">
        <f>VLOOKUP(P1128,'护理记录单文书字典(数据)'!B$4:C$99,2,0)</f>
        <v>DD567D350CFAB21109A725EA623D6041</v>
      </c>
      <c r="C1128" s="75" t="s">
        <v>3717</v>
      </c>
      <c r="D1128" s="75" t="s">
        <v>3718</v>
      </c>
      <c r="E1128" s="92" t="s">
        <v>2048</v>
      </c>
      <c r="F1128" s="92">
        <v>1</v>
      </c>
      <c r="G1128" s="75">
        <v>1</v>
      </c>
      <c r="H1128" s="75"/>
      <c r="I1128" s="75"/>
      <c r="J1128" s="75"/>
      <c r="K1128" s="75" t="s">
        <v>162</v>
      </c>
      <c r="L1128" s="75" t="s">
        <v>509</v>
      </c>
      <c r="M1128" s="75" t="s">
        <v>535</v>
      </c>
      <c r="N1128" s="75" t="s">
        <v>509</v>
      </c>
      <c r="O1128" s="75" t="s">
        <v>535</v>
      </c>
      <c r="P1128" s="75" t="s">
        <v>1637</v>
      </c>
    </row>
    <row r="1129" spans="1:16">
      <c r="A1129" s="63" t="s">
        <v>4282</v>
      </c>
      <c r="B1129" s="14" t="str">
        <f>VLOOKUP(P1129,'护理记录单文书字典(数据)'!B$4:C$99,2,0)</f>
        <v>DD567D350CFAB21109A725EA623D6041</v>
      </c>
      <c r="C1129" s="75" t="s">
        <v>3719</v>
      </c>
      <c r="D1129" s="75" t="s">
        <v>3720</v>
      </c>
      <c r="E1129" s="92" t="s">
        <v>2048</v>
      </c>
      <c r="F1129" s="92">
        <v>1</v>
      </c>
      <c r="G1129" s="75">
        <v>1</v>
      </c>
      <c r="H1129" s="75"/>
      <c r="I1129" s="75"/>
      <c r="J1129" s="75"/>
      <c r="K1129" s="75" t="s">
        <v>162</v>
      </c>
      <c r="L1129" s="75" t="s">
        <v>509</v>
      </c>
      <c r="M1129" s="75" t="s">
        <v>535</v>
      </c>
      <c r="N1129" s="75" t="s">
        <v>509</v>
      </c>
      <c r="O1129" s="75" t="s">
        <v>535</v>
      </c>
      <c r="P1129" s="75" t="s">
        <v>1637</v>
      </c>
    </row>
    <row r="1130" spans="1:16">
      <c r="A1130" s="63" t="s">
        <v>4282</v>
      </c>
      <c r="B1130" s="14" t="str">
        <f>VLOOKUP(P1130,'护理记录单文书字典(数据)'!B$4:C$99,2,0)</f>
        <v>DD567D350CFAB21109A725EA623D6041</v>
      </c>
      <c r="C1130" s="75" t="s">
        <v>3721</v>
      </c>
      <c r="D1130" s="75" t="s">
        <v>3722</v>
      </c>
      <c r="E1130" s="92" t="s">
        <v>2048</v>
      </c>
      <c r="F1130" s="92">
        <v>1</v>
      </c>
      <c r="G1130" s="75">
        <v>1</v>
      </c>
      <c r="H1130" s="75"/>
      <c r="I1130" s="75"/>
      <c r="J1130" s="75"/>
      <c r="K1130" s="75" t="s">
        <v>162</v>
      </c>
      <c r="L1130" s="75" t="s">
        <v>509</v>
      </c>
      <c r="M1130" s="75" t="s">
        <v>535</v>
      </c>
      <c r="N1130" s="75" t="s">
        <v>509</v>
      </c>
      <c r="O1130" s="75" t="s">
        <v>535</v>
      </c>
      <c r="P1130" s="75" t="s">
        <v>1637</v>
      </c>
    </row>
    <row r="1131" spans="1:16">
      <c r="A1131" s="63" t="s">
        <v>4282</v>
      </c>
      <c r="B1131" s="14" t="str">
        <f>VLOOKUP(P1131,'护理记录单文书字典(数据)'!B$4:C$99,2,0)</f>
        <v>DD567D350CFAB21109A725EA623D6041</v>
      </c>
      <c r="C1131" s="75" t="s">
        <v>3723</v>
      </c>
      <c r="D1131" s="75" t="s">
        <v>3724</v>
      </c>
      <c r="E1131" s="92" t="s">
        <v>2048</v>
      </c>
      <c r="F1131" s="92">
        <v>1</v>
      </c>
      <c r="G1131" s="75">
        <v>1</v>
      </c>
      <c r="H1131" s="75"/>
      <c r="I1131" s="75"/>
      <c r="J1131" s="75"/>
      <c r="K1131" s="75" t="s">
        <v>162</v>
      </c>
      <c r="L1131" s="75" t="s">
        <v>509</v>
      </c>
      <c r="M1131" s="75" t="s">
        <v>535</v>
      </c>
      <c r="N1131" s="75" t="s">
        <v>509</v>
      </c>
      <c r="O1131" s="75" t="s">
        <v>535</v>
      </c>
      <c r="P1131" s="75" t="s">
        <v>1637</v>
      </c>
    </row>
    <row r="1132" spans="1:16">
      <c r="A1132" s="63" t="s">
        <v>4282</v>
      </c>
      <c r="B1132" s="14" t="str">
        <f>VLOOKUP(P1132,'护理记录单文书字典(数据)'!B$4:C$99,2,0)</f>
        <v>DD567D350CFAB21109A725EA623D6041</v>
      </c>
      <c r="C1132" s="75" t="s">
        <v>3725</v>
      </c>
      <c r="D1132" s="75" t="s">
        <v>3726</v>
      </c>
      <c r="E1132" s="92" t="s">
        <v>2048</v>
      </c>
      <c r="F1132" s="92">
        <v>1</v>
      </c>
      <c r="G1132" s="75">
        <v>1</v>
      </c>
      <c r="H1132" s="75"/>
      <c r="I1132" s="75"/>
      <c r="J1132" s="75"/>
      <c r="K1132" s="75" t="s">
        <v>162</v>
      </c>
      <c r="L1132" s="75" t="s">
        <v>509</v>
      </c>
      <c r="M1132" s="75" t="s">
        <v>535</v>
      </c>
      <c r="N1132" s="75" t="s">
        <v>509</v>
      </c>
      <c r="O1132" s="75" t="s">
        <v>535</v>
      </c>
      <c r="P1132" s="75" t="s">
        <v>1637</v>
      </c>
    </row>
    <row r="1133" spans="1:16">
      <c r="A1133" s="63" t="s">
        <v>4282</v>
      </c>
      <c r="B1133" s="14" t="str">
        <f>VLOOKUP(P1133,'护理记录单文书字典(数据)'!B$4:C$99,2,0)</f>
        <v>DD567D350CFAB21109A725EA623D6041</v>
      </c>
      <c r="C1133" s="75" t="s">
        <v>2850</v>
      </c>
      <c r="D1133" s="75" t="s">
        <v>2075</v>
      </c>
      <c r="E1133" s="92" t="s">
        <v>2048</v>
      </c>
      <c r="F1133" s="92">
        <v>1</v>
      </c>
      <c r="G1133" s="75">
        <v>1</v>
      </c>
      <c r="H1133" s="75"/>
      <c r="I1133" s="75"/>
      <c r="J1133" s="75"/>
      <c r="K1133" s="75" t="s">
        <v>162</v>
      </c>
      <c r="L1133" s="75" t="s">
        <v>509</v>
      </c>
      <c r="M1133" s="75" t="s">
        <v>535</v>
      </c>
      <c r="N1133" s="75" t="s">
        <v>509</v>
      </c>
      <c r="O1133" s="75" t="s">
        <v>535</v>
      </c>
      <c r="P1133" s="75" t="s">
        <v>1637</v>
      </c>
    </row>
    <row r="1134" spans="1:16">
      <c r="A1134" s="63" t="s">
        <v>4282</v>
      </c>
      <c r="B1134" s="14" t="str">
        <f>VLOOKUP(P1134,'护理记录单文书字典(数据)'!B$4:C$99,2,0)</f>
        <v>DD567D350CFAB21109A725EA623D6041</v>
      </c>
      <c r="C1134" s="75" t="s">
        <v>3727</v>
      </c>
      <c r="D1134" s="75" t="s">
        <v>3728</v>
      </c>
      <c r="E1134" s="92" t="s">
        <v>2048</v>
      </c>
      <c r="F1134" s="92">
        <v>1</v>
      </c>
      <c r="G1134" s="75">
        <v>1</v>
      </c>
      <c r="H1134" s="75"/>
      <c r="I1134" s="75"/>
      <c r="J1134" s="75"/>
      <c r="K1134" s="75" t="s">
        <v>162</v>
      </c>
      <c r="L1134" s="75" t="s">
        <v>509</v>
      </c>
      <c r="M1134" s="75" t="s">
        <v>535</v>
      </c>
      <c r="N1134" s="75" t="s">
        <v>509</v>
      </c>
      <c r="O1134" s="75" t="s">
        <v>535</v>
      </c>
      <c r="P1134" s="75" t="s">
        <v>1637</v>
      </c>
    </row>
    <row r="1135" spans="1:16">
      <c r="A1135" s="63" t="s">
        <v>4282</v>
      </c>
      <c r="B1135" s="14" t="str">
        <f>VLOOKUP(P1135,'护理记录单文书字典(数据)'!B$4:C$99,2,0)</f>
        <v>DD567D350CFAB21109A725EA623D6041</v>
      </c>
      <c r="C1135" s="75" t="s">
        <v>3729</v>
      </c>
      <c r="D1135" s="75" t="s">
        <v>3730</v>
      </c>
      <c r="E1135" s="92" t="s">
        <v>2048</v>
      </c>
      <c r="F1135" s="92">
        <v>1</v>
      </c>
      <c r="G1135" s="75">
        <v>1</v>
      </c>
      <c r="H1135" s="75"/>
      <c r="I1135" s="75"/>
      <c r="J1135" s="75"/>
      <c r="K1135" s="75" t="s">
        <v>162</v>
      </c>
      <c r="L1135" s="75" t="s">
        <v>509</v>
      </c>
      <c r="M1135" s="75" t="s">
        <v>535</v>
      </c>
      <c r="N1135" s="75" t="s">
        <v>509</v>
      </c>
      <c r="O1135" s="75" t="s">
        <v>535</v>
      </c>
      <c r="P1135" s="75" t="s">
        <v>1637</v>
      </c>
    </row>
    <row r="1136" spans="1:16">
      <c r="A1136" s="63" t="s">
        <v>4282</v>
      </c>
      <c r="B1136" s="14" t="str">
        <f>VLOOKUP(P1136,'护理记录单文书字典(数据)'!B$4:C$99,2,0)</f>
        <v>DD567D350CFAB21109A725EA623D6041</v>
      </c>
      <c r="C1136" s="75" t="s">
        <v>3731</v>
      </c>
      <c r="D1136" s="75" t="s">
        <v>3732</v>
      </c>
      <c r="E1136" s="92" t="s">
        <v>2048</v>
      </c>
      <c r="F1136" s="92">
        <v>1</v>
      </c>
      <c r="G1136" s="75">
        <v>1</v>
      </c>
      <c r="H1136" s="75"/>
      <c r="I1136" s="75"/>
      <c r="J1136" s="75"/>
      <c r="K1136" s="75" t="s">
        <v>162</v>
      </c>
      <c r="L1136" s="75" t="s">
        <v>509</v>
      </c>
      <c r="M1136" s="75" t="s">
        <v>535</v>
      </c>
      <c r="N1136" s="75" t="s">
        <v>509</v>
      </c>
      <c r="O1136" s="75" t="s">
        <v>535</v>
      </c>
      <c r="P1136" s="75" t="s">
        <v>1637</v>
      </c>
    </row>
    <row r="1137" spans="1:16">
      <c r="A1137" s="63" t="s">
        <v>4282</v>
      </c>
      <c r="B1137" s="14" t="str">
        <f>VLOOKUP(P1137,'护理记录单文书字典(数据)'!B$4:C$99,2,0)</f>
        <v>DD567D350CFAB21109A725EA623D6041</v>
      </c>
      <c r="C1137" s="75" t="s">
        <v>3733</v>
      </c>
      <c r="D1137" s="75" t="s">
        <v>3734</v>
      </c>
      <c r="E1137" s="92" t="s">
        <v>2048</v>
      </c>
      <c r="F1137" s="92">
        <v>1</v>
      </c>
      <c r="G1137" s="75">
        <v>1</v>
      </c>
      <c r="H1137" s="75"/>
      <c r="I1137" s="75"/>
      <c r="J1137" s="75"/>
      <c r="K1137" s="75" t="s">
        <v>162</v>
      </c>
      <c r="L1137" s="75" t="s">
        <v>509</v>
      </c>
      <c r="M1137" s="75" t="s">
        <v>535</v>
      </c>
      <c r="N1137" s="75" t="s">
        <v>509</v>
      </c>
      <c r="O1137" s="75" t="s">
        <v>535</v>
      </c>
      <c r="P1137" s="75" t="s">
        <v>1637</v>
      </c>
    </row>
    <row r="1138" spans="1:16">
      <c r="A1138" s="63" t="s">
        <v>4282</v>
      </c>
      <c r="B1138" s="14" t="str">
        <f>VLOOKUP(P1138,'护理记录单文书字典(数据)'!B$4:C$99,2,0)</f>
        <v>DD567D350CFAB21109A725EA623D6041</v>
      </c>
      <c r="C1138" s="75" t="s">
        <v>3735</v>
      </c>
      <c r="D1138" s="75" t="s">
        <v>3736</v>
      </c>
      <c r="E1138" s="92" t="s">
        <v>2048</v>
      </c>
      <c r="F1138" s="92">
        <v>1</v>
      </c>
      <c r="G1138" s="75">
        <v>1</v>
      </c>
      <c r="H1138" s="75"/>
      <c r="I1138" s="75"/>
      <c r="J1138" s="75"/>
      <c r="K1138" s="75" t="s">
        <v>162</v>
      </c>
      <c r="L1138" s="75" t="s">
        <v>509</v>
      </c>
      <c r="M1138" s="75" t="s">
        <v>535</v>
      </c>
      <c r="N1138" s="75" t="s">
        <v>509</v>
      </c>
      <c r="O1138" s="75" t="s">
        <v>535</v>
      </c>
      <c r="P1138" s="75" t="s">
        <v>1637</v>
      </c>
    </row>
    <row r="1139" spans="1:16">
      <c r="A1139" s="63" t="s">
        <v>4282</v>
      </c>
      <c r="B1139" s="14" t="str">
        <f>VLOOKUP(P1139,'护理记录单文书字典(数据)'!B$4:C$99,2,0)</f>
        <v>DD567D350CFAB21109A725EA623D6041</v>
      </c>
      <c r="C1139" s="75" t="s">
        <v>3737</v>
      </c>
      <c r="D1139" s="75" t="s">
        <v>3738</v>
      </c>
      <c r="E1139" s="92" t="s">
        <v>2048</v>
      </c>
      <c r="F1139" s="92">
        <v>1</v>
      </c>
      <c r="G1139" s="75">
        <v>1</v>
      </c>
      <c r="H1139" s="75"/>
      <c r="I1139" s="75"/>
      <c r="J1139" s="75"/>
      <c r="K1139" s="75" t="s">
        <v>162</v>
      </c>
      <c r="L1139" s="75" t="s">
        <v>509</v>
      </c>
      <c r="M1139" s="75" t="s">
        <v>535</v>
      </c>
      <c r="N1139" s="75" t="s">
        <v>509</v>
      </c>
      <c r="O1139" s="75" t="s">
        <v>535</v>
      </c>
      <c r="P1139" s="75" t="s">
        <v>1637</v>
      </c>
    </row>
    <row r="1140" spans="1:16">
      <c r="A1140" s="63" t="s">
        <v>4282</v>
      </c>
      <c r="B1140" s="14" t="str">
        <f>VLOOKUP(P1140,'护理记录单文书字典(数据)'!B$4:C$99,2,0)</f>
        <v>DD567D350CFAB21109A725EA623D6041</v>
      </c>
      <c r="C1140" s="75" t="s">
        <v>3739</v>
      </c>
      <c r="D1140" s="75" t="s">
        <v>3740</v>
      </c>
      <c r="E1140" s="92" t="s">
        <v>2048</v>
      </c>
      <c r="F1140" s="92">
        <v>1</v>
      </c>
      <c r="G1140" s="75">
        <v>1</v>
      </c>
      <c r="H1140" s="75"/>
      <c r="I1140" s="75"/>
      <c r="J1140" s="75"/>
      <c r="K1140" s="75" t="s">
        <v>162</v>
      </c>
      <c r="L1140" s="75" t="s">
        <v>509</v>
      </c>
      <c r="M1140" s="75" t="s">
        <v>535</v>
      </c>
      <c r="N1140" s="75" t="s">
        <v>509</v>
      </c>
      <c r="O1140" s="75" t="s">
        <v>535</v>
      </c>
      <c r="P1140" s="75" t="s">
        <v>1637</v>
      </c>
    </row>
    <row r="1141" spans="1:16">
      <c r="A1141" s="63" t="s">
        <v>4282</v>
      </c>
      <c r="B1141" s="14" t="str">
        <f>VLOOKUP(P1141,'护理记录单文书字典(数据)'!B$4:C$99,2,0)</f>
        <v>DD567D350CFAB21109A725EA623D6041</v>
      </c>
      <c r="C1141" s="75" t="s">
        <v>3741</v>
      </c>
      <c r="D1141" s="75" t="s">
        <v>3742</v>
      </c>
      <c r="E1141" s="92" t="s">
        <v>2048</v>
      </c>
      <c r="F1141" s="92">
        <v>1</v>
      </c>
      <c r="G1141" s="75">
        <v>1</v>
      </c>
      <c r="H1141" s="75"/>
      <c r="I1141" s="75"/>
      <c r="J1141" s="75"/>
      <c r="K1141" s="75" t="s">
        <v>162</v>
      </c>
      <c r="L1141" s="75" t="s">
        <v>509</v>
      </c>
      <c r="M1141" s="75" t="s">
        <v>535</v>
      </c>
      <c r="N1141" s="75" t="s">
        <v>509</v>
      </c>
      <c r="O1141" s="75" t="s">
        <v>535</v>
      </c>
      <c r="P1141" s="75" t="s">
        <v>1637</v>
      </c>
    </row>
    <row r="1142" spans="1:16">
      <c r="A1142" s="63" t="s">
        <v>4282</v>
      </c>
      <c r="B1142" s="14" t="str">
        <f>VLOOKUP(P1142,'护理记录单文书字典(数据)'!B$4:C$99,2,0)</f>
        <v>DD567D350CFAB21109A725EA623D6041</v>
      </c>
      <c r="C1142" s="75" t="s">
        <v>2105</v>
      </c>
      <c r="D1142" s="75" t="s">
        <v>2103</v>
      </c>
      <c r="E1142" s="92" t="s">
        <v>2104</v>
      </c>
      <c r="F1142" s="92">
        <v>1</v>
      </c>
      <c r="G1142" s="75">
        <v>1</v>
      </c>
      <c r="H1142" s="75"/>
      <c r="I1142" s="75"/>
      <c r="J1142" s="75"/>
      <c r="K1142" s="75" t="s">
        <v>162</v>
      </c>
      <c r="L1142" s="75" t="s">
        <v>509</v>
      </c>
      <c r="M1142" s="75" t="s">
        <v>535</v>
      </c>
      <c r="N1142" s="75" t="s">
        <v>509</v>
      </c>
      <c r="O1142" s="75" t="s">
        <v>535</v>
      </c>
      <c r="P1142" s="75" t="s">
        <v>1637</v>
      </c>
    </row>
    <row r="1143" spans="1:16">
      <c r="A1143" s="63" t="s">
        <v>4282</v>
      </c>
      <c r="B1143" s="14" t="str">
        <f>VLOOKUP(P1143,'护理记录单文书字典(数据)'!B$4:C$99,2,0)</f>
        <v>AE836F350CFAB211A8BE484397DE1B10</v>
      </c>
      <c r="C1143" s="75" t="s">
        <v>2046</v>
      </c>
      <c r="D1143" s="75" t="s">
        <v>2047</v>
      </c>
      <c r="E1143" s="92" t="s">
        <v>2048</v>
      </c>
      <c r="F1143" s="92">
        <v>1</v>
      </c>
      <c r="G1143" s="75">
        <v>1</v>
      </c>
      <c r="H1143" s="75"/>
      <c r="I1143" s="75"/>
      <c r="J1143" s="75"/>
      <c r="K1143" s="75" t="s">
        <v>162</v>
      </c>
      <c r="L1143" s="75" t="s">
        <v>509</v>
      </c>
      <c r="M1143" s="75" t="s">
        <v>535</v>
      </c>
      <c r="N1143" s="75" t="s">
        <v>509</v>
      </c>
      <c r="O1143" s="75" t="s">
        <v>535</v>
      </c>
      <c r="P1143" s="75" t="s">
        <v>1603</v>
      </c>
    </row>
    <row r="1144" spans="1:16">
      <c r="A1144" s="63" t="s">
        <v>4282</v>
      </c>
      <c r="B1144" s="14" t="str">
        <f>VLOOKUP(P1144,'护理记录单文书字典(数据)'!B$4:C$99,2,0)</f>
        <v>AE836F350CFAB211A8BE484397DE1B10</v>
      </c>
      <c r="C1144" s="75" t="s">
        <v>3743</v>
      </c>
      <c r="D1144" s="75" t="s">
        <v>1602</v>
      </c>
      <c r="E1144" s="92" t="s">
        <v>2052</v>
      </c>
      <c r="F1144" s="92">
        <v>1</v>
      </c>
      <c r="G1144" s="75">
        <v>1</v>
      </c>
      <c r="H1144" s="75" t="s">
        <v>1601</v>
      </c>
      <c r="I1144" s="75"/>
      <c r="J1144" s="75"/>
      <c r="K1144" s="75" t="s">
        <v>162</v>
      </c>
      <c r="L1144" s="75" t="s">
        <v>509</v>
      </c>
      <c r="M1144" s="75" t="s">
        <v>535</v>
      </c>
      <c r="N1144" s="75" t="s">
        <v>509</v>
      </c>
      <c r="O1144" s="75" t="s">
        <v>535</v>
      </c>
      <c r="P1144" s="75" t="s">
        <v>1603</v>
      </c>
    </row>
    <row r="1145" spans="1:16">
      <c r="A1145" s="63" t="s">
        <v>4282</v>
      </c>
      <c r="B1145" s="14" t="str">
        <f>VLOOKUP(P1145,'护理记录单文书字典(数据)'!B$4:C$99,2,0)</f>
        <v>AE836F350CFAB211A8BE484397DE1B10</v>
      </c>
      <c r="C1145" s="75" t="s">
        <v>3744</v>
      </c>
      <c r="D1145" s="75" t="s">
        <v>1606</v>
      </c>
      <c r="E1145" s="92" t="s">
        <v>2052</v>
      </c>
      <c r="F1145" s="92">
        <v>1</v>
      </c>
      <c r="G1145" s="75">
        <v>1</v>
      </c>
      <c r="H1145" s="75" t="s">
        <v>1605</v>
      </c>
      <c r="I1145" s="75"/>
      <c r="J1145" s="75"/>
      <c r="K1145" s="75" t="s">
        <v>162</v>
      </c>
      <c r="L1145" s="75" t="s">
        <v>509</v>
      </c>
      <c r="M1145" s="75" t="s">
        <v>535</v>
      </c>
      <c r="N1145" s="75" t="s">
        <v>509</v>
      </c>
      <c r="O1145" s="75" t="s">
        <v>535</v>
      </c>
      <c r="P1145" s="75" t="s">
        <v>1603</v>
      </c>
    </row>
    <row r="1146" spans="1:16">
      <c r="A1146" s="63" t="s">
        <v>4282</v>
      </c>
      <c r="B1146" s="14" t="str">
        <f>VLOOKUP(P1146,'护理记录单文书字典(数据)'!B$4:C$99,2,0)</f>
        <v>AE836F350CFAB211A8BE484397DE1B10</v>
      </c>
      <c r="C1146" s="75" t="s">
        <v>3745</v>
      </c>
      <c r="D1146" s="75" t="s">
        <v>1608</v>
      </c>
      <c r="E1146" s="92" t="s">
        <v>2052</v>
      </c>
      <c r="F1146" s="92">
        <v>1</v>
      </c>
      <c r="G1146" s="75">
        <v>1</v>
      </c>
      <c r="H1146" s="75" t="s">
        <v>1607</v>
      </c>
      <c r="I1146" s="75"/>
      <c r="J1146" s="75"/>
      <c r="K1146" s="75" t="s">
        <v>162</v>
      </c>
      <c r="L1146" s="75" t="s">
        <v>509</v>
      </c>
      <c r="M1146" s="75" t="s">
        <v>535</v>
      </c>
      <c r="N1146" s="75" t="s">
        <v>509</v>
      </c>
      <c r="O1146" s="75" t="s">
        <v>535</v>
      </c>
      <c r="P1146" s="75" t="s">
        <v>1603</v>
      </c>
    </row>
    <row r="1147" spans="1:16">
      <c r="A1147" s="63" t="s">
        <v>4282</v>
      </c>
      <c r="B1147" s="14" t="str">
        <f>VLOOKUP(P1147,'护理记录单文书字典(数据)'!B$4:C$99,2,0)</f>
        <v>AE836F350CFAB211A8BE484397DE1B10</v>
      </c>
      <c r="C1147" s="75" t="s">
        <v>3746</v>
      </c>
      <c r="D1147" s="75" t="s">
        <v>1610</v>
      </c>
      <c r="E1147" s="92" t="s">
        <v>2052</v>
      </c>
      <c r="F1147" s="92">
        <v>1</v>
      </c>
      <c r="G1147" s="75">
        <v>1</v>
      </c>
      <c r="H1147" s="75" t="s">
        <v>1609</v>
      </c>
      <c r="I1147" s="75"/>
      <c r="J1147" s="75"/>
      <c r="K1147" s="75" t="s">
        <v>162</v>
      </c>
      <c r="L1147" s="75" t="s">
        <v>509</v>
      </c>
      <c r="M1147" s="75" t="s">
        <v>535</v>
      </c>
      <c r="N1147" s="75" t="s">
        <v>509</v>
      </c>
      <c r="O1147" s="75" t="s">
        <v>535</v>
      </c>
      <c r="P1147" s="75" t="s">
        <v>1603</v>
      </c>
    </row>
    <row r="1148" spans="1:16">
      <c r="A1148" s="63" t="s">
        <v>4282</v>
      </c>
      <c r="B1148" s="14" t="str">
        <f>VLOOKUP(P1148,'护理记录单文书字典(数据)'!B$4:C$99,2,0)</f>
        <v>AE836F350CFAB211A8BE484397DE1B10</v>
      </c>
      <c r="C1148" s="75" t="s">
        <v>3747</v>
      </c>
      <c r="D1148" s="75" t="s">
        <v>1612</v>
      </c>
      <c r="E1148" s="92" t="s">
        <v>2052</v>
      </c>
      <c r="F1148" s="92">
        <v>1</v>
      </c>
      <c r="G1148" s="75">
        <v>1</v>
      </c>
      <c r="H1148" s="75" t="s">
        <v>1611</v>
      </c>
      <c r="I1148" s="75"/>
      <c r="J1148" s="75"/>
      <c r="K1148" s="75" t="s">
        <v>162</v>
      </c>
      <c r="L1148" s="75" t="s">
        <v>509</v>
      </c>
      <c r="M1148" s="75" t="s">
        <v>535</v>
      </c>
      <c r="N1148" s="75" t="s">
        <v>509</v>
      </c>
      <c r="O1148" s="75" t="s">
        <v>535</v>
      </c>
      <c r="P1148" s="75" t="s">
        <v>1603</v>
      </c>
    </row>
    <row r="1149" spans="1:16">
      <c r="A1149" s="63" t="s">
        <v>4282</v>
      </c>
      <c r="B1149" s="14" t="str">
        <f>VLOOKUP(P1149,'护理记录单文书字典(数据)'!B$4:C$99,2,0)</f>
        <v>AE836F350CFAB211A8BE484397DE1B10</v>
      </c>
      <c r="C1149" s="75" t="s">
        <v>3748</v>
      </c>
      <c r="D1149" s="75" t="s">
        <v>1614</v>
      </c>
      <c r="E1149" s="92" t="s">
        <v>2052</v>
      </c>
      <c r="F1149" s="92">
        <v>1</v>
      </c>
      <c r="G1149" s="75">
        <v>1</v>
      </c>
      <c r="H1149" s="75" t="s">
        <v>1613</v>
      </c>
      <c r="I1149" s="75"/>
      <c r="J1149" s="75"/>
      <c r="K1149" s="75" t="s">
        <v>162</v>
      </c>
      <c r="L1149" s="75" t="s">
        <v>509</v>
      </c>
      <c r="M1149" s="75" t="s">
        <v>535</v>
      </c>
      <c r="N1149" s="75" t="s">
        <v>509</v>
      </c>
      <c r="O1149" s="75" t="s">
        <v>535</v>
      </c>
      <c r="P1149" s="75" t="s">
        <v>1603</v>
      </c>
    </row>
    <row r="1150" spans="1:16">
      <c r="A1150" s="63" t="s">
        <v>4282</v>
      </c>
      <c r="B1150" s="14" t="str">
        <f>VLOOKUP(P1150,'护理记录单文书字典(数据)'!B$4:C$99,2,0)</f>
        <v>AE836F350CFAB211A8BE484397DE1B10</v>
      </c>
      <c r="C1150" s="75" t="s">
        <v>3749</v>
      </c>
      <c r="D1150" s="75" t="s">
        <v>1616</v>
      </c>
      <c r="E1150" s="92" t="s">
        <v>2052</v>
      </c>
      <c r="F1150" s="92">
        <v>1</v>
      </c>
      <c r="G1150" s="75">
        <v>1</v>
      </c>
      <c r="H1150" s="75" t="s">
        <v>1615</v>
      </c>
      <c r="I1150" s="75"/>
      <c r="J1150" s="75"/>
      <c r="K1150" s="75" t="s">
        <v>162</v>
      </c>
      <c r="L1150" s="75" t="s">
        <v>509</v>
      </c>
      <c r="M1150" s="75" t="s">
        <v>535</v>
      </c>
      <c r="N1150" s="75" t="s">
        <v>509</v>
      </c>
      <c r="O1150" s="75" t="s">
        <v>535</v>
      </c>
      <c r="P1150" s="75" t="s">
        <v>1603</v>
      </c>
    </row>
    <row r="1151" spans="1:16">
      <c r="A1151" s="63" t="s">
        <v>4282</v>
      </c>
      <c r="B1151" s="14" t="str">
        <f>VLOOKUP(P1151,'护理记录单文书字典(数据)'!B$4:C$99,2,0)</f>
        <v>AE836F350CFAB211A8BE484397DE1B10</v>
      </c>
      <c r="C1151" s="75" t="s">
        <v>3750</v>
      </c>
      <c r="D1151" s="75" t="s">
        <v>1621</v>
      </c>
      <c r="E1151" s="92" t="s">
        <v>2052</v>
      </c>
      <c r="F1151" s="92">
        <v>1</v>
      </c>
      <c r="G1151" s="75">
        <v>1</v>
      </c>
      <c r="H1151" s="75" t="s">
        <v>1620</v>
      </c>
      <c r="I1151" s="75"/>
      <c r="J1151" s="75"/>
      <c r="K1151" s="75" t="s">
        <v>162</v>
      </c>
      <c r="L1151" s="75" t="s">
        <v>509</v>
      </c>
      <c r="M1151" s="75" t="s">
        <v>535</v>
      </c>
      <c r="N1151" s="75" t="s">
        <v>509</v>
      </c>
      <c r="O1151" s="75" t="s">
        <v>535</v>
      </c>
      <c r="P1151" s="75" t="s">
        <v>1603</v>
      </c>
    </row>
    <row r="1152" spans="1:16">
      <c r="A1152" s="63" t="s">
        <v>4282</v>
      </c>
      <c r="B1152" s="14" t="str">
        <f>VLOOKUP(P1152,'护理记录单文书字典(数据)'!B$4:C$99,2,0)</f>
        <v>AE836F350CFAB211A8BE484397DE1B10</v>
      </c>
      <c r="C1152" s="75" t="s">
        <v>3751</v>
      </c>
      <c r="D1152" s="75" t="s">
        <v>1623</v>
      </c>
      <c r="E1152" s="92" t="s">
        <v>2052</v>
      </c>
      <c r="F1152" s="92">
        <v>1</v>
      </c>
      <c r="G1152" s="75">
        <v>1</v>
      </c>
      <c r="H1152" s="75" t="s">
        <v>1622</v>
      </c>
      <c r="I1152" s="75"/>
      <c r="J1152" s="75"/>
      <c r="K1152" s="75" t="s">
        <v>162</v>
      </c>
      <c r="L1152" s="75" t="s">
        <v>509</v>
      </c>
      <c r="M1152" s="75" t="s">
        <v>535</v>
      </c>
      <c r="N1152" s="75" t="s">
        <v>509</v>
      </c>
      <c r="O1152" s="75" t="s">
        <v>535</v>
      </c>
      <c r="P1152" s="75" t="s">
        <v>1603</v>
      </c>
    </row>
    <row r="1153" spans="1:16">
      <c r="A1153" s="63" t="s">
        <v>4282</v>
      </c>
      <c r="B1153" s="14" t="str">
        <f>VLOOKUP(P1153,'护理记录单文书字典(数据)'!B$4:C$99,2,0)</f>
        <v>AE836F350CFAB211A8BE484397DE1B10</v>
      </c>
      <c r="C1153" s="75" t="s">
        <v>3752</v>
      </c>
      <c r="D1153" s="75" t="s">
        <v>1625</v>
      </c>
      <c r="E1153" s="92" t="s">
        <v>2052</v>
      </c>
      <c r="F1153" s="92">
        <v>1</v>
      </c>
      <c r="G1153" s="75">
        <v>1</v>
      </c>
      <c r="H1153" s="75" t="s">
        <v>1624</v>
      </c>
      <c r="I1153" s="75"/>
      <c r="J1153" s="75"/>
      <c r="K1153" s="75" t="s">
        <v>162</v>
      </c>
      <c r="L1153" s="75" t="s">
        <v>509</v>
      </c>
      <c r="M1153" s="75" t="s">
        <v>535</v>
      </c>
      <c r="N1153" s="75" t="s">
        <v>509</v>
      </c>
      <c r="O1153" s="75" t="s">
        <v>535</v>
      </c>
      <c r="P1153" s="75" t="s">
        <v>1603</v>
      </c>
    </row>
    <row r="1154" spans="1:16">
      <c r="A1154" s="63" t="s">
        <v>4282</v>
      </c>
      <c r="B1154" s="14" t="str">
        <f>VLOOKUP(P1154,'护理记录单文书字典(数据)'!B$4:C$99,2,0)</f>
        <v>AE836F350CFAB211A8BE484397DE1B10</v>
      </c>
      <c r="C1154" s="75" t="s">
        <v>3753</v>
      </c>
      <c r="D1154" s="75" t="s">
        <v>1627</v>
      </c>
      <c r="E1154" s="92" t="s">
        <v>2052</v>
      </c>
      <c r="F1154" s="92">
        <v>1</v>
      </c>
      <c r="G1154" s="75">
        <v>1</v>
      </c>
      <c r="H1154" s="75" t="s">
        <v>1626</v>
      </c>
      <c r="I1154" s="75"/>
      <c r="J1154" s="75"/>
      <c r="K1154" s="75" t="s">
        <v>162</v>
      </c>
      <c r="L1154" s="75" t="s">
        <v>509</v>
      </c>
      <c r="M1154" s="75" t="s">
        <v>535</v>
      </c>
      <c r="N1154" s="75" t="s">
        <v>509</v>
      </c>
      <c r="O1154" s="75" t="s">
        <v>535</v>
      </c>
      <c r="P1154" s="75" t="s">
        <v>1603</v>
      </c>
    </row>
    <row r="1155" spans="1:16">
      <c r="A1155" s="63" t="s">
        <v>4282</v>
      </c>
      <c r="B1155" s="14" t="str">
        <f>VLOOKUP(P1155,'护理记录单文书字典(数据)'!B$4:C$99,2,0)</f>
        <v>AE836F350CFAB211A8BE484397DE1B10</v>
      </c>
      <c r="C1155" s="75" t="s">
        <v>3754</v>
      </c>
      <c r="D1155" s="75" t="s">
        <v>1629</v>
      </c>
      <c r="E1155" s="92" t="s">
        <v>2052</v>
      </c>
      <c r="F1155" s="92">
        <v>1</v>
      </c>
      <c r="G1155" s="75">
        <v>1</v>
      </c>
      <c r="H1155" s="75" t="s">
        <v>1628</v>
      </c>
      <c r="I1155" s="75"/>
      <c r="J1155" s="75"/>
      <c r="K1155" s="75" t="s">
        <v>162</v>
      </c>
      <c r="L1155" s="75" t="s">
        <v>509</v>
      </c>
      <c r="M1155" s="75" t="s">
        <v>535</v>
      </c>
      <c r="N1155" s="75" t="s">
        <v>509</v>
      </c>
      <c r="O1155" s="75" t="s">
        <v>535</v>
      </c>
      <c r="P1155" s="75" t="s">
        <v>1603</v>
      </c>
    </row>
    <row r="1156" spans="1:16">
      <c r="A1156" s="63" t="s">
        <v>4282</v>
      </c>
      <c r="B1156" s="14" t="str">
        <f>VLOOKUP(P1156,'护理记录单文书字典(数据)'!B$4:C$99,2,0)</f>
        <v>AE836F350CFAB211A8BE484397DE1B10</v>
      </c>
      <c r="C1156" s="75" t="s">
        <v>3755</v>
      </c>
      <c r="D1156" s="75" t="s">
        <v>1633</v>
      </c>
      <c r="E1156" s="92" t="s">
        <v>2052</v>
      </c>
      <c r="F1156" s="92">
        <v>1</v>
      </c>
      <c r="G1156" s="75">
        <v>1</v>
      </c>
      <c r="H1156" s="75" t="s">
        <v>1632</v>
      </c>
      <c r="I1156" s="75"/>
      <c r="J1156" s="75"/>
      <c r="K1156" s="75" t="s">
        <v>162</v>
      </c>
      <c r="L1156" s="75" t="s">
        <v>509</v>
      </c>
      <c r="M1156" s="75" t="s">
        <v>535</v>
      </c>
      <c r="N1156" s="75" t="s">
        <v>509</v>
      </c>
      <c r="O1156" s="75" t="s">
        <v>535</v>
      </c>
      <c r="P1156" s="75" t="s">
        <v>1603</v>
      </c>
    </row>
    <row r="1157" spans="1:16">
      <c r="A1157" s="63" t="s">
        <v>4282</v>
      </c>
      <c r="B1157" s="14" t="str">
        <f>VLOOKUP(P1157,'护理记录单文书字典(数据)'!B$4:C$99,2,0)</f>
        <v>AE836F350CFAB211A8BE484397DE1B10</v>
      </c>
      <c r="C1157" s="75" t="s">
        <v>3756</v>
      </c>
      <c r="D1157" s="75" t="s">
        <v>3757</v>
      </c>
      <c r="E1157" s="92" t="s">
        <v>2048</v>
      </c>
      <c r="F1157" s="92">
        <v>1</v>
      </c>
      <c r="G1157" s="75">
        <v>1</v>
      </c>
      <c r="H1157" s="75"/>
      <c r="I1157" s="75"/>
      <c r="J1157" s="75"/>
      <c r="K1157" s="75" t="s">
        <v>162</v>
      </c>
      <c r="L1157" s="75" t="s">
        <v>509</v>
      </c>
      <c r="M1157" s="75" t="s">
        <v>535</v>
      </c>
      <c r="N1157" s="75" t="s">
        <v>509</v>
      </c>
      <c r="O1157" s="75" t="s">
        <v>535</v>
      </c>
      <c r="P1157" s="75" t="s">
        <v>1603</v>
      </c>
    </row>
    <row r="1158" spans="1:16">
      <c r="A1158" s="63" t="s">
        <v>4282</v>
      </c>
      <c r="B1158" s="14" t="str">
        <f>VLOOKUP(P1158,'护理记录单文书字典(数据)'!B$4:C$99,2,0)</f>
        <v>216660350CFAB211058D42E5CD0C6953</v>
      </c>
      <c r="C1158" s="75" t="s">
        <v>3758</v>
      </c>
      <c r="D1158" s="75" t="s">
        <v>3759</v>
      </c>
      <c r="E1158" s="92" t="s">
        <v>2048</v>
      </c>
      <c r="F1158" s="92">
        <v>1</v>
      </c>
      <c r="G1158" s="75">
        <v>1</v>
      </c>
      <c r="H1158" s="75"/>
      <c r="I1158" s="75"/>
      <c r="J1158" s="75"/>
      <c r="K1158" s="75" t="s">
        <v>162</v>
      </c>
      <c r="L1158" s="75" t="s">
        <v>509</v>
      </c>
      <c r="M1158" s="75" t="s">
        <v>535</v>
      </c>
      <c r="N1158" s="75" t="s">
        <v>509</v>
      </c>
      <c r="O1158" s="75" t="s">
        <v>535</v>
      </c>
      <c r="P1158" s="75" t="s">
        <v>3760</v>
      </c>
    </row>
    <row r="1159" spans="1:16">
      <c r="A1159" s="63" t="s">
        <v>4282</v>
      </c>
      <c r="B1159" s="14" t="str">
        <f>VLOOKUP(P1159,'护理记录单文书字典(数据)'!B$4:C$99,2,0)</f>
        <v>216660350CFAB211058D42E5CD0C6953</v>
      </c>
      <c r="C1159" s="75" t="s">
        <v>3761</v>
      </c>
      <c r="D1159" s="75" t="s">
        <v>3762</v>
      </c>
      <c r="E1159" s="92" t="s">
        <v>2048</v>
      </c>
      <c r="F1159" s="92">
        <v>1</v>
      </c>
      <c r="G1159" s="75">
        <v>1</v>
      </c>
      <c r="H1159" s="75"/>
      <c r="I1159" s="75"/>
      <c r="J1159" s="75"/>
      <c r="K1159" s="75" t="s">
        <v>162</v>
      </c>
      <c r="L1159" s="75" t="s">
        <v>509</v>
      </c>
      <c r="M1159" s="75" t="s">
        <v>535</v>
      </c>
      <c r="N1159" s="75" t="s">
        <v>509</v>
      </c>
      <c r="O1159" s="75" t="s">
        <v>535</v>
      </c>
      <c r="P1159" s="75" t="s">
        <v>3760</v>
      </c>
    </row>
    <row r="1160" spans="1:16">
      <c r="A1160" s="63" t="s">
        <v>4282</v>
      </c>
      <c r="B1160" s="14" t="str">
        <f>VLOOKUP(P1160,'护理记录单文书字典(数据)'!B$4:C$99,2,0)</f>
        <v>216660350CFAB211058D42E5CD0C6953</v>
      </c>
      <c r="C1160" s="75" t="s">
        <v>3763</v>
      </c>
      <c r="D1160" s="75" t="s">
        <v>3764</v>
      </c>
      <c r="E1160" s="92" t="s">
        <v>2048</v>
      </c>
      <c r="F1160" s="92">
        <v>1</v>
      </c>
      <c r="G1160" s="75">
        <v>1</v>
      </c>
      <c r="H1160" s="75"/>
      <c r="I1160" s="75"/>
      <c r="J1160" s="75"/>
      <c r="K1160" s="75" t="s">
        <v>162</v>
      </c>
      <c r="L1160" s="75" t="s">
        <v>509</v>
      </c>
      <c r="M1160" s="75" t="s">
        <v>535</v>
      </c>
      <c r="N1160" s="75" t="s">
        <v>509</v>
      </c>
      <c r="O1160" s="75" t="s">
        <v>535</v>
      </c>
      <c r="P1160" s="75" t="s">
        <v>3760</v>
      </c>
    </row>
    <row r="1161" spans="1:16">
      <c r="A1161" s="63" t="s">
        <v>4282</v>
      </c>
      <c r="B1161" s="14" t="str">
        <f>VLOOKUP(P1161,'护理记录单文书字典(数据)'!B$4:C$99,2,0)</f>
        <v>216660350CFAB211058D42E5CD0C6953</v>
      </c>
      <c r="C1161" s="75" t="s">
        <v>2046</v>
      </c>
      <c r="D1161" s="75" t="s">
        <v>2047</v>
      </c>
      <c r="E1161" s="92" t="s">
        <v>2048</v>
      </c>
      <c r="F1161" s="92">
        <v>1</v>
      </c>
      <c r="G1161" s="75">
        <v>1</v>
      </c>
      <c r="H1161" s="75"/>
      <c r="I1161" s="75"/>
      <c r="J1161" s="75"/>
      <c r="K1161" s="75" t="s">
        <v>162</v>
      </c>
      <c r="L1161" s="75" t="s">
        <v>509</v>
      </c>
      <c r="M1161" s="75" t="s">
        <v>535</v>
      </c>
      <c r="N1161" s="75" t="s">
        <v>509</v>
      </c>
      <c r="O1161" s="75" t="s">
        <v>535</v>
      </c>
      <c r="P1161" s="75" t="s">
        <v>3760</v>
      </c>
    </row>
    <row r="1162" spans="1:16">
      <c r="A1162" s="63" t="s">
        <v>4282</v>
      </c>
      <c r="B1162" s="14" t="str">
        <f>VLOOKUP(P1162,'护理记录单文书字典(数据)'!B$4:C$99,2,0)</f>
        <v>240F52350CFAB21157AA2FE5BE48D149</v>
      </c>
      <c r="C1162" s="75" t="s">
        <v>2573</v>
      </c>
      <c r="D1162" s="75" t="s">
        <v>3271</v>
      </c>
      <c r="E1162" s="92" t="s">
        <v>2048</v>
      </c>
      <c r="F1162" s="92">
        <v>1</v>
      </c>
      <c r="G1162" s="75">
        <v>1</v>
      </c>
      <c r="H1162" s="75"/>
      <c r="I1162" s="75"/>
      <c r="J1162" s="75"/>
      <c r="K1162" s="75" t="s">
        <v>162</v>
      </c>
      <c r="L1162" s="75" t="s">
        <v>509</v>
      </c>
      <c r="M1162" s="75" t="s">
        <v>535</v>
      </c>
      <c r="N1162" s="75" t="s">
        <v>509</v>
      </c>
      <c r="O1162" s="75" t="s">
        <v>535</v>
      </c>
      <c r="P1162" s="75" t="s">
        <v>1463</v>
      </c>
    </row>
    <row r="1163" spans="1:16">
      <c r="A1163" s="63" t="s">
        <v>4282</v>
      </c>
      <c r="B1163" s="14" t="str">
        <f>VLOOKUP(P1163,'护理记录单文书字典(数据)'!B$4:C$99,2,0)</f>
        <v>240F52350CFAB21157AA2FE5BE48D149</v>
      </c>
      <c r="C1163" s="75" t="s">
        <v>3765</v>
      </c>
      <c r="D1163" s="75" t="s">
        <v>3766</v>
      </c>
      <c r="E1163" s="92" t="s">
        <v>2048</v>
      </c>
      <c r="F1163" s="92">
        <v>1</v>
      </c>
      <c r="G1163" s="75">
        <v>1</v>
      </c>
      <c r="H1163" s="75"/>
      <c r="I1163" s="75"/>
      <c r="J1163" s="75"/>
      <c r="K1163" s="75" t="s">
        <v>162</v>
      </c>
      <c r="L1163" s="75" t="s">
        <v>509</v>
      </c>
      <c r="M1163" s="75" t="s">
        <v>535</v>
      </c>
      <c r="N1163" s="75" t="s">
        <v>509</v>
      </c>
      <c r="O1163" s="75" t="s">
        <v>535</v>
      </c>
      <c r="P1163" s="75" t="s">
        <v>1463</v>
      </c>
    </row>
    <row r="1164" spans="1:16">
      <c r="A1164" s="63" t="s">
        <v>4282</v>
      </c>
      <c r="B1164" s="14" t="str">
        <f>VLOOKUP(P1164,'护理记录单文书字典(数据)'!B$4:C$99,2,0)</f>
        <v>240F52350CFAB21157AA2FE5BE48D149</v>
      </c>
      <c r="C1164" s="75" t="s">
        <v>3767</v>
      </c>
      <c r="D1164" s="75" t="s">
        <v>3768</v>
      </c>
      <c r="E1164" s="92" t="s">
        <v>2119</v>
      </c>
      <c r="F1164" s="92">
        <v>1</v>
      </c>
      <c r="G1164" s="75">
        <v>1</v>
      </c>
      <c r="H1164" s="75" t="s">
        <v>3769</v>
      </c>
      <c r="I1164" s="75"/>
      <c r="J1164" s="75"/>
      <c r="K1164" s="75" t="s">
        <v>162</v>
      </c>
      <c r="L1164" s="75" t="s">
        <v>509</v>
      </c>
      <c r="M1164" s="75" t="s">
        <v>535</v>
      </c>
      <c r="N1164" s="75" t="s">
        <v>509</v>
      </c>
      <c r="O1164" s="75" t="s">
        <v>535</v>
      </c>
      <c r="P1164" s="75" t="s">
        <v>1463</v>
      </c>
    </row>
    <row r="1165" spans="1:16">
      <c r="A1165" s="63" t="s">
        <v>4282</v>
      </c>
      <c r="B1165" s="14" t="str">
        <f>VLOOKUP(P1165,'护理记录单文书字典(数据)'!B$4:C$99,2,0)</f>
        <v>240F52350CFAB21157AA2FE5BE48D149</v>
      </c>
      <c r="C1165" s="75" t="s">
        <v>2859</v>
      </c>
      <c r="D1165" s="75" t="s">
        <v>2860</v>
      </c>
      <c r="E1165" s="92" t="s">
        <v>2048</v>
      </c>
      <c r="F1165" s="92">
        <v>1</v>
      </c>
      <c r="G1165" s="75">
        <v>1</v>
      </c>
      <c r="H1165" s="75"/>
      <c r="I1165" s="75"/>
      <c r="J1165" s="75"/>
      <c r="K1165" s="75" t="s">
        <v>162</v>
      </c>
      <c r="L1165" s="75" t="s">
        <v>509</v>
      </c>
      <c r="M1165" s="75" t="s">
        <v>535</v>
      </c>
      <c r="N1165" s="75" t="s">
        <v>509</v>
      </c>
      <c r="O1165" s="75" t="s">
        <v>535</v>
      </c>
      <c r="P1165" s="75" t="s">
        <v>1463</v>
      </c>
    </row>
    <row r="1166" spans="1:16">
      <c r="A1166" s="63" t="s">
        <v>4282</v>
      </c>
      <c r="B1166" s="14" t="str">
        <f>VLOOKUP(P1166,'护理记录单文书字典(数据)'!B$4:C$99,2,0)</f>
        <v>240F52350CFAB21157AA2FE5BE48D149</v>
      </c>
      <c r="C1166" s="75" t="s">
        <v>3770</v>
      </c>
      <c r="D1166" s="75" t="s">
        <v>1461</v>
      </c>
      <c r="E1166" s="92" t="s">
        <v>2052</v>
      </c>
      <c r="F1166" s="92">
        <v>1</v>
      </c>
      <c r="G1166" s="75">
        <v>1</v>
      </c>
      <c r="H1166" s="75" t="s">
        <v>1460</v>
      </c>
      <c r="I1166" s="75"/>
      <c r="J1166" s="75"/>
      <c r="K1166" s="75" t="s">
        <v>162</v>
      </c>
      <c r="L1166" s="75" t="s">
        <v>509</v>
      </c>
      <c r="M1166" s="75" t="s">
        <v>535</v>
      </c>
      <c r="N1166" s="75" t="s">
        <v>509</v>
      </c>
      <c r="O1166" s="75" t="s">
        <v>535</v>
      </c>
      <c r="P1166" s="75" t="s">
        <v>1463</v>
      </c>
    </row>
    <row r="1167" spans="1:16">
      <c r="A1167" s="63" t="s">
        <v>4282</v>
      </c>
      <c r="B1167" s="14" t="str">
        <f>VLOOKUP(P1167,'护理记录单文书字典(数据)'!B$4:C$99,2,0)</f>
        <v>240F52350CFAB21157AA2FE5BE48D149</v>
      </c>
      <c r="C1167" s="75" t="s">
        <v>3771</v>
      </c>
      <c r="D1167" s="75" t="s">
        <v>3772</v>
      </c>
      <c r="E1167" s="92" t="s">
        <v>2048</v>
      </c>
      <c r="F1167" s="92">
        <v>1</v>
      </c>
      <c r="G1167" s="75">
        <v>1</v>
      </c>
      <c r="H1167" s="75"/>
      <c r="I1167" s="75"/>
      <c r="J1167" s="75"/>
      <c r="K1167" s="75" t="s">
        <v>162</v>
      </c>
      <c r="L1167" s="75" t="s">
        <v>509</v>
      </c>
      <c r="M1167" s="75" t="s">
        <v>535</v>
      </c>
      <c r="N1167" s="75" t="s">
        <v>509</v>
      </c>
      <c r="O1167" s="75" t="s">
        <v>535</v>
      </c>
      <c r="P1167" s="75" t="s">
        <v>1463</v>
      </c>
    </row>
    <row r="1168" spans="1:16">
      <c r="A1168" s="63" t="s">
        <v>4282</v>
      </c>
      <c r="B1168" s="14" t="str">
        <f>VLOOKUP(P1168,'护理记录单文书字典(数据)'!B$4:C$99,2,0)</f>
        <v>240F52350CFAB21157AA2FE5BE48D149</v>
      </c>
      <c r="C1168" s="75" t="s">
        <v>2886</v>
      </c>
      <c r="D1168" s="75" t="s">
        <v>2887</v>
      </c>
      <c r="E1168" s="92" t="s">
        <v>2048</v>
      </c>
      <c r="F1168" s="92">
        <v>1</v>
      </c>
      <c r="G1168" s="75">
        <v>1</v>
      </c>
      <c r="H1168" s="75"/>
      <c r="I1168" s="75"/>
      <c r="J1168" s="75"/>
      <c r="K1168" s="75" t="s">
        <v>162</v>
      </c>
      <c r="L1168" s="75" t="s">
        <v>509</v>
      </c>
      <c r="M1168" s="75" t="s">
        <v>535</v>
      </c>
      <c r="N1168" s="75" t="s">
        <v>509</v>
      </c>
      <c r="O1168" s="75" t="s">
        <v>535</v>
      </c>
      <c r="P1168" s="75" t="s">
        <v>1463</v>
      </c>
    </row>
    <row r="1169" spans="1:16">
      <c r="A1169" s="63" t="s">
        <v>4282</v>
      </c>
      <c r="B1169" s="14" t="str">
        <f>VLOOKUP(P1169,'护理记录单文书字典(数据)'!B$4:C$99,2,0)</f>
        <v>9DFD4A350CFAB2112FBC2EB13D0B6546</v>
      </c>
      <c r="C1169" s="75" t="s">
        <v>2573</v>
      </c>
      <c r="D1169" s="75" t="s">
        <v>2572</v>
      </c>
      <c r="E1169" s="92" t="s">
        <v>2048</v>
      </c>
      <c r="F1169" s="92">
        <v>1</v>
      </c>
      <c r="G1169" s="75">
        <v>1</v>
      </c>
      <c r="H1169" s="75"/>
      <c r="I1169" s="75"/>
      <c r="J1169" s="75"/>
      <c r="K1169" s="75" t="s">
        <v>162</v>
      </c>
      <c r="L1169" s="75" t="s">
        <v>509</v>
      </c>
      <c r="M1169" s="75" t="s">
        <v>535</v>
      </c>
      <c r="N1169" s="75" t="s">
        <v>509</v>
      </c>
      <c r="O1169" s="75" t="s">
        <v>535</v>
      </c>
      <c r="P1169" s="75" t="s">
        <v>3773</v>
      </c>
    </row>
    <row r="1170" spans="1:16">
      <c r="A1170" s="63" t="s">
        <v>4282</v>
      </c>
      <c r="B1170" s="14" t="str">
        <f>VLOOKUP(P1170,'护理记录单文书字典(数据)'!B$4:C$99,2,0)</f>
        <v>9DFD4A350CFAB2112FBC2EB13D0B6546</v>
      </c>
      <c r="C1170" s="75" t="s">
        <v>3774</v>
      </c>
      <c r="D1170" s="75" t="s">
        <v>3775</v>
      </c>
      <c r="E1170" s="92" t="s">
        <v>2048</v>
      </c>
      <c r="F1170" s="92">
        <v>1</v>
      </c>
      <c r="G1170" s="75">
        <v>1</v>
      </c>
      <c r="H1170" s="75"/>
      <c r="I1170" s="75"/>
      <c r="J1170" s="75"/>
      <c r="K1170" s="75" t="s">
        <v>162</v>
      </c>
      <c r="L1170" s="75" t="s">
        <v>509</v>
      </c>
      <c r="M1170" s="75" t="s">
        <v>535</v>
      </c>
      <c r="N1170" s="75" t="s">
        <v>509</v>
      </c>
      <c r="O1170" s="75" t="s">
        <v>535</v>
      </c>
      <c r="P1170" s="75" t="s">
        <v>3773</v>
      </c>
    </row>
    <row r="1171" spans="1:16">
      <c r="A1171" s="63" t="s">
        <v>4282</v>
      </c>
      <c r="B1171" s="14" t="str">
        <f>VLOOKUP(P1171,'护理记录单文书字典(数据)'!B$4:C$99,2,0)</f>
        <v>9DFD4A350CFAB2112FBC2EB13D0B6546</v>
      </c>
      <c r="C1171" s="75" t="s">
        <v>3765</v>
      </c>
      <c r="D1171" s="75" t="s">
        <v>3766</v>
      </c>
      <c r="E1171" s="92" t="s">
        <v>2048</v>
      </c>
      <c r="F1171" s="92">
        <v>1</v>
      </c>
      <c r="G1171" s="75">
        <v>1</v>
      </c>
      <c r="H1171" s="75"/>
      <c r="I1171" s="75"/>
      <c r="J1171" s="75"/>
      <c r="K1171" s="75" t="s">
        <v>162</v>
      </c>
      <c r="L1171" s="75" t="s">
        <v>509</v>
      </c>
      <c r="M1171" s="75" t="s">
        <v>535</v>
      </c>
      <c r="N1171" s="75" t="s">
        <v>509</v>
      </c>
      <c r="O1171" s="75" t="s">
        <v>535</v>
      </c>
      <c r="P1171" s="75" t="s">
        <v>3773</v>
      </c>
    </row>
    <row r="1172" spans="1:16">
      <c r="A1172" s="63" t="s">
        <v>4282</v>
      </c>
      <c r="B1172" s="14" t="str">
        <f>VLOOKUP(P1172,'护理记录单文书字典(数据)'!B$4:C$99,2,0)</f>
        <v>9DFD4A350CFAB2112FBC2EB13D0B6546</v>
      </c>
      <c r="C1172" s="75" t="s">
        <v>3776</v>
      </c>
      <c r="D1172" s="75" t="s">
        <v>3777</v>
      </c>
      <c r="E1172" s="92" t="s">
        <v>2048</v>
      </c>
      <c r="F1172" s="92">
        <v>1</v>
      </c>
      <c r="G1172" s="75">
        <v>1</v>
      </c>
      <c r="H1172" s="75"/>
      <c r="I1172" s="75"/>
      <c r="J1172" s="75"/>
      <c r="K1172" s="75" t="s">
        <v>162</v>
      </c>
      <c r="L1172" s="75" t="s">
        <v>509</v>
      </c>
      <c r="M1172" s="75" t="s">
        <v>535</v>
      </c>
      <c r="N1172" s="75" t="s">
        <v>509</v>
      </c>
      <c r="O1172" s="75" t="s">
        <v>535</v>
      </c>
      <c r="P1172" s="75" t="s">
        <v>3773</v>
      </c>
    </row>
    <row r="1173" spans="1:16">
      <c r="A1173" s="63" t="s">
        <v>4282</v>
      </c>
      <c r="B1173" s="14" t="str">
        <f>VLOOKUP(P1173,'护理记录单文书字典(数据)'!B$4:C$99,2,0)</f>
        <v>9DFD4A350CFAB2112FBC2EB13D0B6546</v>
      </c>
      <c r="C1173" s="75" t="s">
        <v>3778</v>
      </c>
      <c r="D1173" s="75" t="s">
        <v>3779</v>
      </c>
      <c r="E1173" s="92" t="s">
        <v>2048</v>
      </c>
      <c r="F1173" s="92">
        <v>1</v>
      </c>
      <c r="G1173" s="75">
        <v>1</v>
      </c>
      <c r="H1173" s="75"/>
      <c r="I1173" s="75"/>
      <c r="J1173" s="75"/>
      <c r="K1173" s="75" t="s">
        <v>162</v>
      </c>
      <c r="L1173" s="75" t="s">
        <v>509</v>
      </c>
      <c r="M1173" s="75" t="s">
        <v>535</v>
      </c>
      <c r="N1173" s="75" t="s">
        <v>509</v>
      </c>
      <c r="O1173" s="75" t="s">
        <v>535</v>
      </c>
      <c r="P1173" s="75" t="s">
        <v>3773</v>
      </c>
    </row>
    <row r="1174" spans="1:16">
      <c r="A1174" s="63" t="s">
        <v>4282</v>
      </c>
      <c r="B1174" s="14" t="str">
        <f>VLOOKUP(P1174,'护理记录单文书字典(数据)'!B$4:C$99,2,0)</f>
        <v>9DFD4A350CFAB2112FBC2EB13D0B6546</v>
      </c>
      <c r="C1174" s="75" t="s">
        <v>3780</v>
      </c>
      <c r="D1174" s="75" t="s">
        <v>3781</v>
      </c>
      <c r="E1174" s="92" t="s">
        <v>2048</v>
      </c>
      <c r="F1174" s="92">
        <v>1</v>
      </c>
      <c r="G1174" s="75">
        <v>1</v>
      </c>
      <c r="H1174" s="75"/>
      <c r="I1174" s="75"/>
      <c r="J1174" s="75"/>
      <c r="K1174" s="75" t="s">
        <v>162</v>
      </c>
      <c r="L1174" s="75" t="s">
        <v>509</v>
      </c>
      <c r="M1174" s="75" t="s">
        <v>535</v>
      </c>
      <c r="N1174" s="75" t="s">
        <v>509</v>
      </c>
      <c r="O1174" s="75" t="s">
        <v>535</v>
      </c>
      <c r="P1174" s="75" t="s">
        <v>3773</v>
      </c>
    </row>
    <row r="1175" spans="1:16">
      <c r="A1175" s="63" t="s">
        <v>4282</v>
      </c>
      <c r="B1175" s="14" t="str">
        <f>VLOOKUP(P1175,'护理记录单文书字典(数据)'!B$4:C$99,2,0)</f>
        <v>9DFD4A350CFAB2112FBC2EB13D0B6546</v>
      </c>
      <c r="C1175" s="75" t="s">
        <v>3782</v>
      </c>
      <c r="D1175" s="75" t="s">
        <v>3783</v>
      </c>
      <c r="E1175" s="92" t="s">
        <v>2048</v>
      </c>
      <c r="F1175" s="92">
        <v>1</v>
      </c>
      <c r="G1175" s="75">
        <v>1</v>
      </c>
      <c r="H1175" s="75"/>
      <c r="I1175" s="75"/>
      <c r="J1175" s="75"/>
      <c r="K1175" s="75" t="s">
        <v>162</v>
      </c>
      <c r="L1175" s="75" t="s">
        <v>509</v>
      </c>
      <c r="M1175" s="75" t="s">
        <v>535</v>
      </c>
      <c r="N1175" s="75" t="s">
        <v>509</v>
      </c>
      <c r="O1175" s="75" t="s">
        <v>535</v>
      </c>
      <c r="P1175" s="75" t="s">
        <v>3773</v>
      </c>
    </row>
    <row r="1176" spans="1:16">
      <c r="A1176" s="63" t="s">
        <v>4282</v>
      </c>
      <c r="B1176" s="14" t="str">
        <f>VLOOKUP(P1176,'护理记录单文书字典(数据)'!B$4:C$99,2,0)</f>
        <v>9DFD4A350CFAB2112FBC2EB13D0B6546</v>
      </c>
      <c r="C1176" s="75" t="s">
        <v>3784</v>
      </c>
      <c r="D1176" s="75" t="s">
        <v>3785</v>
      </c>
      <c r="E1176" s="92" t="s">
        <v>2048</v>
      </c>
      <c r="F1176" s="92">
        <v>1</v>
      </c>
      <c r="G1176" s="75">
        <v>1</v>
      </c>
      <c r="H1176" s="75"/>
      <c r="I1176" s="75"/>
      <c r="J1176" s="75"/>
      <c r="K1176" s="75" t="s">
        <v>162</v>
      </c>
      <c r="L1176" s="75" t="s">
        <v>509</v>
      </c>
      <c r="M1176" s="75" t="s">
        <v>535</v>
      </c>
      <c r="N1176" s="75" t="s">
        <v>509</v>
      </c>
      <c r="O1176" s="75" t="s">
        <v>535</v>
      </c>
      <c r="P1176" s="75" t="s">
        <v>3773</v>
      </c>
    </row>
    <row r="1177" spans="1:16">
      <c r="A1177" s="63" t="s">
        <v>4282</v>
      </c>
      <c r="B1177" s="14" t="str">
        <f>VLOOKUP(P1177,'护理记录单文书字典(数据)'!B$4:C$99,2,0)</f>
        <v>9DFD4A350CFAB2112FBC2EB13D0B6546</v>
      </c>
      <c r="C1177" s="75" t="s">
        <v>3268</v>
      </c>
      <c r="D1177" s="75" t="s">
        <v>1131</v>
      </c>
      <c r="E1177" s="92" t="s">
        <v>2048</v>
      </c>
      <c r="F1177" s="92">
        <v>1</v>
      </c>
      <c r="G1177" s="75">
        <v>1</v>
      </c>
      <c r="H1177" s="75"/>
      <c r="I1177" s="75"/>
      <c r="J1177" s="75"/>
      <c r="K1177" s="75" t="s">
        <v>162</v>
      </c>
      <c r="L1177" s="75" t="s">
        <v>509</v>
      </c>
      <c r="M1177" s="75" t="s">
        <v>535</v>
      </c>
      <c r="N1177" s="75" t="s">
        <v>509</v>
      </c>
      <c r="O1177" s="75" t="s">
        <v>535</v>
      </c>
      <c r="P1177" s="75" t="s">
        <v>3773</v>
      </c>
    </row>
    <row r="1178" spans="1:16">
      <c r="A1178" s="63" t="s">
        <v>4282</v>
      </c>
      <c r="B1178" s="14" t="str">
        <f>VLOOKUP(P1178,'护理记录单文书字典(数据)'!B$4:C$99,2,0)</f>
        <v>9DFD4A350CFAB2112FBC2EB13D0B6546</v>
      </c>
      <c r="C1178" s="75" t="s">
        <v>3786</v>
      </c>
      <c r="D1178" s="75" t="s">
        <v>3787</v>
      </c>
      <c r="E1178" s="92" t="s">
        <v>2048</v>
      </c>
      <c r="F1178" s="92">
        <v>1</v>
      </c>
      <c r="G1178" s="75">
        <v>1</v>
      </c>
      <c r="H1178" s="75"/>
      <c r="I1178" s="75"/>
      <c r="J1178" s="75"/>
      <c r="K1178" s="75" t="s">
        <v>162</v>
      </c>
      <c r="L1178" s="75" t="s">
        <v>509</v>
      </c>
      <c r="M1178" s="75" t="s">
        <v>535</v>
      </c>
      <c r="N1178" s="75" t="s">
        <v>509</v>
      </c>
      <c r="O1178" s="75" t="s">
        <v>535</v>
      </c>
      <c r="P1178" s="75" t="s">
        <v>3773</v>
      </c>
    </row>
    <row r="1179" spans="1:16">
      <c r="A1179" s="63" t="s">
        <v>4282</v>
      </c>
      <c r="B1179" s="14" t="str">
        <f>VLOOKUP(P1179,'护理记录单文书字典(数据)'!B$4:C$99,2,0)</f>
        <v>9DFD4A350CFAB2112FBC2EB13D0B6546</v>
      </c>
      <c r="C1179" s="75" t="s">
        <v>3788</v>
      </c>
      <c r="D1179" s="75" t="s">
        <v>3789</v>
      </c>
      <c r="E1179" s="92" t="s">
        <v>2048</v>
      </c>
      <c r="F1179" s="92">
        <v>1</v>
      </c>
      <c r="G1179" s="75">
        <v>1</v>
      </c>
      <c r="H1179" s="75"/>
      <c r="I1179" s="75"/>
      <c r="J1179" s="75"/>
      <c r="K1179" s="75" t="s">
        <v>162</v>
      </c>
      <c r="L1179" s="75" t="s">
        <v>509</v>
      </c>
      <c r="M1179" s="75" t="s">
        <v>535</v>
      </c>
      <c r="N1179" s="75" t="s">
        <v>509</v>
      </c>
      <c r="O1179" s="75" t="s">
        <v>535</v>
      </c>
      <c r="P1179" s="75" t="s">
        <v>3773</v>
      </c>
    </row>
    <row r="1180" spans="1:16">
      <c r="A1180" s="63" t="s">
        <v>4282</v>
      </c>
      <c r="B1180" s="14" t="str">
        <f>VLOOKUP(P1180,'护理记录单文书字典(数据)'!B$4:C$99,2,0)</f>
        <v>9DFD4A350CFAB2112FBC2EB13D0B6546</v>
      </c>
      <c r="C1180" s="75" t="s">
        <v>3790</v>
      </c>
      <c r="D1180" s="75" t="s">
        <v>3791</v>
      </c>
      <c r="E1180" s="92" t="s">
        <v>2048</v>
      </c>
      <c r="F1180" s="92">
        <v>1</v>
      </c>
      <c r="G1180" s="75">
        <v>1</v>
      </c>
      <c r="H1180" s="75"/>
      <c r="I1180" s="75"/>
      <c r="J1180" s="75"/>
      <c r="K1180" s="75" t="s">
        <v>162</v>
      </c>
      <c r="L1180" s="75" t="s">
        <v>509</v>
      </c>
      <c r="M1180" s="75" t="s">
        <v>535</v>
      </c>
      <c r="N1180" s="75" t="s">
        <v>509</v>
      </c>
      <c r="O1180" s="75" t="s">
        <v>535</v>
      </c>
      <c r="P1180" s="75" t="s">
        <v>3773</v>
      </c>
    </row>
    <row r="1181" spans="1:16">
      <c r="A1181" s="63" t="s">
        <v>4282</v>
      </c>
      <c r="B1181" s="14" t="str">
        <f>VLOOKUP(P1181,'护理记录单文书字典(数据)'!B$4:C$99,2,0)</f>
        <v>9DFD4A350CFAB2112FBC2EB13D0B6546</v>
      </c>
      <c r="C1181" s="75" t="s">
        <v>3792</v>
      </c>
      <c r="D1181" s="75" t="s">
        <v>3793</v>
      </c>
      <c r="E1181" s="92" t="s">
        <v>2048</v>
      </c>
      <c r="F1181" s="92">
        <v>1</v>
      </c>
      <c r="G1181" s="75">
        <v>1</v>
      </c>
      <c r="H1181" s="75"/>
      <c r="I1181" s="75"/>
      <c r="J1181" s="75"/>
      <c r="K1181" s="75" t="s">
        <v>162</v>
      </c>
      <c r="L1181" s="75" t="s">
        <v>509</v>
      </c>
      <c r="M1181" s="75" t="s">
        <v>535</v>
      </c>
      <c r="N1181" s="75" t="s">
        <v>509</v>
      </c>
      <c r="O1181" s="75" t="s">
        <v>535</v>
      </c>
      <c r="P1181" s="75" t="s">
        <v>3773</v>
      </c>
    </row>
    <row r="1182" spans="1:16">
      <c r="A1182" s="63" t="s">
        <v>4282</v>
      </c>
      <c r="B1182" s="14" t="str">
        <f>VLOOKUP(P1182,'护理记录单文书字典(数据)'!B$4:C$99,2,0)</f>
        <v>9DFD4A350CFAB2112FBC2EB13D0B6546</v>
      </c>
      <c r="C1182" s="75" t="s">
        <v>3794</v>
      </c>
      <c r="D1182" s="75" t="s">
        <v>3795</v>
      </c>
      <c r="E1182" s="92" t="s">
        <v>2048</v>
      </c>
      <c r="F1182" s="92">
        <v>1</v>
      </c>
      <c r="G1182" s="75">
        <v>1</v>
      </c>
      <c r="H1182" s="75"/>
      <c r="I1182" s="75"/>
      <c r="J1182" s="75"/>
      <c r="K1182" s="75" t="s">
        <v>162</v>
      </c>
      <c r="L1182" s="75" t="s">
        <v>509</v>
      </c>
      <c r="M1182" s="75" t="s">
        <v>535</v>
      </c>
      <c r="N1182" s="75" t="s">
        <v>509</v>
      </c>
      <c r="O1182" s="75" t="s">
        <v>535</v>
      </c>
      <c r="P1182" s="75" t="s">
        <v>3773</v>
      </c>
    </row>
    <row r="1183" spans="1:16">
      <c r="A1183" s="63" t="s">
        <v>4282</v>
      </c>
      <c r="B1183" s="14" t="str">
        <f>VLOOKUP(P1183,'护理记录单文书字典(数据)'!B$4:C$99,2,0)</f>
        <v>9DFD4A350CFAB2112FBC2EB13D0B6546</v>
      </c>
      <c r="C1183" s="75" t="s">
        <v>3796</v>
      </c>
      <c r="D1183" s="75" t="s">
        <v>3797</v>
      </c>
      <c r="E1183" s="92" t="s">
        <v>2048</v>
      </c>
      <c r="F1183" s="92">
        <v>1</v>
      </c>
      <c r="G1183" s="75">
        <v>1</v>
      </c>
      <c r="H1183" s="75"/>
      <c r="I1183" s="75"/>
      <c r="J1183" s="75"/>
      <c r="K1183" s="75" t="s">
        <v>162</v>
      </c>
      <c r="L1183" s="75" t="s">
        <v>509</v>
      </c>
      <c r="M1183" s="75" t="s">
        <v>535</v>
      </c>
      <c r="N1183" s="75" t="s">
        <v>509</v>
      </c>
      <c r="O1183" s="75" t="s">
        <v>535</v>
      </c>
      <c r="P1183" s="75" t="s">
        <v>3773</v>
      </c>
    </row>
    <row r="1184" spans="1:16">
      <c r="A1184" s="63" t="s">
        <v>4282</v>
      </c>
      <c r="B1184" s="14" t="str">
        <f>VLOOKUP(P1184,'护理记录单文书字典(数据)'!B$4:C$99,2,0)</f>
        <v>9DFD4A350CFAB2112FBC2EB13D0B6546</v>
      </c>
      <c r="C1184" s="75" t="s">
        <v>3798</v>
      </c>
      <c r="D1184" s="75" t="s">
        <v>3799</v>
      </c>
      <c r="E1184" s="92" t="s">
        <v>2048</v>
      </c>
      <c r="F1184" s="92">
        <v>1</v>
      </c>
      <c r="G1184" s="75">
        <v>1</v>
      </c>
      <c r="H1184" s="75"/>
      <c r="I1184" s="75"/>
      <c r="J1184" s="75"/>
      <c r="K1184" s="75" t="s">
        <v>162</v>
      </c>
      <c r="L1184" s="75" t="s">
        <v>509</v>
      </c>
      <c r="M1184" s="75" t="s">
        <v>535</v>
      </c>
      <c r="N1184" s="75" t="s">
        <v>509</v>
      </c>
      <c r="O1184" s="75" t="s">
        <v>535</v>
      </c>
      <c r="P1184" s="75" t="s">
        <v>3773</v>
      </c>
    </row>
    <row r="1185" spans="1:16">
      <c r="A1185" s="63" t="s">
        <v>4282</v>
      </c>
      <c r="B1185" s="14" t="str">
        <f>VLOOKUP(P1185,'护理记录单文书字典(数据)'!B$4:C$99,2,0)</f>
        <v>9DFD4A350CFAB2112FBC2EB13D0B6546</v>
      </c>
      <c r="C1185" s="75" t="s">
        <v>3800</v>
      </c>
      <c r="D1185" s="75" t="s">
        <v>3801</v>
      </c>
      <c r="E1185" s="92" t="s">
        <v>2048</v>
      </c>
      <c r="F1185" s="92">
        <v>1</v>
      </c>
      <c r="G1185" s="75">
        <v>1</v>
      </c>
      <c r="H1185" s="75"/>
      <c r="I1185" s="75"/>
      <c r="J1185" s="75"/>
      <c r="K1185" s="75" t="s">
        <v>162</v>
      </c>
      <c r="L1185" s="75" t="s">
        <v>509</v>
      </c>
      <c r="M1185" s="75" t="s">
        <v>535</v>
      </c>
      <c r="N1185" s="75" t="s">
        <v>509</v>
      </c>
      <c r="O1185" s="75" t="s">
        <v>535</v>
      </c>
      <c r="P1185" s="75" t="s">
        <v>3773</v>
      </c>
    </row>
    <row r="1186" spans="1:16">
      <c r="A1186" s="63" t="s">
        <v>4282</v>
      </c>
      <c r="B1186" s="14" t="str">
        <f>VLOOKUP(P1186,'护理记录单文书字典(数据)'!B$4:C$99,2,0)</f>
        <v>9DFD4A350CFAB2112FBC2EB13D0B6546</v>
      </c>
      <c r="C1186" s="75" t="s">
        <v>3802</v>
      </c>
      <c r="D1186" s="75" t="s">
        <v>3803</v>
      </c>
      <c r="E1186" s="92" t="s">
        <v>2048</v>
      </c>
      <c r="F1186" s="92">
        <v>1</v>
      </c>
      <c r="G1186" s="75">
        <v>1</v>
      </c>
      <c r="H1186" s="75"/>
      <c r="I1186" s="75"/>
      <c r="J1186" s="75"/>
      <c r="K1186" s="75" t="s">
        <v>162</v>
      </c>
      <c r="L1186" s="75" t="s">
        <v>509</v>
      </c>
      <c r="M1186" s="75" t="s">
        <v>535</v>
      </c>
      <c r="N1186" s="75" t="s">
        <v>509</v>
      </c>
      <c r="O1186" s="75" t="s">
        <v>535</v>
      </c>
      <c r="P1186" s="75" t="s">
        <v>3773</v>
      </c>
    </row>
    <row r="1187" spans="1:16">
      <c r="A1187" s="63" t="s">
        <v>4282</v>
      </c>
      <c r="B1187" s="14" t="str">
        <f>VLOOKUP(P1187,'护理记录单文书字典(数据)'!B$4:C$99,2,0)</f>
        <v>9DFD4A350CFAB2112FBC2EB13D0B6546</v>
      </c>
      <c r="C1187" s="75" t="s">
        <v>3804</v>
      </c>
      <c r="D1187" s="75" t="s">
        <v>3805</v>
      </c>
      <c r="E1187" s="92" t="s">
        <v>2048</v>
      </c>
      <c r="F1187" s="92">
        <v>1</v>
      </c>
      <c r="G1187" s="75">
        <v>1</v>
      </c>
      <c r="H1187" s="75"/>
      <c r="I1187" s="75"/>
      <c r="J1187" s="75"/>
      <c r="K1187" s="75" t="s">
        <v>162</v>
      </c>
      <c r="L1187" s="75" t="s">
        <v>509</v>
      </c>
      <c r="M1187" s="75" t="s">
        <v>535</v>
      </c>
      <c r="N1187" s="75" t="s">
        <v>509</v>
      </c>
      <c r="O1187" s="75" t="s">
        <v>535</v>
      </c>
      <c r="P1187" s="75" t="s">
        <v>3773</v>
      </c>
    </row>
    <row r="1188" spans="1:16">
      <c r="A1188" s="63" t="s">
        <v>4282</v>
      </c>
      <c r="B1188" s="14" t="str">
        <f>VLOOKUP(P1188,'护理记录单文书字典(数据)'!B$4:C$99,2,0)</f>
        <v>9DFD4A350CFAB2112FBC2EB13D0B6546</v>
      </c>
      <c r="C1188" s="75" t="s">
        <v>2599</v>
      </c>
      <c r="D1188" s="75" t="s">
        <v>3806</v>
      </c>
      <c r="E1188" s="92" t="s">
        <v>2048</v>
      </c>
      <c r="F1188" s="92">
        <v>1</v>
      </c>
      <c r="G1188" s="75">
        <v>1</v>
      </c>
      <c r="H1188" s="75"/>
      <c r="I1188" s="75"/>
      <c r="J1188" s="75"/>
      <c r="K1188" s="75" t="s">
        <v>162</v>
      </c>
      <c r="L1188" s="75" t="s">
        <v>509</v>
      </c>
      <c r="M1188" s="75" t="s">
        <v>535</v>
      </c>
      <c r="N1188" s="75" t="s">
        <v>509</v>
      </c>
      <c r="O1188" s="75" t="s">
        <v>535</v>
      </c>
      <c r="P1188" s="75" t="s">
        <v>3773</v>
      </c>
    </row>
    <row r="1189" spans="1:16">
      <c r="A1189" s="63" t="s">
        <v>4282</v>
      </c>
      <c r="B1189" s="14" t="str">
        <f>VLOOKUP(P1189,'护理记录单文书字典(数据)'!B$4:C$99,2,0)</f>
        <v>9DFD4A350CFAB2112FBC2EB13D0B6546</v>
      </c>
      <c r="C1189" s="75" t="s">
        <v>3807</v>
      </c>
      <c r="D1189" s="75" t="s">
        <v>3808</v>
      </c>
      <c r="E1189" s="92" t="s">
        <v>2048</v>
      </c>
      <c r="F1189" s="92">
        <v>1</v>
      </c>
      <c r="G1189" s="75">
        <v>1</v>
      </c>
      <c r="H1189" s="75"/>
      <c r="I1189" s="75"/>
      <c r="J1189" s="75"/>
      <c r="K1189" s="75" t="s">
        <v>162</v>
      </c>
      <c r="L1189" s="75" t="s">
        <v>509</v>
      </c>
      <c r="M1189" s="75" t="s">
        <v>535</v>
      </c>
      <c r="N1189" s="75" t="s">
        <v>509</v>
      </c>
      <c r="O1189" s="75" t="s">
        <v>535</v>
      </c>
      <c r="P1189" s="75" t="s">
        <v>3773</v>
      </c>
    </row>
    <row r="1190" spans="1:16">
      <c r="A1190" s="63" t="s">
        <v>4282</v>
      </c>
      <c r="B1190" s="14" t="str">
        <f>VLOOKUP(P1190,'护理记录单文书字典(数据)'!B$4:C$99,2,0)</f>
        <v>9DFD4A350CFAB2112FBC2EB13D0B6546</v>
      </c>
      <c r="C1190" s="75" t="s">
        <v>3809</v>
      </c>
      <c r="D1190" s="75" t="s">
        <v>3810</v>
      </c>
      <c r="E1190" s="92" t="s">
        <v>2048</v>
      </c>
      <c r="F1190" s="92">
        <v>1</v>
      </c>
      <c r="G1190" s="75">
        <v>1</v>
      </c>
      <c r="H1190" s="75"/>
      <c r="I1190" s="75"/>
      <c r="J1190" s="75"/>
      <c r="K1190" s="75" t="s">
        <v>162</v>
      </c>
      <c r="L1190" s="75" t="s">
        <v>509</v>
      </c>
      <c r="M1190" s="75" t="s">
        <v>535</v>
      </c>
      <c r="N1190" s="75" t="s">
        <v>509</v>
      </c>
      <c r="O1190" s="75" t="s">
        <v>535</v>
      </c>
      <c r="P1190" s="75" t="s">
        <v>3773</v>
      </c>
    </row>
    <row r="1191" spans="1:16">
      <c r="A1191" s="63" t="s">
        <v>4282</v>
      </c>
      <c r="B1191" s="14" t="str">
        <f>VLOOKUP(P1191,'护理记录单文书字典(数据)'!B$4:C$99,2,0)</f>
        <v>9DFD4A350CFAB2112FBC2EB13D0B6546</v>
      </c>
      <c r="C1191" s="75" t="s">
        <v>2122</v>
      </c>
      <c r="D1191" s="75" t="s">
        <v>1093</v>
      </c>
      <c r="E1191" s="92" t="s">
        <v>2048</v>
      </c>
      <c r="F1191" s="92">
        <v>1</v>
      </c>
      <c r="G1191" s="75">
        <v>1</v>
      </c>
      <c r="H1191" s="75"/>
      <c r="I1191" s="75"/>
      <c r="J1191" s="75"/>
      <c r="K1191" s="75" t="s">
        <v>162</v>
      </c>
      <c r="L1191" s="75" t="s">
        <v>509</v>
      </c>
      <c r="M1191" s="75" t="s">
        <v>535</v>
      </c>
      <c r="N1191" s="75" t="s">
        <v>509</v>
      </c>
      <c r="O1191" s="75" t="s">
        <v>535</v>
      </c>
      <c r="P1191" s="75" t="s">
        <v>3773</v>
      </c>
    </row>
    <row r="1192" spans="1:16">
      <c r="A1192" s="63" t="s">
        <v>4282</v>
      </c>
      <c r="B1192" s="14" t="str">
        <f>VLOOKUP(P1192,'护理记录单文书字典(数据)'!B$4:C$99,2,0)</f>
        <v>9DFD4A350CFAB2112FBC2EB13D0B6546</v>
      </c>
      <c r="C1192" s="75" t="s">
        <v>3811</v>
      </c>
      <c r="D1192" s="75" t="s">
        <v>3812</v>
      </c>
      <c r="E1192" s="92" t="s">
        <v>2048</v>
      </c>
      <c r="F1192" s="92">
        <v>1</v>
      </c>
      <c r="G1192" s="75">
        <v>1</v>
      </c>
      <c r="H1192" s="75"/>
      <c r="I1192" s="75"/>
      <c r="J1192" s="75"/>
      <c r="K1192" s="75" t="s">
        <v>162</v>
      </c>
      <c r="L1192" s="75" t="s">
        <v>509</v>
      </c>
      <c r="M1192" s="75" t="s">
        <v>535</v>
      </c>
      <c r="N1192" s="75" t="s">
        <v>509</v>
      </c>
      <c r="O1192" s="75" t="s">
        <v>535</v>
      </c>
      <c r="P1192" s="75" t="s">
        <v>3773</v>
      </c>
    </row>
    <row r="1193" spans="1:16">
      <c r="A1193" s="63" t="s">
        <v>4282</v>
      </c>
      <c r="B1193" s="14" t="str">
        <f>VLOOKUP(P1193,'护理记录单文书字典(数据)'!B$4:C$99,2,0)</f>
        <v>9DFD4A350CFAB2112FBC2EB13D0B6546</v>
      </c>
      <c r="C1193" s="75" t="s">
        <v>3813</v>
      </c>
      <c r="D1193" s="75" t="s">
        <v>3814</v>
      </c>
      <c r="E1193" s="92" t="s">
        <v>2048</v>
      </c>
      <c r="F1193" s="92">
        <v>1</v>
      </c>
      <c r="G1193" s="75">
        <v>1</v>
      </c>
      <c r="H1193" s="75"/>
      <c r="I1193" s="75"/>
      <c r="J1193" s="75"/>
      <c r="K1193" s="75" t="s">
        <v>162</v>
      </c>
      <c r="L1193" s="75" t="s">
        <v>509</v>
      </c>
      <c r="M1193" s="75" t="s">
        <v>535</v>
      </c>
      <c r="N1193" s="75" t="s">
        <v>509</v>
      </c>
      <c r="O1193" s="75" t="s">
        <v>535</v>
      </c>
      <c r="P1193" s="75" t="s">
        <v>3773</v>
      </c>
    </row>
    <row r="1194" spans="1:16">
      <c r="A1194" s="198" t="s">
        <v>4282</v>
      </c>
      <c r="B1194" s="14" t="str">
        <f>VLOOKUP(P1194,'护理记录单文书字典(数据)'!B$4:C$99,2,0)</f>
        <v>9DFD4A350CFAB2112FBC2EB13D0B6546</v>
      </c>
      <c r="C1194" s="200" t="s">
        <v>2105</v>
      </c>
      <c r="D1194" s="200" t="s">
        <v>2103</v>
      </c>
      <c r="E1194" s="202" t="s">
        <v>2104</v>
      </c>
      <c r="F1194" s="202">
        <v>1</v>
      </c>
      <c r="G1194" s="200">
        <v>1</v>
      </c>
      <c r="H1194" s="200"/>
      <c r="I1194" s="200"/>
      <c r="J1194" s="200"/>
      <c r="K1194" s="200" t="s">
        <v>162</v>
      </c>
      <c r="L1194" s="200" t="s">
        <v>509</v>
      </c>
      <c r="M1194" s="200" t="s">
        <v>535</v>
      </c>
      <c r="N1194" s="200" t="s">
        <v>509</v>
      </c>
      <c r="O1194" s="200" t="s">
        <v>535</v>
      </c>
      <c r="P1194" s="200" t="s">
        <v>3773</v>
      </c>
    </row>
    <row r="1195" spans="1:16">
      <c r="A1195" s="63" t="s">
        <v>4282</v>
      </c>
      <c r="B1195" s="14" t="str">
        <f>VLOOKUP(P1195,'护理记录单文书字典(数据)'!B$4:C$99,2,0)</f>
        <v>137B44350CFAB211B6A735E0680B8417</v>
      </c>
      <c r="C1195" s="75" t="s">
        <v>2573</v>
      </c>
      <c r="D1195" s="75" t="s">
        <v>2572</v>
      </c>
      <c r="E1195" s="92" t="s">
        <v>2048</v>
      </c>
      <c r="F1195" s="92">
        <v>1</v>
      </c>
      <c r="G1195" s="75">
        <v>1</v>
      </c>
      <c r="H1195" s="75"/>
      <c r="I1195" s="75"/>
      <c r="J1195" s="75"/>
      <c r="K1195" s="75" t="s">
        <v>162</v>
      </c>
      <c r="L1195" s="75" t="s">
        <v>509</v>
      </c>
      <c r="M1195" s="75" t="s">
        <v>535</v>
      </c>
      <c r="N1195" s="75" t="s">
        <v>509</v>
      </c>
      <c r="O1195" s="75" t="s">
        <v>535</v>
      </c>
      <c r="P1195" s="75" t="s">
        <v>1447</v>
      </c>
    </row>
    <row r="1196" spans="1:16">
      <c r="A1196" s="63" t="s">
        <v>4282</v>
      </c>
      <c r="B1196" s="14" t="str">
        <f>VLOOKUP(P1196,'护理记录单文书字典(数据)'!B$4:C$99,2,0)</f>
        <v>137B44350CFAB211B6A735E0680B8417</v>
      </c>
      <c r="C1196" s="75" t="s">
        <v>3815</v>
      </c>
      <c r="D1196" s="75" t="s">
        <v>3816</v>
      </c>
      <c r="E1196" s="92" t="s">
        <v>2048</v>
      </c>
      <c r="F1196" s="92">
        <v>1</v>
      </c>
      <c r="G1196" s="75">
        <v>1</v>
      </c>
      <c r="H1196" s="75"/>
      <c r="I1196" s="75"/>
      <c r="J1196" s="75"/>
      <c r="K1196" s="75" t="s">
        <v>162</v>
      </c>
      <c r="L1196" s="75" t="s">
        <v>509</v>
      </c>
      <c r="M1196" s="75" t="s">
        <v>535</v>
      </c>
      <c r="N1196" s="75" t="s">
        <v>509</v>
      </c>
      <c r="O1196" s="75" t="s">
        <v>535</v>
      </c>
      <c r="P1196" s="75" t="s">
        <v>1447</v>
      </c>
    </row>
    <row r="1197" spans="1:16">
      <c r="A1197" s="63" t="s">
        <v>4282</v>
      </c>
      <c r="B1197" s="14" t="str">
        <f>VLOOKUP(P1197,'护理记录单文书字典(数据)'!B$4:C$99,2,0)</f>
        <v>137B44350CFAB211B6A735E0680B8417</v>
      </c>
      <c r="C1197" s="75" t="s">
        <v>3817</v>
      </c>
      <c r="D1197" s="75" t="s">
        <v>3818</v>
      </c>
      <c r="E1197" s="92" t="s">
        <v>2048</v>
      </c>
      <c r="F1197" s="92">
        <v>1</v>
      </c>
      <c r="G1197" s="75">
        <v>1</v>
      </c>
      <c r="H1197" s="75"/>
      <c r="I1197" s="75"/>
      <c r="J1197" s="75"/>
      <c r="K1197" s="75" t="s">
        <v>162</v>
      </c>
      <c r="L1197" s="75" t="s">
        <v>509</v>
      </c>
      <c r="M1197" s="75" t="s">
        <v>535</v>
      </c>
      <c r="N1197" s="75" t="s">
        <v>509</v>
      </c>
      <c r="O1197" s="75" t="s">
        <v>535</v>
      </c>
      <c r="P1197" s="75" t="s">
        <v>1447</v>
      </c>
    </row>
    <row r="1198" spans="1:16">
      <c r="A1198" s="63" t="s">
        <v>4282</v>
      </c>
      <c r="B1198" s="14" t="str">
        <f>VLOOKUP(P1198,'护理记录单文书字典(数据)'!B$4:C$99,2,0)</f>
        <v>137B44350CFAB211B6A735E0680B8417</v>
      </c>
      <c r="C1198" s="75" t="s">
        <v>3819</v>
      </c>
      <c r="D1198" s="75" t="s">
        <v>1445</v>
      </c>
      <c r="E1198" s="92" t="s">
        <v>2052</v>
      </c>
      <c r="F1198" s="92">
        <v>1</v>
      </c>
      <c r="G1198" s="75">
        <v>1</v>
      </c>
      <c r="H1198" s="75" t="s">
        <v>1444</v>
      </c>
      <c r="I1198" s="75"/>
      <c r="J1198" s="75"/>
      <c r="K1198" s="75" t="s">
        <v>162</v>
      </c>
      <c r="L1198" s="75" t="s">
        <v>509</v>
      </c>
      <c r="M1198" s="75" t="s">
        <v>535</v>
      </c>
      <c r="N1198" s="75" t="s">
        <v>509</v>
      </c>
      <c r="O1198" s="75" t="s">
        <v>535</v>
      </c>
      <c r="P1198" s="75" t="s">
        <v>1447</v>
      </c>
    </row>
    <row r="1199" spans="1:16">
      <c r="A1199" s="63" t="s">
        <v>4282</v>
      </c>
      <c r="B1199" s="14" t="str">
        <f>VLOOKUP(P1199,'护理记录单文书字典(数据)'!B$4:C$99,2,0)</f>
        <v>137B44350CFAB211B6A735E0680B8417</v>
      </c>
      <c r="C1199" s="75" t="s">
        <v>3820</v>
      </c>
      <c r="D1199" s="75" t="s">
        <v>1451</v>
      </c>
      <c r="E1199" s="92" t="s">
        <v>2052</v>
      </c>
      <c r="F1199" s="92">
        <v>1</v>
      </c>
      <c r="G1199" s="75">
        <v>1</v>
      </c>
      <c r="H1199" s="75" t="s">
        <v>1450</v>
      </c>
      <c r="I1199" s="75"/>
      <c r="J1199" s="75"/>
      <c r="K1199" s="75" t="s">
        <v>162</v>
      </c>
      <c r="L1199" s="75" t="s">
        <v>509</v>
      </c>
      <c r="M1199" s="75" t="s">
        <v>535</v>
      </c>
      <c r="N1199" s="75" t="s">
        <v>509</v>
      </c>
      <c r="O1199" s="75" t="s">
        <v>535</v>
      </c>
      <c r="P1199" s="75" t="s">
        <v>1447</v>
      </c>
    </row>
    <row r="1200" spans="1:16">
      <c r="A1200" s="63" t="s">
        <v>4282</v>
      </c>
      <c r="B1200" s="14" t="str">
        <f>VLOOKUP(P1200,'护理记录单文书字典(数据)'!B$4:C$99,2,0)</f>
        <v>137B44350CFAB211B6A735E0680B8417</v>
      </c>
      <c r="C1200" s="75" t="s">
        <v>2897</v>
      </c>
      <c r="D1200" s="75" t="s">
        <v>1455</v>
      </c>
      <c r="E1200" s="92" t="s">
        <v>2052</v>
      </c>
      <c r="F1200" s="92">
        <v>1</v>
      </c>
      <c r="G1200" s="75">
        <v>1</v>
      </c>
      <c r="H1200" s="75" t="s">
        <v>1454</v>
      </c>
      <c r="I1200" s="75"/>
      <c r="J1200" s="75"/>
      <c r="K1200" s="75" t="s">
        <v>162</v>
      </c>
      <c r="L1200" s="75" t="s">
        <v>509</v>
      </c>
      <c r="M1200" s="75" t="s">
        <v>535</v>
      </c>
      <c r="N1200" s="75" t="s">
        <v>509</v>
      </c>
      <c r="O1200" s="75" t="s">
        <v>535</v>
      </c>
      <c r="P1200" s="75" t="s">
        <v>1447</v>
      </c>
    </row>
    <row r="1201" spans="1:16">
      <c r="A1201" s="63" t="s">
        <v>4282</v>
      </c>
      <c r="B1201" s="14" t="str">
        <f>VLOOKUP(P1201,'护理记录单文书字典(数据)'!B$4:C$99,2,0)</f>
        <v>137B44350CFAB211B6A735E0680B8417</v>
      </c>
      <c r="C1201" s="75" t="s">
        <v>3821</v>
      </c>
      <c r="D1201" s="75" t="s">
        <v>3822</v>
      </c>
      <c r="E1201" s="92" t="s">
        <v>2048</v>
      </c>
      <c r="F1201" s="92">
        <v>1</v>
      </c>
      <c r="G1201" s="75">
        <v>1</v>
      </c>
      <c r="H1201" s="75"/>
      <c r="I1201" s="75"/>
      <c r="J1201" s="75"/>
      <c r="K1201" s="75" t="s">
        <v>162</v>
      </c>
      <c r="L1201" s="75" t="s">
        <v>509</v>
      </c>
      <c r="M1201" s="75" t="s">
        <v>535</v>
      </c>
      <c r="N1201" s="75" t="s">
        <v>509</v>
      </c>
      <c r="O1201" s="75" t="s">
        <v>535</v>
      </c>
      <c r="P1201" s="75" t="s">
        <v>1447</v>
      </c>
    </row>
    <row r="1202" spans="1:16">
      <c r="A1202" s="63" t="s">
        <v>4282</v>
      </c>
      <c r="B1202" s="14" t="str">
        <f>VLOOKUP(P1202,'护理记录单文书字典(数据)'!B$4:C$99,2,0)</f>
        <v>137B44350CFAB211B6A735E0680B8417</v>
      </c>
      <c r="C1202" s="75" t="s">
        <v>3823</v>
      </c>
      <c r="D1202" s="75" t="s">
        <v>3824</v>
      </c>
      <c r="E1202" s="92" t="s">
        <v>2048</v>
      </c>
      <c r="F1202" s="92">
        <v>1</v>
      </c>
      <c r="G1202" s="75">
        <v>1</v>
      </c>
      <c r="H1202" s="75"/>
      <c r="I1202" s="75"/>
      <c r="J1202" s="75"/>
      <c r="K1202" s="75" t="s">
        <v>162</v>
      </c>
      <c r="L1202" s="75" t="s">
        <v>509</v>
      </c>
      <c r="M1202" s="75" t="s">
        <v>535</v>
      </c>
      <c r="N1202" s="75" t="s">
        <v>509</v>
      </c>
      <c r="O1202" s="75" t="s">
        <v>535</v>
      </c>
      <c r="P1202" s="75" t="s">
        <v>1447</v>
      </c>
    </row>
    <row r="1203" spans="1:16">
      <c r="A1203" s="63" t="s">
        <v>4282</v>
      </c>
      <c r="B1203" s="14" t="str">
        <f>VLOOKUP(P1203,'护理记录单文书字典(数据)'!B$4:C$99,2,0)</f>
        <v>137B44350CFAB211B6A735E0680B8417</v>
      </c>
      <c r="C1203" s="75" t="s">
        <v>3825</v>
      </c>
      <c r="D1203" s="75" t="s">
        <v>3826</v>
      </c>
      <c r="E1203" s="92" t="s">
        <v>2048</v>
      </c>
      <c r="F1203" s="92">
        <v>1</v>
      </c>
      <c r="G1203" s="75">
        <v>1</v>
      </c>
      <c r="H1203" s="75"/>
      <c r="I1203" s="75"/>
      <c r="J1203" s="75"/>
      <c r="K1203" s="75" t="s">
        <v>162</v>
      </c>
      <c r="L1203" s="75" t="s">
        <v>509</v>
      </c>
      <c r="M1203" s="75" t="s">
        <v>535</v>
      </c>
      <c r="N1203" s="75" t="s">
        <v>509</v>
      </c>
      <c r="O1203" s="75" t="s">
        <v>535</v>
      </c>
      <c r="P1203" s="75" t="s">
        <v>1447</v>
      </c>
    </row>
    <row r="1204" spans="1:16">
      <c r="A1204" s="63" t="s">
        <v>4282</v>
      </c>
      <c r="B1204" s="14" t="str">
        <f>VLOOKUP(P1204,'护理记录单文书字典(数据)'!B$4:C$99,2,0)</f>
        <v>137B44350CFAB211B6A735E0680B8417</v>
      </c>
      <c r="C1204" s="75" t="s">
        <v>3827</v>
      </c>
      <c r="D1204" s="75" t="s">
        <v>1457</v>
      </c>
      <c r="E1204" s="92" t="s">
        <v>2052</v>
      </c>
      <c r="F1204" s="92">
        <v>1</v>
      </c>
      <c r="G1204" s="75">
        <v>1</v>
      </c>
      <c r="H1204" s="75" t="s">
        <v>1456</v>
      </c>
      <c r="I1204" s="75"/>
      <c r="J1204" s="75"/>
      <c r="K1204" s="75" t="s">
        <v>162</v>
      </c>
      <c r="L1204" s="75" t="s">
        <v>509</v>
      </c>
      <c r="M1204" s="75" t="s">
        <v>535</v>
      </c>
      <c r="N1204" s="75" t="s">
        <v>509</v>
      </c>
      <c r="O1204" s="75" t="s">
        <v>535</v>
      </c>
      <c r="P1204" s="75" t="s">
        <v>1447</v>
      </c>
    </row>
    <row r="1205" spans="1:16">
      <c r="A1205" s="63" t="s">
        <v>4282</v>
      </c>
      <c r="B1205" s="14" t="str">
        <f>VLOOKUP(P1205,'护理记录单文书字典(数据)'!B$4:C$99,2,0)</f>
        <v>137B44350CFAB211B6A735E0680B8417</v>
      </c>
      <c r="C1205" s="75" t="s">
        <v>3828</v>
      </c>
      <c r="D1205" s="75" t="s">
        <v>3829</v>
      </c>
      <c r="E1205" s="92" t="s">
        <v>2048</v>
      </c>
      <c r="F1205" s="92">
        <v>1</v>
      </c>
      <c r="G1205" s="75">
        <v>1</v>
      </c>
      <c r="H1205" s="75"/>
      <c r="I1205" s="75"/>
      <c r="J1205" s="75"/>
      <c r="K1205" s="75" t="s">
        <v>162</v>
      </c>
      <c r="L1205" s="75" t="s">
        <v>509</v>
      </c>
      <c r="M1205" s="75" t="s">
        <v>535</v>
      </c>
      <c r="N1205" s="75" t="s">
        <v>509</v>
      </c>
      <c r="O1205" s="75" t="s">
        <v>535</v>
      </c>
      <c r="P1205" s="75" t="s">
        <v>1447</v>
      </c>
    </row>
    <row r="1206" spans="1:16">
      <c r="A1206" s="63" t="s">
        <v>4282</v>
      </c>
      <c r="B1206" s="14" t="str">
        <f>VLOOKUP(P1206,'护理记录单文书字典(数据)'!B$4:C$99,2,0)</f>
        <v>137B44350CFAB211B6A735E0680B8417</v>
      </c>
      <c r="C1206" s="75" t="s">
        <v>3723</v>
      </c>
      <c r="D1206" s="75" t="s">
        <v>1459</v>
      </c>
      <c r="E1206" s="92" t="s">
        <v>2052</v>
      </c>
      <c r="F1206" s="92">
        <v>1</v>
      </c>
      <c r="G1206" s="75">
        <v>1</v>
      </c>
      <c r="H1206" s="75" t="s">
        <v>1458</v>
      </c>
      <c r="I1206" s="75"/>
      <c r="J1206" s="75"/>
      <c r="K1206" s="75" t="s">
        <v>162</v>
      </c>
      <c r="L1206" s="75" t="s">
        <v>509</v>
      </c>
      <c r="M1206" s="75" t="s">
        <v>535</v>
      </c>
      <c r="N1206" s="75" t="s">
        <v>509</v>
      </c>
      <c r="O1206" s="75" t="s">
        <v>535</v>
      </c>
      <c r="P1206" s="75" t="s">
        <v>1447</v>
      </c>
    </row>
    <row r="1207" spans="1:16">
      <c r="A1207" s="63" t="s">
        <v>4282</v>
      </c>
      <c r="B1207" s="14" t="str">
        <f>VLOOKUP(P1207,'护理记录单文书字典(数据)'!B$4:C$99,2,0)</f>
        <v>137B44350CFAB211B6A735E0680B8417</v>
      </c>
      <c r="C1207" s="75" t="s">
        <v>3830</v>
      </c>
      <c r="D1207" s="75" t="s">
        <v>3831</v>
      </c>
      <c r="E1207" s="92" t="s">
        <v>2048</v>
      </c>
      <c r="F1207" s="92">
        <v>1</v>
      </c>
      <c r="G1207" s="75">
        <v>1</v>
      </c>
      <c r="H1207" s="75"/>
      <c r="I1207" s="75"/>
      <c r="J1207" s="75"/>
      <c r="K1207" s="75" t="s">
        <v>162</v>
      </c>
      <c r="L1207" s="75" t="s">
        <v>509</v>
      </c>
      <c r="M1207" s="75" t="s">
        <v>535</v>
      </c>
      <c r="N1207" s="75" t="s">
        <v>509</v>
      </c>
      <c r="O1207" s="75" t="s">
        <v>535</v>
      </c>
      <c r="P1207" s="75" t="s">
        <v>1447</v>
      </c>
    </row>
    <row r="1208" spans="1:16">
      <c r="A1208" s="63" t="s">
        <v>4282</v>
      </c>
      <c r="B1208" s="14" t="str">
        <f>VLOOKUP(P1208,'护理记录单文书字典(数据)'!B$4:C$99,2,0)</f>
        <v>137B44350CFAB211B6A735E0680B8417</v>
      </c>
      <c r="C1208" s="75" t="s">
        <v>2105</v>
      </c>
      <c r="D1208" s="75" t="s">
        <v>2103</v>
      </c>
      <c r="E1208" s="92" t="s">
        <v>2104</v>
      </c>
      <c r="F1208" s="92">
        <v>1</v>
      </c>
      <c r="G1208" s="75">
        <v>1</v>
      </c>
      <c r="H1208" s="75"/>
      <c r="I1208" s="75"/>
      <c r="J1208" s="75"/>
      <c r="K1208" s="75" t="s">
        <v>162</v>
      </c>
      <c r="L1208" s="75" t="s">
        <v>509</v>
      </c>
      <c r="M1208" s="75" t="s">
        <v>535</v>
      </c>
      <c r="N1208" s="75" t="s">
        <v>509</v>
      </c>
      <c r="O1208" s="75" t="s">
        <v>535</v>
      </c>
      <c r="P1208" s="75" t="s">
        <v>1447</v>
      </c>
    </row>
    <row r="1209" spans="1:16">
      <c r="A1209" s="63" t="s">
        <v>4282</v>
      </c>
      <c r="B1209" s="14" t="str">
        <f>VLOOKUP(P1209,'护理记录单文书字典(数据)'!B$4:C$99,2,0)</f>
        <v>FE2D3E350CFAB21140B92D7AA69ED000</v>
      </c>
      <c r="C1209" s="75" t="s">
        <v>3832</v>
      </c>
      <c r="D1209" s="75" t="s">
        <v>3271</v>
      </c>
      <c r="E1209" s="92" t="s">
        <v>2048</v>
      </c>
      <c r="F1209" s="92">
        <v>1</v>
      </c>
      <c r="G1209" s="75">
        <v>1</v>
      </c>
      <c r="H1209" s="75"/>
      <c r="I1209" s="75"/>
      <c r="J1209" s="75"/>
      <c r="K1209" s="75" t="s">
        <v>162</v>
      </c>
      <c r="L1209" s="75" t="s">
        <v>509</v>
      </c>
      <c r="M1209" s="75" t="s">
        <v>535</v>
      </c>
      <c r="N1209" s="75" t="s">
        <v>509</v>
      </c>
      <c r="O1209" s="75" t="s">
        <v>535</v>
      </c>
      <c r="P1209" s="75" t="s">
        <v>3833</v>
      </c>
    </row>
    <row r="1210" spans="1:16">
      <c r="A1210" s="63" t="s">
        <v>4282</v>
      </c>
      <c r="B1210" s="14" t="str">
        <f>VLOOKUP(P1210,'护理记录单文书字典(数据)'!B$4:C$99,2,0)</f>
        <v>FE2D3E350CFAB21140B92D7AA69ED000</v>
      </c>
      <c r="C1210" s="75" t="s">
        <v>3834</v>
      </c>
      <c r="D1210" s="75" t="s">
        <v>3835</v>
      </c>
      <c r="E1210" s="92" t="s">
        <v>2048</v>
      </c>
      <c r="F1210" s="92">
        <v>1</v>
      </c>
      <c r="G1210" s="75">
        <v>1</v>
      </c>
      <c r="H1210" s="75"/>
      <c r="I1210" s="75"/>
      <c r="J1210" s="75"/>
      <c r="K1210" s="75" t="s">
        <v>162</v>
      </c>
      <c r="L1210" s="75" t="s">
        <v>509</v>
      </c>
      <c r="M1210" s="75" t="s">
        <v>535</v>
      </c>
      <c r="N1210" s="75" t="s">
        <v>509</v>
      </c>
      <c r="O1210" s="75" t="s">
        <v>535</v>
      </c>
      <c r="P1210" s="75" t="s">
        <v>3833</v>
      </c>
    </row>
    <row r="1211" spans="1:16">
      <c r="A1211" s="63" t="s">
        <v>4282</v>
      </c>
      <c r="B1211" s="14" t="str">
        <f>VLOOKUP(P1211,'护理记录单文书字典(数据)'!B$4:C$99,2,0)</f>
        <v>FE2D3E350CFAB21140B92D7AA69ED000</v>
      </c>
      <c r="C1211" s="75" t="s">
        <v>2112</v>
      </c>
      <c r="D1211" s="75" t="s">
        <v>2978</v>
      </c>
      <c r="E1211" s="92" t="s">
        <v>2048</v>
      </c>
      <c r="F1211" s="92">
        <v>1</v>
      </c>
      <c r="G1211" s="75">
        <v>1</v>
      </c>
      <c r="H1211" s="75"/>
      <c r="I1211" s="75"/>
      <c r="J1211" s="75"/>
      <c r="K1211" s="75" t="s">
        <v>162</v>
      </c>
      <c r="L1211" s="75" t="s">
        <v>509</v>
      </c>
      <c r="M1211" s="75" t="s">
        <v>535</v>
      </c>
      <c r="N1211" s="75" t="s">
        <v>509</v>
      </c>
      <c r="O1211" s="75" t="s">
        <v>535</v>
      </c>
      <c r="P1211" s="75" t="s">
        <v>3833</v>
      </c>
    </row>
    <row r="1212" spans="1:16">
      <c r="A1212" s="63" t="s">
        <v>4282</v>
      </c>
      <c r="B1212" s="14" t="str">
        <f>VLOOKUP(P1212,'护理记录单文书字典(数据)'!B$4:C$99,2,0)</f>
        <v>FE2D3E350CFAB21140B92D7AA69ED000</v>
      </c>
      <c r="C1212" s="75" t="s">
        <v>2856</v>
      </c>
      <c r="D1212" s="75" t="s">
        <v>2857</v>
      </c>
      <c r="E1212" s="92" t="s">
        <v>2048</v>
      </c>
      <c r="F1212" s="92">
        <v>1</v>
      </c>
      <c r="G1212" s="75">
        <v>1</v>
      </c>
      <c r="H1212" s="75"/>
      <c r="I1212" s="75"/>
      <c r="J1212" s="75"/>
      <c r="K1212" s="75" t="s">
        <v>162</v>
      </c>
      <c r="L1212" s="75" t="s">
        <v>509</v>
      </c>
      <c r="M1212" s="75" t="s">
        <v>535</v>
      </c>
      <c r="N1212" s="75" t="s">
        <v>509</v>
      </c>
      <c r="O1212" s="75" t="s">
        <v>535</v>
      </c>
      <c r="P1212" s="75" t="s">
        <v>3833</v>
      </c>
    </row>
    <row r="1213" spans="1:16">
      <c r="A1213" s="63" t="s">
        <v>4282</v>
      </c>
      <c r="B1213" s="14" t="str">
        <f>VLOOKUP(P1213,'护理记录单文书字典(数据)'!B$4:C$99,2,0)</f>
        <v>FE2D3E350CFAB21140B92D7AA69ED000</v>
      </c>
      <c r="C1213" s="75" t="s">
        <v>2859</v>
      </c>
      <c r="D1213" s="75" t="s">
        <v>2860</v>
      </c>
      <c r="E1213" s="92" t="s">
        <v>2048</v>
      </c>
      <c r="F1213" s="92">
        <v>1</v>
      </c>
      <c r="G1213" s="75">
        <v>1</v>
      </c>
      <c r="H1213" s="75"/>
      <c r="I1213" s="75"/>
      <c r="J1213" s="75"/>
      <c r="K1213" s="75" t="s">
        <v>162</v>
      </c>
      <c r="L1213" s="75" t="s">
        <v>509</v>
      </c>
      <c r="M1213" s="75" t="s">
        <v>535</v>
      </c>
      <c r="N1213" s="75" t="s">
        <v>509</v>
      </c>
      <c r="O1213" s="75" t="s">
        <v>535</v>
      </c>
      <c r="P1213" s="75" t="s">
        <v>3833</v>
      </c>
    </row>
    <row r="1214" spans="1:16">
      <c r="A1214" s="63" t="s">
        <v>4282</v>
      </c>
      <c r="B1214" s="14" t="str">
        <f>VLOOKUP(P1214,'护理记录单文书字典(数据)'!B$4:C$99,2,0)</f>
        <v>FE2D3E350CFAB21140B92D7AA69ED000</v>
      </c>
      <c r="C1214" s="75" t="s">
        <v>2863</v>
      </c>
      <c r="D1214" s="75" t="s">
        <v>102</v>
      </c>
      <c r="E1214" s="92" t="s">
        <v>2048</v>
      </c>
      <c r="F1214" s="92">
        <v>1</v>
      </c>
      <c r="G1214" s="75">
        <v>1</v>
      </c>
      <c r="H1214" s="75"/>
      <c r="I1214" s="75"/>
      <c r="J1214" s="75"/>
      <c r="K1214" s="75" t="s">
        <v>162</v>
      </c>
      <c r="L1214" s="75" t="s">
        <v>509</v>
      </c>
      <c r="M1214" s="75" t="s">
        <v>535</v>
      </c>
      <c r="N1214" s="75" t="s">
        <v>509</v>
      </c>
      <c r="O1214" s="75" t="s">
        <v>535</v>
      </c>
      <c r="P1214" s="75" t="s">
        <v>3833</v>
      </c>
    </row>
    <row r="1215" spans="1:16">
      <c r="A1215" s="63" t="s">
        <v>4282</v>
      </c>
      <c r="B1215" s="14" t="str">
        <f>VLOOKUP(P1215,'护理记录单文书字典(数据)'!B$4:C$99,2,0)</f>
        <v>FE2D3E350CFAB21140B92D7AA69ED000</v>
      </c>
      <c r="C1215" s="75" t="s">
        <v>2864</v>
      </c>
      <c r="D1215" s="75" t="s">
        <v>101</v>
      </c>
      <c r="E1215" s="92" t="s">
        <v>2048</v>
      </c>
      <c r="F1215" s="92">
        <v>1</v>
      </c>
      <c r="G1215" s="75">
        <v>1</v>
      </c>
      <c r="H1215" s="75"/>
      <c r="I1215" s="75"/>
      <c r="J1215" s="75"/>
      <c r="K1215" s="75" t="s">
        <v>162</v>
      </c>
      <c r="L1215" s="75" t="s">
        <v>509</v>
      </c>
      <c r="M1215" s="75" t="s">
        <v>535</v>
      </c>
      <c r="N1215" s="75" t="s">
        <v>509</v>
      </c>
      <c r="O1215" s="75" t="s">
        <v>535</v>
      </c>
      <c r="P1215" s="75" t="s">
        <v>3833</v>
      </c>
    </row>
    <row r="1216" spans="1:16">
      <c r="A1216" s="63" t="s">
        <v>4282</v>
      </c>
      <c r="B1216" s="14" t="str">
        <f>VLOOKUP(P1216,'护理记录单文书字典(数据)'!B$4:C$99,2,0)</f>
        <v>FE2D3E350CFAB21140B92D7AA69ED000</v>
      </c>
      <c r="C1216" s="75" t="s">
        <v>3836</v>
      </c>
      <c r="D1216" s="75" t="s">
        <v>3837</v>
      </c>
      <c r="E1216" s="92" t="s">
        <v>2048</v>
      </c>
      <c r="F1216" s="92">
        <v>1</v>
      </c>
      <c r="G1216" s="75">
        <v>1</v>
      </c>
      <c r="H1216" s="75"/>
      <c r="I1216" s="75"/>
      <c r="J1216" s="75"/>
      <c r="K1216" s="75" t="s">
        <v>162</v>
      </c>
      <c r="L1216" s="75" t="s">
        <v>509</v>
      </c>
      <c r="M1216" s="75" t="s">
        <v>535</v>
      </c>
      <c r="N1216" s="75" t="s">
        <v>509</v>
      </c>
      <c r="O1216" s="75" t="s">
        <v>535</v>
      </c>
      <c r="P1216" s="75" t="s">
        <v>3833</v>
      </c>
    </row>
    <row r="1217" spans="1:16">
      <c r="A1217" s="63" t="s">
        <v>4282</v>
      </c>
      <c r="B1217" s="14" t="str">
        <f>VLOOKUP(P1217,'护理记录单文书字典(数据)'!B$4:C$99,2,0)</f>
        <v>FE2D3E350CFAB21140B92D7AA69ED000</v>
      </c>
      <c r="C1217" s="75" t="s">
        <v>3519</v>
      </c>
      <c r="D1217" s="75" t="s">
        <v>3838</v>
      </c>
      <c r="E1217" s="92" t="s">
        <v>2048</v>
      </c>
      <c r="F1217" s="92">
        <v>1</v>
      </c>
      <c r="G1217" s="75">
        <v>1</v>
      </c>
      <c r="H1217" s="75"/>
      <c r="I1217" s="75"/>
      <c r="J1217" s="75"/>
      <c r="K1217" s="75" t="s">
        <v>162</v>
      </c>
      <c r="L1217" s="75" t="s">
        <v>509</v>
      </c>
      <c r="M1217" s="75" t="s">
        <v>535</v>
      </c>
      <c r="N1217" s="75" t="s">
        <v>509</v>
      </c>
      <c r="O1217" s="75" t="s">
        <v>535</v>
      </c>
      <c r="P1217" s="75" t="s">
        <v>3833</v>
      </c>
    </row>
    <row r="1218" spans="1:16">
      <c r="A1218" s="63" t="s">
        <v>4282</v>
      </c>
      <c r="B1218" s="14" t="str">
        <f>VLOOKUP(P1218,'护理记录单文书字典(数据)'!B$4:C$99,2,0)</f>
        <v>FE2D3E350CFAB21140B92D7AA69ED000</v>
      </c>
      <c r="C1218" s="75" t="s">
        <v>3839</v>
      </c>
      <c r="D1218" s="75" t="s">
        <v>3840</v>
      </c>
      <c r="E1218" s="92" t="s">
        <v>2048</v>
      </c>
      <c r="F1218" s="92">
        <v>1</v>
      </c>
      <c r="G1218" s="75">
        <v>1</v>
      </c>
      <c r="H1218" s="75"/>
      <c r="I1218" s="75"/>
      <c r="J1218" s="75"/>
      <c r="K1218" s="75" t="s">
        <v>162</v>
      </c>
      <c r="L1218" s="75" t="s">
        <v>509</v>
      </c>
      <c r="M1218" s="75" t="s">
        <v>535</v>
      </c>
      <c r="N1218" s="75" t="s">
        <v>509</v>
      </c>
      <c r="O1218" s="75" t="s">
        <v>535</v>
      </c>
      <c r="P1218" s="75" t="s">
        <v>3833</v>
      </c>
    </row>
    <row r="1219" spans="1:16">
      <c r="A1219" s="63" t="s">
        <v>4282</v>
      </c>
      <c r="B1219" s="14" t="str">
        <f>VLOOKUP(P1219,'护理记录单文书字典(数据)'!B$4:C$99,2,0)</f>
        <v>FE2D3E350CFAB21140B92D7AA69ED000</v>
      </c>
      <c r="C1219" s="75" t="s">
        <v>3841</v>
      </c>
      <c r="D1219" s="75" t="s">
        <v>3842</v>
      </c>
      <c r="E1219" s="92" t="s">
        <v>2048</v>
      </c>
      <c r="F1219" s="92">
        <v>1</v>
      </c>
      <c r="G1219" s="75">
        <v>1</v>
      </c>
      <c r="H1219" s="75"/>
      <c r="I1219" s="75"/>
      <c r="J1219" s="75"/>
      <c r="K1219" s="75" t="s">
        <v>162</v>
      </c>
      <c r="L1219" s="75" t="s">
        <v>509</v>
      </c>
      <c r="M1219" s="75" t="s">
        <v>535</v>
      </c>
      <c r="N1219" s="75" t="s">
        <v>509</v>
      </c>
      <c r="O1219" s="75" t="s">
        <v>535</v>
      </c>
      <c r="P1219" s="75" t="s">
        <v>3833</v>
      </c>
    </row>
    <row r="1220" spans="1:16">
      <c r="A1220" s="63" t="s">
        <v>4282</v>
      </c>
      <c r="B1220" s="14" t="str">
        <f>VLOOKUP(P1220,'护理记录单文书字典(数据)'!B$4:C$99,2,0)</f>
        <v>FE2D3E350CFAB21140B92D7AA69ED000</v>
      </c>
      <c r="C1220" s="75" t="s">
        <v>3843</v>
      </c>
      <c r="D1220" s="75" t="s">
        <v>3844</v>
      </c>
      <c r="E1220" s="92" t="s">
        <v>2048</v>
      </c>
      <c r="F1220" s="92">
        <v>1</v>
      </c>
      <c r="G1220" s="75">
        <v>1</v>
      </c>
      <c r="H1220" s="75"/>
      <c r="I1220" s="75"/>
      <c r="J1220" s="75"/>
      <c r="K1220" s="75" t="s">
        <v>162</v>
      </c>
      <c r="L1220" s="75" t="s">
        <v>509</v>
      </c>
      <c r="M1220" s="75" t="s">
        <v>535</v>
      </c>
      <c r="N1220" s="75" t="s">
        <v>509</v>
      </c>
      <c r="O1220" s="75" t="s">
        <v>535</v>
      </c>
      <c r="P1220" s="75" t="s">
        <v>3833</v>
      </c>
    </row>
    <row r="1221" spans="1:16">
      <c r="A1221" s="63" t="s">
        <v>4282</v>
      </c>
      <c r="B1221" s="14" t="str">
        <f>VLOOKUP(P1221,'护理记录单文书字典(数据)'!B$4:C$99,2,0)</f>
        <v>FE2D3E350CFAB21140B92D7AA69ED000</v>
      </c>
      <c r="C1221" s="75" t="s">
        <v>3845</v>
      </c>
      <c r="D1221" s="75" t="s">
        <v>3846</v>
      </c>
      <c r="E1221" s="92" t="s">
        <v>2048</v>
      </c>
      <c r="F1221" s="92">
        <v>1</v>
      </c>
      <c r="G1221" s="75">
        <v>1</v>
      </c>
      <c r="H1221" s="75"/>
      <c r="I1221" s="75"/>
      <c r="J1221" s="75"/>
      <c r="K1221" s="75" t="s">
        <v>162</v>
      </c>
      <c r="L1221" s="75" t="s">
        <v>509</v>
      </c>
      <c r="M1221" s="75" t="s">
        <v>535</v>
      </c>
      <c r="N1221" s="75" t="s">
        <v>509</v>
      </c>
      <c r="O1221" s="75" t="s">
        <v>535</v>
      </c>
      <c r="P1221" s="75" t="s">
        <v>3833</v>
      </c>
    </row>
    <row r="1222" spans="1:16">
      <c r="A1222" s="63" t="s">
        <v>4282</v>
      </c>
      <c r="B1222" s="14" t="str">
        <f>VLOOKUP(P1222,'护理记录单文书字典(数据)'!B$4:C$99,2,0)</f>
        <v>FE2D3E350CFAB21140B92D7AA69ED000</v>
      </c>
      <c r="C1222" s="75" t="s">
        <v>2105</v>
      </c>
      <c r="D1222" s="75" t="s">
        <v>2103</v>
      </c>
      <c r="E1222" s="92" t="s">
        <v>2104</v>
      </c>
      <c r="F1222" s="92">
        <v>1</v>
      </c>
      <c r="G1222" s="75">
        <v>1</v>
      </c>
      <c r="H1222" s="75"/>
      <c r="I1222" s="75"/>
      <c r="J1222" s="75"/>
      <c r="K1222" s="75" t="s">
        <v>162</v>
      </c>
      <c r="L1222" s="75" t="s">
        <v>509</v>
      </c>
      <c r="M1222" s="75" t="s">
        <v>535</v>
      </c>
      <c r="N1222" s="75" t="s">
        <v>509</v>
      </c>
      <c r="O1222" s="75" t="s">
        <v>535</v>
      </c>
      <c r="P1222" s="75" t="s">
        <v>3833</v>
      </c>
    </row>
    <row r="1223" spans="1:16">
      <c r="A1223" s="63" t="s">
        <v>4282</v>
      </c>
      <c r="B1223" s="14" t="str">
        <f>VLOOKUP(P1223,'护理记录单文书字典(数据)'!B$4:C$99,2,0)</f>
        <v>E61F38350CFAB211C5891DB6F0FB3E61</v>
      </c>
      <c r="C1223" s="75" t="s">
        <v>2573</v>
      </c>
      <c r="D1223" s="75" t="s">
        <v>2572</v>
      </c>
      <c r="E1223" s="92" t="s">
        <v>2048</v>
      </c>
      <c r="F1223" s="92">
        <v>1</v>
      </c>
      <c r="G1223" s="75">
        <v>1</v>
      </c>
      <c r="H1223" s="75"/>
      <c r="I1223" s="75"/>
      <c r="J1223" s="75"/>
      <c r="K1223" s="75" t="s">
        <v>162</v>
      </c>
      <c r="L1223" s="75" t="s">
        <v>509</v>
      </c>
      <c r="M1223" s="75" t="s">
        <v>535</v>
      </c>
      <c r="N1223" s="75" t="s">
        <v>509</v>
      </c>
      <c r="O1223" s="75" t="s">
        <v>535</v>
      </c>
      <c r="P1223" s="75" t="s">
        <v>1430</v>
      </c>
    </row>
    <row r="1224" spans="1:16">
      <c r="A1224" s="63" t="s">
        <v>4282</v>
      </c>
      <c r="B1224" s="14" t="str">
        <f>VLOOKUP(P1224,'护理记录单文书字典(数据)'!B$4:C$99,2,0)</f>
        <v>E61F38350CFAB211C5891DB6F0FB3E61</v>
      </c>
      <c r="C1224" s="159" t="s">
        <v>4660</v>
      </c>
      <c r="D1224" s="75" t="s">
        <v>3847</v>
      </c>
      <c r="E1224" s="92" t="s">
        <v>2048</v>
      </c>
      <c r="F1224" s="92">
        <v>1</v>
      </c>
      <c r="G1224" s="75">
        <v>1</v>
      </c>
      <c r="H1224" s="75"/>
      <c r="I1224" s="75"/>
      <c r="J1224" s="75"/>
      <c r="K1224" s="75" t="s">
        <v>162</v>
      </c>
      <c r="L1224" s="75" t="s">
        <v>509</v>
      </c>
      <c r="M1224" s="75" t="s">
        <v>535</v>
      </c>
      <c r="N1224" s="75" t="s">
        <v>509</v>
      </c>
      <c r="O1224" s="75" t="s">
        <v>535</v>
      </c>
      <c r="P1224" s="75" t="s">
        <v>1430</v>
      </c>
    </row>
    <row r="1225" spans="1:16">
      <c r="A1225" s="63" t="s">
        <v>4282</v>
      </c>
      <c r="B1225" s="14" t="str">
        <f>VLOOKUP(P1225,'护理记录单文书字典(数据)'!B$4:C$99,2,0)</f>
        <v>E61F38350CFAB211C5891DB6F0FB3E61</v>
      </c>
      <c r="C1225" s="75" t="s">
        <v>3848</v>
      </c>
      <c r="D1225" s="75" t="s">
        <v>3849</v>
      </c>
      <c r="E1225" s="92" t="s">
        <v>2048</v>
      </c>
      <c r="F1225" s="92">
        <v>1</v>
      </c>
      <c r="G1225" s="75">
        <v>1</v>
      </c>
      <c r="H1225" s="75"/>
      <c r="I1225" s="75"/>
      <c r="J1225" s="75"/>
      <c r="K1225" s="75" t="s">
        <v>162</v>
      </c>
      <c r="L1225" s="75" t="s">
        <v>509</v>
      </c>
      <c r="M1225" s="75" t="s">
        <v>535</v>
      </c>
      <c r="N1225" s="75" t="s">
        <v>509</v>
      </c>
      <c r="O1225" s="75" t="s">
        <v>535</v>
      </c>
      <c r="P1225" s="75" t="s">
        <v>1430</v>
      </c>
    </row>
    <row r="1226" spans="1:16">
      <c r="A1226" s="63" t="s">
        <v>4282</v>
      </c>
      <c r="B1226" s="14" t="str">
        <f>VLOOKUP(P1226,'护理记录单文书字典(数据)'!B$4:C$99,2,0)</f>
        <v>E61F38350CFAB211C5891DB6F0FB3E61</v>
      </c>
      <c r="C1226" s="75" t="s">
        <v>2112</v>
      </c>
      <c r="D1226" s="75" t="s">
        <v>2978</v>
      </c>
      <c r="E1226" s="92" t="s">
        <v>2048</v>
      </c>
      <c r="F1226" s="92">
        <v>1</v>
      </c>
      <c r="G1226" s="75">
        <v>1</v>
      </c>
      <c r="H1226" s="75"/>
      <c r="I1226" s="75"/>
      <c r="J1226" s="75"/>
      <c r="K1226" s="75" t="s">
        <v>162</v>
      </c>
      <c r="L1226" s="75" t="s">
        <v>509</v>
      </c>
      <c r="M1226" s="75" t="s">
        <v>535</v>
      </c>
      <c r="N1226" s="75" t="s">
        <v>509</v>
      </c>
      <c r="O1226" s="75" t="s">
        <v>535</v>
      </c>
      <c r="P1226" s="75" t="s">
        <v>1430</v>
      </c>
    </row>
    <row r="1227" spans="1:16">
      <c r="A1227" s="63" t="s">
        <v>4282</v>
      </c>
      <c r="B1227" s="14" t="str">
        <f>VLOOKUP(P1227,'护理记录单文书字典(数据)'!B$4:C$99,2,0)</f>
        <v>E61F38350CFAB211C5891DB6F0FB3E61</v>
      </c>
      <c r="C1227" s="75" t="s">
        <v>2856</v>
      </c>
      <c r="D1227" s="75" t="s">
        <v>2857</v>
      </c>
      <c r="E1227" s="92" t="s">
        <v>2048</v>
      </c>
      <c r="F1227" s="92">
        <v>1</v>
      </c>
      <c r="G1227" s="75">
        <v>1</v>
      </c>
      <c r="H1227" s="75"/>
      <c r="I1227" s="75"/>
      <c r="J1227" s="75"/>
      <c r="K1227" s="75" t="s">
        <v>162</v>
      </c>
      <c r="L1227" s="75" t="s">
        <v>509</v>
      </c>
      <c r="M1227" s="75" t="s">
        <v>535</v>
      </c>
      <c r="N1227" s="75" t="s">
        <v>509</v>
      </c>
      <c r="O1227" s="75" t="s">
        <v>535</v>
      </c>
      <c r="P1227" s="75" t="s">
        <v>1430</v>
      </c>
    </row>
    <row r="1228" spans="1:16">
      <c r="A1228" s="63" t="s">
        <v>4282</v>
      </c>
      <c r="B1228" s="14" t="str">
        <f>VLOOKUP(P1228,'护理记录单文书字典(数据)'!B$4:C$99,2,0)</f>
        <v>E61F38350CFAB211C5891DB6F0FB3E61</v>
      </c>
      <c r="C1228" s="75" t="s">
        <v>2859</v>
      </c>
      <c r="D1228" s="75" t="s">
        <v>2860</v>
      </c>
      <c r="E1228" s="92" t="s">
        <v>2048</v>
      </c>
      <c r="F1228" s="92">
        <v>1</v>
      </c>
      <c r="G1228" s="75">
        <v>1</v>
      </c>
      <c r="H1228" s="75"/>
      <c r="I1228" s="75"/>
      <c r="J1228" s="75"/>
      <c r="K1228" s="75" t="s">
        <v>162</v>
      </c>
      <c r="L1228" s="75" t="s">
        <v>509</v>
      </c>
      <c r="M1228" s="75" t="s">
        <v>535</v>
      </c>
      <c r="N1228" s="75" t="s">
        <v>509</v>
      </c>
      <c r="O1228" s="75" t="s">
        <v>535</v>
      </c>
      <c r="P1228" s="75" t="s">
        <v>1430</v>
      </c>
    </row>
    <row r="1229" spans="1:16">
      <c r="A1229" s="63" t="s">
        <v>4282</v>
      </c>
      <c r="B1229" s="14" t="str">
        <f>VLOOKUP(P1229,'护理记录单文书字典(数据)'!B$4:C$99,2,0)</f>
        <v>E61F38350CFAB211C5891DB6F0FB3E61</v>
      </c>
      <c r="C1229" s="75" t="s">
        <v>2863</v>
      </c>
      <c r="D1229" s="75" t="s">
        <v>102</v>
      </c>
      <c r="E1229" s="92" t="s">
        <v>2048</v>
      </c>
      <c r="F1229" s="92">
        <v>1</v>
      </c>
      <c r="G1229" s="75">
        <v>1</v>
      </c>
      <c r="H1229" s="75"/>
      <c r="I1229" s="75"/>
      <c r="J1229" s="75"/>
      <c r="K1229" s="75" t="s">
        <v>162</v>
      </c>
      <c r="L1229" s="75" t="s">
        <v>509</v>
      </c>
      <c r="M1229" s="75" t="s">
        <v>535</v>
      </c>
      <c r="N1229" s="75" t="s">
        <v>509</v>
      </c>
      <c r="O1229" s="75" t="s">
        <v>535</v>
      </c>
      <c r="P1229" s="75" t="s">
        <v>1430</v>
      </c>
    </row>
    <row r="1230" spans="1:16">
      <c r="A1230" s="63" t="s">
        <v>4282</v>
      </c>
      <c r="B1230" s="14" t="str">
        <f>VLOOKUP(P1230,'护理记录单文书字典(数据)'!B$4:C$99,2,0)</f>
        <v>E61F38350CFAB211C5891DB6F0FB3E61</v>
      </c>
      <c r="C1230" s="75" t="s">
        <v>2864</v>
      </c>
      <c r="D1230" s="75" t="s">
        <v>101</v>
      </c>
      <c r="E1230" s="92" t="s">
        <v>2048</v>
      </c>
      <c r="F1230" s="92">
        <v>1</v>
      </c>
      <c r="G1230" s="75">
        <v>1</v>
      </c>
      <c r="H1230" s="75"/>
      <c r="I1230" s="75"/>
      <c r="J1230" s="75"/>
      <c r="K1230" s="75" t="s">
        <v>162</v>
      </c>
      <c r="L1230" s="75" t="s">
        <v>509</v>
      </c>
      <c r="M1230" s="75" t="s">
        <v>535</v>
      </c>
      <c r="N1230" s="75" t="s">
        <v>509</v>
      </c>
      <c r="O1230" s="75" t="s">
        <v>535</v>
      </c>
      <c r="P1230" s="75" t="s">
        <v>1430</v>
      </c>
    </row>
    <row r="1231" spans="1:16">
      <c r="A1231" s="63" t="s">
        <v>4282</v>
      </c>
      <c r="B1231" s="14" t="str">
        <f>VLOOKUP(P1231,'护理记录单文书字典(数据)'!B$4:C$99,2,0)</f>
        <v>E61F38350CFAB211C5891DB6F0FB3E61</v>
      </c>
      <c r="C1231" s="75" t="s">
        <v>3850</v>
      </c>
      <c r="D1231" s="75" t="s">
        <v>3851</v>
      </c>
      <c r="E1231" s="92" t="s">
        <v>2048</v>
      </c>
      <c r="F1231" s="92">
        <v>1</v>
      </c>
      <c r="G1231" s="75">
        <v>1</v>
      </c>
      <c r="H1231" s="75"/>
      <c r="I1231" s="75"/>
      <c r="J1231" s="75"/>
      <c r="K1231" s="75" t="s">
        <v>162</v>
      </c>
      <c r="L1231" s="75" t="s">
        <v>509</v>
      </c>
      <c r="M1231" s="75" t="s">
        <v>535</v>
      </c>
      <c r="N1231" s="75" t="s">
        <v>509</v>
      </c>
      <c r="O1231" s="75" t="s">
        <v>535</v>
      </c>
      <c r="P1231" s="75" t="s">
        <v>1430</v>
      </c>
    </row>
    <row r="1232" spans="1:16">
      <c r="A1232" s="63" t="s">
        <v>4282</v>
      </c>
      <c r="B1232" s="14" t="str">
        <f>VLOOKUP(P1232,'护理记录单文书字典(数据)'!B$4:C$99,2,0)</f>
        <v>E61F38350CFAB211C5891DB6F0FB3E61</v>
      </c>
      <c r="C1232" s="75" t="s">
        <v>3852</v>
      </c>
      <c r="D1232" s="75" t="s">
        <v>1370</v>
      </c>
      <c r="E1232" s="92" t="s">
        <v>2052</v>
      </c>
      <c r="F1232" s="92">
        <v>1</v>
      </c>
      <c r="G1232" s="75">
        <v>1</v>
      </c>
      <c r="H1232" s="75" t="s">
        <v>1369</v>
      </c>
      <c r="I1232" s="75"/>
      <c r="J1232" s="75"/>
      <c r="K1232" s="75" t="s">
        <v>162</v>
      </c>
      <c r="L1232" s="75" t="s">
        <v>509</v>
      </c>
      <c r="M1232" s="75" t="s">
        <v>535</v>
      </c>
      <c r="N1232" s="75" t="s">
        <v>509</v>
      </c>
      <c r="O1232" s="75" t="s">
        <v>535</v>
      </c>
      <c r="P1232" s="75" t="s">
        <v>1430</v>
      </c>
    </row>
    <row r="1233" spans="1:16">
      <c r="A1233" s="63" t="s">
        <v>4282</v>
      </c>
      <c r="B1233" s="14" t="str">
        <f>VLOOKUP(P1233,'护理记录单文书字典(数据)'!B$4:C$99,2,0)</f>
        <v>E61F38350CFAB211C5891DB6F0FB3E61</v>
      </c>
      <c r="C1233" s="75" t="s">
        <v>3853</v>
      </c>
      <c r="D1233" s="75" t="s">
        <v>1373</v>
      </c>
      <c r="E1233" s="92" t="s">
        <v>2052</v>
      </c>
      <c r="F1233" s="92">
        <v>1</v>
      </c>
      <c r="G1233" s="75">
        <v>1</v>
      </c>
      <c r="H1233" s="75" t="s">
        <v>1372</v>
      </c>
      <c r="I1233" s="75"/>
      <c r="J1233" s="75"/>
      <c r="K1233" s="75" t="s">
        <v>162</v>
      </c>
      <c r="L1233" s="75" t="s">
        <v>509</v>
      </c>
      <c r="M1233" s="75" t="s">
        <v>535</v>
      </c>
      <c r="N1233" s="75" t="s">
        <v>509</v>
      </c>
      <c r="O1233" s="75" t="s">
        <v>535</v>
      </c>
      <c r="P1233" s="75" t="s">
        <v>1430</v>
      </c>
    </row>
    <row r="1234" spans="1:16">
      <c r="A1234" s="63" t="s">
        <v>4282</v>
      </c>
      <c r="B1234" s="14" t="str">
        <f>VLOOKUP(P1234,'护理记录单文书字典(数据)'!B$4:C$99,2,0)</f>
        <v>E61F38350CFAB211C5891DB6F0FB3E61</v>
      </c>
      <c r="C1234" s="75" t="s">
        <v>3854</v>
      </c>
      <c r="D1234" s="75" t="s">
        <v>1377</v>
      </c>
      <c r="E1234" s="92" t="s">
        <v>2052</v>
      </c>
      <c r="F1234" s="92">
        <v>1</v>
      </c>
      <c r="G1234" s="75">
        <v>1</v>
      </c>
      <c r="H1234" s="75" t="s">
        <v>1376</v>
      </c>
      <c r="I1234" s="75"/>
      <c r="J1234" s="75"/>
      <c r="K1234" s="75" t="s">
        <v>162</v>
      </c>
      <c r="L1234" s="75" t="s">
        <v>509</v>
      </c>
      <c r="M1234" s="75" t="s">
        <v>535</v>
      </c>
      <c r="N1234" s="75" t="s">
        <v>509</v>
      </c>
      <c r="O1234" s="75" t="s">
        <v>535</v>
      </c>
      <c r="P1234" s="75" t="s">
        <v>1430</v>
      </c>
    </row>
    <row r="1235" spans="1:16">
      <c r="A1235" s="63" t="s">
        <v>4282</v>
      </c>
      <c r="B1235" s="14" t="str">
        <f>VLOOKUP(P1235,'护理记录单文书字典(数据)'!B$4:C$99,2,0)</f>
        <v>E61F38350CFAB211C5891DB6F0FB3E61</v>
      </c>
      <c r="C1235" s="75" t="s">
        <v>3855</v>
      </c>
      <c r="D1235" s="75" t="s">
        <v>1379</v>
      </c>
      <c r="E1235" s="92" t="s">
        <v>2052</v>
      </c>
      <c r="F1235" s="92">
        <v>1</v>
      </c>
      <c r="G1235" s="75">
        <v>1</v>
      </c>
      <c r="H1235" s="75" t="s">
        <v>1378</v>
      </c>
      <c r="I1235" s="75"/>
      <c r="J1235" s="75"/>
      <c r="K1235" s="75" t="s">
        <v>162</v>
      </c>
      <c r="L1235" s="75" t="s">
        <v>509</v>
      </c>
      <c r="M1235" s="75" t="s">
        <v>535</v>
      </c>
      <c r="N1235" s="75" t="s">
        <v>509</v>
      </c>
      <c r="O1235" s="75" t="s">
        <v>535</v>
      </c>
      <c r="P1235" s="75" t="s">
        <v>1430</v>
      </c>
    </row>
    <row r="1236" spans="1:16">
      <c r="A1236" s="63" t="s">
        <v>4282</v>
      </c>
      <c r="B1236" s="14" t="str">
        <f>VLOOKUP(P1236,'护理记录单文书字典(数据)'!B$4:C$99,2,0)</f>
        <v>E61F38350CFAB211C5891DB6F0FB3E61</v>
      </c>
      <c r="C1236" s="75" t="s">
        <v>3856</v>
      </c>
      <c r="D1236" s="75" t="s">
        <v>1383</v>
      </c>
      <c r="E1236" s="92" t="s">
        <v>2052</v>
      </c>
      <c r="F1236" s="92">
        <v>1</v>
      </c>
      <c r="G1236" s="75">
        <v>1</v>
      </c>
      <c r="H1236" s="75" t="s">
        <v>1382</v>
      </c>
      <c r="I1236" s="75"/>
      <c r="J1236" s="75"/>
      <c r="K1236" s="75" t="s">
        <v>162</v>
      </c>
      <c r="L1236" s="75" t="s">
        <v>509</v>
      </c>
      <c r="M1236" s="75" t="s">
        <v>535</v>
      </c>
      <c r="N1236" s="75" t="s">
        <v>509</v>
      </c>
      <c r="O1236" s="75" t="s">
        <v>535</v>
      </c>
      <c r="P1236" s="75" t="s">
        <v>1430</v>
      </c>
    </row>
    <row r="1237" spans="1:16">
      <c r="A1237" s="63" t="s">
        <v>4282</v>
      </c>
      <c r="B1237" s="14" t="str">
        <f>VLOOKUP(P1237,'护理记录单文书字典(数据)'!B$4:C$99,2,0)</f>
        <v>E61F38350CFAB211C5891DB6F0FB3E61</v>
      </c>
      <c r="C1237" s="75" t="s">
        <v>3526</v>
      </c>
      <c r="D1237" s="75" t="s">
        <v>1387</v>
      </c>
      <c r="E1237" s="92" t="s">
        <v>2052</v>
      </c>
      <c r="F1237" s="92">
        <v>1</v>
      </c>
      <c r="G1237" s="75">
        <v>1</v>
      </c>
      <c r="H1237" s="75" t="s">
        <v>1386</v>
      </c>
      <c r="I1237" s="75"/>
      <c r="J1237" s="75"/>
      <c r="K1237" s="75" t="s">
        <v>162</v>
      </c>
      <c r="L1237" s="75" t="s">
        <v>509</v>
      </c>
      <c r="M1237" s="75" t="s">
        <v>535</v>
      </c>
      <c r="N1237" s="75" t="s">
        <v>509</v>
      </c>
      <c r="O1237" s="75" t="s">
        <v>535</v>
      </c>
      <c r="P1237" s="75" t="s">
        <v>1430</v>
      </c>
    </row>
    <row r="1238" spans="1:16">
      <c r="A1238" s="63" t="s">
        <v>4282</v>
      </c>
      <c r="B1238" s="14" t="str">
        <f>VLOOKUP(P1238,'护理记录单文书字典(数据)'!B$4:C$99,2,0)</f>
        <v>E61F38350CFAB211C5891DB6F0FB3E61</v>
      </c>
      <c r="C1238" s="75" t="s">
        <v>2585</v>
      </c>
      <c r="D1238" s="75" t="s">
        <v>1389</v>
      </c>
      <c r="E1238" s="92" t="s">
        <v>2052</v>
      </c>
      <c r="F1238" s="92">
        <v>1</v>
      </c>
      <c r="G1238" s="75">
        <v>1</v>
      </c>
      <c r="H1238" s="75" t="s">
        <v>1388</v>
      </c>
      <c r="I1238" s="75"/>
      <c r="J1238" s="75"/>
      <c r="K1238" s="75" t="s">
        <v>162</v>
      </c>
      <c r="L1238" s="75" t="s">
        <v>509</v>
      </c>
      <c r="M1238" s="75" t="s">
        <v>535</v>
      </c>
      <c r="N1238" s="75" t="s">
        <v>509</v>
      </c>
      <c r="O1238" s="75" t="s">
        <v>535</v>
      </c>
      <c r="P1238" s="75" t="s">
        <v>1430</v>
      </c>
    </row>
    <row r="1239" spans="1:16">
      <c r="A1239" s="63" t="s">
        <v>4282</v>
      </c>
      <c r="B1239" s="14" t="str">
        <f>VLOOKUP(P1239,'护理记录单文书字典(数据)'!B$4:C$99,2,0)</f>
        <v>E61F38350CFAB211C5891DB6F0FB3E61</v>
      </c>
      <c r="C1239" s="75" t="s">
        <v>3857</v>
      </c>
      <c r="D1239" s="75" t="s">
        <v>3858</v>
      </c>
      <c r="E1239" s="92" t="s">
        <v>2052</v>
      </c>
      <c r="F1239" s="92">
        <v>1</v>
      </c>
      <c r="G1239" s="75">
        <v>1</v>
      </c>
      <c r="H1239" s="75" t="s">
        <v>1390</v>
      </c>
      <c r="I1239" s="75"/>
      <c r="J1239" s="75"/>
      <c r="K1239" s="75" t="s">
        <v>162</v>
      </c>
      <c r="L1239" s="75" t="s">
        <v>509</v>
      </c>
      <c r="M1239" s="75" t="s">
        <v>535</v>
      </c>
      <c r="N1239" s="75" t="s">
        <v>509</v>
      </c>
      <c r="O1239" s="75" t="s">
        <v>535</v>
      </c>
      <c r="P1239" s="75" t="s">
        <v>1430</v>
      </c>
    </row>
    <row r="1240" spans="1:16">
      <c r="A1240" s="63" t="s">
        <v>4282</v>
      </c>
      <c r="B1240" s="14" t="str">
        <f>VLOOKUP(P1240,'护理记录单文书字典(数据)'!B$4:C$99,2,0)</f>
        <v>E61F38350CFAB211C5891DB6F0FB3E61</v>
      </c>
      <c r="C1240" s="75" t="s">
        <v>2100</v>
      </c>
      <c r="D1240" s="75" t="s">
        <v>99</v>
      </c>
      <c r="E1240" s="92" t="s">
        <v>2048</v>
      </c>
      <c r="F1240" s="92">
        <v>1</v>
      </c>
      <c r="G1240" s="75">
        <v>1</v>
      </c>
      <c r="H1240" s="75"/>
      <c r="I1240" s="75"/>
      <c r="J1240" s="75"/>
      <c r="K1240" s="75" t="s">
        <v>162</v>
      </c>
      <c r="L1240" s="75" t="s">
        <v>509</v>
      </c>
      <c r="M1240" s="75" t="s">
        <v>535</v>
      </c>
      <c r="N1240" s="75" t="s">
        <v>509</v>
      </c>
      <c r="O1240" s="75" t="s">
        <v>535</v>
      </c>
      <c r="P1240" s="75" t="s">
        <v>1430</v>
      </c>
    </row>
    <row r="1241" spans="1:16">
      <c r="A1241" s="63" t="s">
        <v>4282</v>
      </c>
      <c r="B1241" s="14" t="str">
        <f>VLOOKUP(P1241,'护理记录单文书字典(数据)'!B$4:C$99,2,0)</f>
        <v>E61F38350CFAB211C5891DB6F0FB3E61</v>
      </c>
      <c r="C1241" s="75" t="s">
        <v>2111</v>
      </c>
      <c r="D1241" s="75" t="s">
        <v>100</v>
      </c>
      <c r="E1241" s="92" t="s">
        <v>2048</v>
      </c>
      <c r="F1241" s="92">
        <v>1</v>
      </c>
      <c r="G1241" s="75">
        <v>1</v>
      </c>
      <c r="H1241" s="75"/>
      <c r="I1241" s="75"/>
      <c r="J1241" s="75"/>
      <c r="K1241" s="75" t="s">
        <v>162</v>
      </c>
      <c r="L1241" s="75" t="s">
        <v>509</v>
      </c>
      <c r="M1241" s="75" t="s">
        <v>535</v>
      </c>
      <c r="N1241" s="75" t="s">
        <v>509</v>
      </c>
      <c r="O1241" s="75" t="s">
        <v>535</v>
      </c>
      <c r="P1241" s="75" t="s">
        <v>1430</v>
      </c>
    </row>
    <row r="1242" spans="1:16">
      <c r="A1242" s="63" t="s">
        <v>4282</v>
      </c>
      <c r="B1242" s="14" t="str">
        <f>VLOOKUP(P1242,'护理记录单文书字典(数据)'!B$4:C$99,2,0)</f>
        <v>E61F38350CFAB211C5891DB6F0FB3E61</v>
      </c>
      <c r="C1242" s="75" t="s">
        <v>3859</v>
      </c>
      <c r="D1242" s="75" t="s">
        <v>1433</v>
      </c>
      <c r="E1242" s="92" t="s">
        <v>2052</v>
      </c>
      <c r="F1242" s="92">
        <v>1</v>
      </c>
      <c r="G1242" s="75">
        <v>1</v>
      </c>
      <c r="H1242" s="75" t="s">
        <v>1432</v>
      </c>
      <c r="I1242" s="75"/>
      <c r="J1242" s="75"/>
      <c r="K1242" s="75" t="s">
        <v>162</v>
      </c>
      <c r="L1242" s="75" t="s">
        <v>509</v>
      </c>
      <c r="M1242" s="75" t="s">
        <v>535</v>
      </c>
      <c r="N1242" s="75" t="s">
        <v>509</v>
      </c>
      <c r="O1242" s="75" t="s">
        <v>535</v>
      </c>
      <c r="P1242" s="75" t="s">
        <v>1430</v>
      </c>
    </row>
    <row r="1243" spans="1:16">
      <c r="A1243" s="63" t="s">
        <v>4282</v>
      </c>
      <c r="B1243" s="14" t="str">
        <f>VLOOKUP(P1243,'护理记录单文书字典(数据)'!B$4:C$99,2,0)</f>
        <v>E61F38350CFAB211C5891DB6F0FB3E61</v>
      </c>
      <c r="C1243" s="159" t="s">
        <v>4661</v>
      </c>
      <c r="D1243" s="75" t="s">
        <v>1437</v>
      </c>
      <c r="E1243" s="92" t="s">
        <v>2052</v>
      </c>
      <c r="F1243" s="92">
        <v>1</v>
      </c>
      <c r="G1243" s="75">
        <v>1</v>
      </c>
      <c r="H1243" s="75" t="s">
        <v>1436</v>
      </c>
      <c r="I1243" s="75"/>
      <c r="J1243" s="75"/>
      <c r="K1243" s="75" t="s">
        <v>162</v>
      </c>
      <c r="L1243" s="75" t="s">
        <v>509</v>
      </c>
      <c r="M1243" s="75" t="s">
        <v>535</v>
      </c>
      <c r="N1243" s="75" t="s">
        <v>509</v>
      </c>
      <c r="O1243" s="75" t="s">
        <v>535</v>
      </c>
      <c r="P1243" s="75" t="s">
        <v>1430</v>
      </c>
    </row>
    <row r="1244" spans="1:16">
      <c r="A1244" s="63" t="s">
        <v>4282</v>
      </c>
      <c r="B1244" s="14" t="str">
        <f>VLOOKUP(P1244,'护理记录单文书字典(数据)'!B$4:C$99,2,0)</f>
        <v>E61F38350CFAB211C5891DB6F0FB3E61</v>
      </c>
      <c r="C1244" s="159" t="s">
        <v>4662</v>
      </c>
      <c r="D1244" s="75" t="s">
        <v>3861</v>
      </c>
      <c r="E1244" s="92" t="s">
        <v>2048</v>
      </c>
      <c r="F1244" s="92">
        <v>1</v>
      </c>
      <c r="G1244" s="75">
        <v>1</v>
      </c>
      <c r="H1244" s="75"/>
      <c r="I1244" s="75"/>
      <c r="J1244" s="75"/>
      <c r="K1244" s="75" t="s">
        <v>162</v>
      </c>
      <c r="L1244" s="75" t="s">
        <v>509</v>
      </c>
      <c r="M1244" s="75" t="s">
        <v>535</v>
      </c>
      <c r="N1244" s="75" t="s">
        <v>509</v>
      </c>
      <c r="O1244" s="75" t="s">
        <v>535</v>
      </c>
      <c r="P1244" s="75" t="s">
        <v>1430</v>
      </c>
    </row>
    <row r="1245" spans="1:16">
      <c r="A1245" s="63" t="s">
        <v>4282</v>
      </c>
      <c r="B1245" s="14" t="str">
        <f>VLOOKUP(P1245,'护理记录单文书字典(数据)'!B$4:C$99,2,0)</f>
        <v>E61F38350CFAB211C5891DB6F0FB3E61</v>
      </c>
      <c r="C1245" s="75" t="s">
        <v>3860</v>
      </c>
      <c r="D1245" s="75" t="s">
        <v>1414</v>
      </c>
      <c r="E1245" s="92" t="s">
        <v>2052</v>
      </c>
      <c r="F1245" s="92">
        <v>1</v>
      </c>
      <c r="G1245" s="75">
        <v>1</v>
      </c>
      <c r="H1245" s="75" t="s">
        <v>1413</v>
      </c>
      <c r="I1245" s="75"/>
      <c r="J1245" s="75"/>
      <c r="K1245" s="75" t="s">
        <v>162</v>
      </c>
      <c r="L1245" s="75" t="s">
        <v>509</v>
      </c>
      <c r="M1245" s="75" t="s">
        <v>535</v>
      </c>
      <c r="N1245" s="75" t="s">
        <v>509</v>
      </c>
      <c r="O1245" s="75" t="s">
        <v>535</v>
      </c>
      <c r="P1245" s="75" t="s">
        <v>1430</v>
      </c>
    </row>
    <row r="1246" spans="1:16">
      <c r="A1246" s="63" t="s">
        <v>4282</v>
      </c>
      <c r="B1246" s="14" t="str">
        <f>VLOOKUP(P1246,'护理记录单文书字典(数据)'!B$4:C$99,2,0)</f>
        <v>E61F38350CFAB211C5891DB6F0FB3E61</v>
      </c>
      <c r="C1246" s="75" t="s">
        <v>3862</v>
      </c>
      <c r="D1246" s="75" t="s">
        <v>3863</v>
      </c>
      <c r="E1246" s="92" t="s">
        <v>2048</v>
      </c>
      <c r="F1246" s="92">
        <v>1</v>
      </c>
      <c r="G1246" s="75">
        <v>1</v>
      </c>
      <c r="H1246" s="75"/>
      <c r="I1246" s="75"/>
      <c r="J1246" s="75"/>
      <c r="K1246" s="75" t="s">
        <v>162</v>
      </c>
      <c r="L1246" s="75" t="s">
        <v>509</v>
      </c>
      <c r="M1246" s="75" t="s">
        <v>535</v>
      </c>
      <c r="N1246" s="75" t="s">
        <v>509</v>
      </c>
      <c r="O1246" s="75" t="s">
        <v>535</v>
      </c>
      <c r="P1246" s="75" t="s">
        <v>1430</v>
      </c>
    </row>
    <row r="1247" spans="1:16">
      <c r="A1247" s="63" t="s">
        <v>4282</v>
      </c>
      <c r="B1247" s="14" t="str">
        <f>VLOOKUP(P1247,'护理记录单文书字典(数据)'!B$4:C$99,2,0)</f>
        <v>E61F38350CFAB211C5891DB6F0FB3E61</v>
      </c>
      <c r="C1247" s="75" t="s">
        <v>3864</v>
      </c>
      <c r="D1247" s="75" t="s">
        <v>1394</v>
      </c>
      <c r="E1247" s="92" t="s">
        <v>2052</v>
      </c>
      <c r="F1247" s="92">
        <v>1</v>
      </c>
      <c r="G1247" s="75">
        <v>1</v>
      </c>
      <c r="H1247" s="75" t="s">
        <v>1393</v>
      </c>
      <c r="I1247" s="75"/>
      <c r="J1247" s="75"/>
      <c r="K1247" s="75" t="s">
        <v>162</v>
      </c>
      <c r="L1247" s="75" t="s">
        <v>509</v>
      </c>
      <c r="M1247" s="75" t="s">
        <v>535</v>
      </c>
      <c r="N1247" s="75" t="s">
        <v>509</v>
      </c>
      <c r="O1247" s="75" t="s">
        <v>535</v>
      </c>
      <c r="P1247" s="75" t="s">
        <v>1430</v>
      </c>
    </row>
    <row r="1248" spans="1:16">
      <c r="A1248" s="63" t="s">
        <v>4282</v>
      </c>
      <c r="B1248" s="14" t="str">
        <f>VLOOKUP(P1248,'护理记录单文书字典(数据)'!B$4:C$99,2,0)</f>
        <v>E61F38350CFAB211C5891DB6F0FB3E61</v>
      </c>
      <c r="C1248" s="159" t="s">
        <v>4663</v>
      </c>
      <c r="D1248" s="75" t="s">
        <v>3865</v>
      </c>
      <c r="E1248" s="92" t="s">
        <v>2048</v>
      </c>
      <c r="F1248" s="92">
        <v>1</v>
      </c>
      <c r="G1248" s="75">
        <v>1</v>
      </c>
      <c r="H1248" s="75"/>
      <c r="I1248" s="75"/>
      <c r="J1248" s="75"/>
      <c r="K1248" s="75" t="s">
        <v>162</v>
      </c>
      <c r="L1248" s="75" t="s">
        <v>509</v>
      </c>
      <c r="M1248" s="75" t="s">
        <v>535</v>
      </c>
      <c r="N1248" s="75" t="s">
        <v>509</v>
      </c>
      <c r="O1248" s="75" t="s">
        <v>535</v>
      </c>
      <c r="P1248" s="75" t="s">
        <v>1430</v>
      </c>
    </row>
    <row r="1249" spans="1:16">
      <c r="A1249" s="63" t="s">
        <v>4282</v>
      </c>
      <c r="B1249" s="14" t="str">
        <f>VLOOKUP(P1249,'护理记录单文书字典(数据)'!B$4:C$99,2,0)</f>
        <v>E61F38350CFAB211C5891DB6F0FB3E61</v>
      </c>
      <c r="C1249" s="75" t="s">
        <v>3866</v>
      </c>
      <c r="D1249" s="75" t="s">
        <v>1399</v>
      </c>
      <c r="E1249" s="92" t="s">
        <v>2052</v>
      </c>
      <c r="F1249" s="92">
        <v>1</v>
      </c>
      <c r="G1249" s="75">
        <v>1</v>
      </c>
      <c r="H1249" s="75" t="s">
        <v>1398</v>
      </c>
      <c r="I1249" s="75"/>
      <c r="J1249" s="75"/>
      <c r="K1249" s="75" t="s">
        <v>162</v>
      </c>
      <c r="L1249" s="75" t="s">
        <v>509</v>
      </c>
      <c r="M1249" s="75" t="s">
        <v>535</v>
      </c>
      <c r="N1249" s="75" t="s">
        <v>509</v>
      </c>
      <c r="O1249" s="75" t="s">
        <v>535</v>
      </c>
      <c r="P1249" s="75" t="s">
        <v>1430</v>
      </c>
    </row>
    <row r="1250" spans="1:16">
      <c r="A1250" s="63" t="s">
        <v>4282</v>
      </c>
      <c r="B1250" s="14" t="str">
        <f>VLOOKUP(P1250,'护理记录单文书字典(数据)'!B$4:C$99,2,0)</f>
        <v>E61F38350CFAB211C5891DB6F0FB3E61</v>
      </c>
      <c r="C1250" s="75" t="s">
        <v>3867</v>
      </c>
      <c r="D1250" s="75" t="s">
        <v>3868</v>
      </c>
      <c r="E1250" s="92" t="s">
        <v>2048</v>
      </c>
      <c r="F1250" s="92">
        <v>1</v>
      </c>
      <c r="G1250" s="75">
        <v>1</v>
      </c>
      <c r="H1250" s="75"/>
      <c r="I1250" s="75"/>
      <c r="J1250" s="75"/>
      <c r="K1250" s="75" t="s">
        <v>162</v>
      </c>
      <c r="L1250" s="75" t="s">
        <v>509</v>
      </c>
      <c r="M1250" s="75" t="s">
        <v>535</v>
      </c>
      <c r="N1250" s="75" t="s">
        <v>509</v>
      </c>
      <c r="O1250" s="75" t="s">
        <v>535</v>
      </c>
      <c r="P1250" s="75" t="s">
        <v>1430</v>
      </c>
    </row>
    <row r="1251" spans="1:16">
      <c r="A1251" s="63" t="s">
        <v>4282</v>
      </c>
      <c r="B1251" s="14" t="str">
        <f>VLOOKUP(P1251,'护理记录单文书字典(数据)'!B$4:C$99,2,0)</f>
        <v>E61F38350CFAB211C5891DB6F0FB3E61</v>
      </c>
      <c r="C1251" s="75" t="s">
        <v>3869</v>
      </c>
      <c r="D1251" s="75" t="s">
        <v>3870</v>
      </c>
      <c r="E1251" s="92" t="s">
        <v>2048</v>
      </c>
      <c r="F1251" s="92">
        <v>1</v>
      </c>
      <c r="G1251" s="75">
        <v>1</v>
      </c>
      <c r="H1251" s="75"/>
      <c r="I1251" s="75"/>
      <c r="J1251" s="75"/>
      <c r="K1251" s="75" t="s">
        <v>162</v>
      </c>
      <c r="L1251" s="75" t="s">
        <v>509</v>
      </c>
      <c r="M1251" s="75" t="s">
        <v>535</v>
      </c>
      <c r="N1251" s="75" t="s">
        <v>509</v>
      </c>
      <c r="O1251" s="75" t="s">
        <v>535</v>
      </c>
      <c r="P1251" s="75" t="s">
        <v>1430</v>
      </c>
    </row>
    <row r="1252" spans="1:16">
      <c r="A1252" s="63" t="s">
        <v>4282</v>
      </c>
      <c r="B1252" s="14" t="str">
        <f>VLOOKUP(P1252,'护理记录单文书字典(数据)'!B$4:C$99,2,0)</f>
        <v>E61F38350CFAB211C5891DB6F0FB3E61</v>
      </c>
      <c r="C1252" s="75" t="s">
        <v>3871</v>
      </c>
      <c r="D1252" s="75" t="s">
        <v>1439</v>
      </c>
      <c r="E1252" s="92" t="s">
        <v>2052</v>
      </c>
      <c r="F1252" s="92">
        <v>1</v>
      </c>
      <c r="G1252" s="75">
        <v>1</v>
      </c>
      <c r="H1252" s="75" t="s">
        <v>1438</v>
      </c>
      <c r="I1252" s="75"/>
      <c r="J1252" s="75"/>
      <c r="K1252" s="75" t="s">
        <v>162</v>
      </c>
      <c r="L1252" s="75" t="s">
        <v>509</v>
      </c>
      <c r="M1252" s="75" t="s">
        <v>535</v>
      </c>
      <c r="N1252" s="75" t="s">
        <v>509</v>
      </c>
      <c r="O1252" s="75" t="s">
        <v>535</v>
      </c>
      <c r="P1252" s="75" t="s">
        <v>1430</v>
      </c>
    </row>
    <row r="1253" spans="1:16">
      <c r="A1253" s="63" t="s">
        <v>4282</v>
      </c>
      <c r="B1253" s="14" t="str">
        <f>VLOOKUP(P1253,'护理记录单文书字典(数据)'!B$4:C$99,2,0)</f>
        <v>E61F38350CFAB211C5891DB6F0FB3E61</v>
      </c>
      <c r="C1253" s="75" t="s">
        <v>3872</v>
      </c>
      <c r="D1253" s="75" t="s">
        <v>3873</v>
      </c>
      <c r="E1253" s="92" t="s">
        <v>2048</v>
      </c>
      <c r="F1253" s="92">
        <v>1</v>
      </c>
      <c r="G1253" s="75">
        <v>1</v>
      </c>
      <c r="H1253" s="75"/>
      <c r="I1253" s="75"/>
      <c r="J1253" s="75"/>
      <c r="K1253" s="75" t="s">
        <v>162</v>
      </c>
      <c r="L1253" s="75" t="s">
        <v>509</v>
      </c>
      <c r="M1253" s="75" t="s">
        <v>535</v>
      </c>
      <c r="N1253" s="75" t="s">
        <v>509</v>
      </c>
      <c r="O1253" s="75" t="s">
        <v>535</v>
      </c>
      <c r="P1253" s="75" t="s">
        <v>1430</v>
      </c>
    </row>
    <row r="1254" spans="1:16">
      <c r="A1254" s="63" t="s">
        <v>4282</v>
      </c>
      <c r="B1254" s="14" t="str">
        <f>VLOOKUP(P1254,'护理记录单文书字典(数据)'!B$4:C$99,2,0)</f>
        <v>E61F38350CFAB211C5891DB6F0FB3E61</v>
      </c>
      <c r="C1254" s="75" t="s">
        <v>3874</v>
      </c>
      <c r="D1254" s="75" t="s">
        <v>1441</v>
      </c>
      <c r="E1254" s="92" t="s">
        <v>2052</v>
      </c>
      <c r="F1254" s="92">
        <v>1</v>
      </c>
      <c r="G1254" s="75">
        <v>1</v>
      </c>
      <c r="H1254" s="75" t="s">
        <v>1440</v>
      </c>
      <c r="I1254" s="75"/>
      <c r="J1254" s="75"/>
      <c r="K1254" s="75" t="s">
        <v>162</v>
      </c>
      <c r="L1254" s="75" t="s">
        <v>509</v>
      </c>
      <c r="M1254" s="75" t="s">
        <v>535</v>
      </c>
      <c r="N1254" s="75" t="s">
        <v>509</v>
      </c>
      <c r="O1254" s="75" t="s">
        <v>535</v>
      </c>
      <c r="P1254" s="75" t="s">
        <v>1430</v>
      </c>
    </row>
    <row r="1255" spans="1:16">
      <c r="A1255" s="63" t="s">
        <v>4282</v>
      </c>
      <c r="B1255" s="14" t="str">
        <f>VLOOKUP(P1255,'护理记录单文书字典(数据)'!B$4:C$99,2,0)</f>
        <v>E61F38350CFAB211C5891DB6F0FB3E61</v>
      </c>
      <c r="C1255" s="75" t="s">
        <v>3875</v>
      </c>
      <c r="D1255" s="75" t="s">
        <v>3876</v>
      </c>
      <c r="E1255" s="92" t="s">
        <v>2048</v>
      </c>
      <c r="F1255" s="92">
        <v>1</v>
      </c>
      <c r="G1255" s="75">
        <v>1</v>
      </c>
      <c r="H1255" s="75"/>
      <c r="I1255" s="75"/>
      <c r="J1255" s="75"/>
      <c r="K1255" s="75" t="s">
        <v>162</v>
      </c>
      <c r="L1255" s="75" t="s">
        <v>509</v>
      </c>
      <c r="M1255" s="75" t="s">
        <v>535</v>
      </c>
      <c r="N1255" s="75" t="s">
        <v>509</v>
      </c>
      <c r="O1255" s="75" t="s">
        <v>535</v>
      </c>
      <c r="P1255" s="75" t="s">
        <v>1430</v>
      </c>
    </row>
    <row r="1256" spans="1:16">
      <c r="A1256" s="63" t="s">
        <v>4282</v>
      </c>
      <c r="B1256" s="14" t="str">
        <f>VLOOKUP(P1256,'护理记录单文书字典(数据)'!B$4:C$99,2,0)</f>
        <v>E61F38350CFAB211C5891DB6F0FB3E61</v>
      </c>
      <c r="C1256" s="75" t="s">
        <v>3877</v>
      </c>
      <c r="D1256" s="75" t="s">
        <v>1443</v>
      </c>
      <c r="E1256" s="92" t="s">
        <v>2052</v>
      </c>
      <c r="F1256" s="92">
        <v>1</v>
      </c>
      <c r="G1256" s="75">
        <v>1</v>
      </c>
      <c r="H1256" s="75" t="s">
        <v>1442</v>
      </c>
      <c r="I1256" s="75"/>
      <c r="J1256" s="75"/>
      <c r="K1256" s="75" t="s">
        <v>162</v>
      </c>
      <c r="L1256" s="75" t="s">
        <v>509</v>
      </c>
      <c r="M1256" s="75" t="s">
        <v>535</v>
      </c>
      <c r="N1256" s="75" t="s">
        <v>509</v>
      </c>
      <c r="O1256" s="75" t="s">
        <v>535</v>
      </c>
      <c r="P1256" s="75" t="s">
        <v>1430</v>
      </c>
    </row>
    <row r="1257" spans="1:16">
      <c r="A1257" s="63" t="s">
        <v>4282</v>
      </c>
      <c r="B1257" s="14" t="str">
        <f>VLOOKUP(P1257,'护理记录单文书字典(数据)'!B$4:C$99,2,0)</f>
        <v>E61F38350CFAB211C5891DB6F0FB3E61</v>
      </c>
      <c r="C1257" s="75" t="s">
        <v>3878</v>
      </c>
      <c r="D1257" s="75" t="s">
        <v>3879</v>
      </c>
      <c r="E1257" s="92" t="s">
        <v>2048</v>
      </c>
      <c r="F1257" s="92">
        <v>1</v>
      </c>
      <c r="G1257" s="75">
        <v>1</v>
      </c>
      <c r="H1257" s="75"/>
      <c r="I1257" s="75"/>
      <c r="J1257" s="75"/>
      <c r="K1257" s="75" t="s">
        <v>162</v>
      </c>
      <c r="L1257" s="75" t="s">
        <v>509</v>
      </c>
      <c r="M1257" s="75" t="s">
        <v>535</v>
      </c>
      <c r="N1257" s="75" t="s">
        <v>509</v>
      </c>
      <c r="O1257" s="75" t="s">
        <v>535</v>
      </c>
      <c r="P1257" s="75" t="s">
        <v>1430</v>
      </c>
    </row>
    <row r="1258" spans="1:16">
      <c r="A1258" s="63" t="s">
        <v>4282</v>
      </c>
      <c r="B1258" s="14" t="str">
        <f>VLOOKUP(P1258,'护理记录单文书字典(数据)'!B$4:C$99,2,0)</f>
        <v>AE4433350CFAB21146BDB153457CAC40</v>
      </c>
      <c r="C1258" s="75" t="s">
        <v>2046</v>
      </c>
      <c r="D1258" s="75" t="s">
        <v>2047</v>
      </c>
      <c r="E1258" s="92" t="s">
        <v>2048</v>
      </c>
      <c r="F1258" s="92">
        <v>1</v>
      </c>
      <c r="G1258" s="75">
        <v>1</v>
      </c>
      <c r="H1258" s="75"/>
      <c r="I1258" s="75"/>
      <c r="J1258" s="75"/>
      <c r="K1258" s="75" t="s">
        <v>162</v>
      </c>
      <c r="L1258" s="75" t="s">
        <v>509</v>
      </c>
      <c r="M1258" s="75" t="s">
        <v>535</v>
      </c>
      <c r="N1258" s="75" t="s">
        <v>509</v>
      </c>
      <c r="O1258" s="75" t="s">
        <v>535</v>
      </c>
      <c r="P1258" s="75" t="s">
        <v>1371</v>
      </c>
    </row>
    <row r="1259" spans="1:16">
      <c r="A1259" s="63" t="s">
        <v>4282</v>
      </c>
      <c r="B1259" s="14" t="str">
        <f>VLOOKUP(P1259,'护理记录单文书字典(数据)'!B$4:C$99,2,0)</f>
        <v>AE4433350CFAB21146BDB153457CAC40</v>
      </c>
      <c r="C1259" s="75" t="s">
        <v>2573</v>
      </c>
      <c r="D1259" s="75" t="s">
        <v>3847</v>
      </c>
      <c r="E1259" s="92" t="s">
        <v>2048</v>
      </c>
      <c r="F1259" s="92">
        <v>1</v>
      </c>
      <c r="G1259" s="75">
        <v>1</v>
      </c>
      <c r="H1259" s="75"/>
      <c r="I1259" s="75"/>
      <c r="J1259" s="75"/>
      <c r="K1259" s="75" t="s">
        <v>162</v>
      </c>
      <c r="L1259" s="75" t="s">
        <v>509</v>
      </c>
      <c r="M1259" s="75" t="s">
        <v>535</v>
      </c>
      <c r="N1259" s="75" t="s">
        <v>509</v>
      </c>
      <c r="O1259" s="75" t="s">
        <v>535</v>
      </c>
      <c r="P1259" s="75" t="s">
        <v>1371</v>
      </c>
    </row>
    <row r="1260" spans="1:16">
      <c r="A1260" s="63" t="s">
        <v>4282</v>
      </c>
      <c r="B1260" s="14" t="str">
        <f>VLOOKUP(P1260,'护理记录单文书字典(数据)'!B$4:C$99,2,0)</f>
        <v>AE4433350CFAB21146BDB153457CAC40</v>
      </c>
      <c r="C1260" s="75" t="s">
        <v>3848</v>
      </c>
      <c r="D1260" s="75" t="s">
        <v>3849</v>
      </c>
      <c r="E1260" s="92" t="s">
        <v>2048</v>
      </c>
      <c r="F1260" s="92">
        <v>1</v>
      </c>
      <c r="G1260" s="75">
        <v>1</v>
      </c>
      <c r="H1260" s="75"/>
      <c r="I1260" s="75"/>
      <c r="J1260" s="75"/>
      <c r="K1260" s="75" t="s">
        <v>162</v>
      </c>
      <c r="L1260" s="75" t="s">
        <v>509</v>
      </c>
      <c r="M1260" s="75" t="s">
        <v>535</v>
      </c>
      <c r="N1260" s="75" t="s">
        <v>509</v>
      </c>
      <c r="O1260" s="75" t="s">
        <v>535</v>
      </c>
      <c r="P1260" s="75" t="s">
        <v>1371</v>
      </c>
    </row>
    <row r="1261" spans="1:16">
      <c r="A1261" s="63" t="s">
        <v>4282</v>
      </c>
      <c r="B1261" s="14" t="str">
        <f>VLOOKUP(P1261,'护理记录单文书字典(数据)'!B$4:C$99,2,0)</f>
        <v>AE4433350CFAB21146BDB153457CAC40</v>
      </c>
      <c r="C1261" s="75" t="s">
        <v>2112</v>
      </c>
      <c r="D1261" s="75" t="s">
        <v>2978</v>
      </c>
      <c r="E1261" s="92" t="s">
        <v>2048</v>
      </c>
      <c r="F1261" s="92">
        <v>1</v>
      </c>
      <c r="G1261" s="75">
        <v>1</v>
      </c>
      <c r="H1261" s="75"/>
      <c r="I1261" s="75"/>
      <c r="J1261" s="75"/>
      <c r="K1261" s="75" t="s">
        <v>162</v>
      </c>
      <c r="L1261" s="75" t="s">
        <v>509</v>
      </c>
      <c r="M1261" s="75" t="s">
        <v>535</v>
      </c>
      <c r="N1261" s="75" t="s">
        <v>509</v>
      </c>
      <c r="O1261" s="75" t="s">
        <v>535</v>
      </c>
      <c r="P1261" s="75" t="s">
        <v>1371</v>
      </c>
    </row>
    <row r="1262" spans="1:16">
      <c r="A1262" s="63" t="s">
        <v>4282</v>
      </c>
      <c r="B1262" s="14" t="str">
        <f>VLOOKUP(P1262,'护理记录单文书字典(数据)'!B$4:C$99,2,0)</f>
        <v>AE4433350CFAB21146BDB153457CAC40</v>
      </c>
      <c r="C1262" s="75" t="s">
        <v>2856</v>
      </c>
      <c r="D1262" s="75" t="s">
        <v>2857</v>
      </c>
      <c r="E1262" s="92" t="s">
        <v>2048</v>
      </c>
      <c r="F1262" s="92">
        <v>1</v>
      </c>
      <c r="G1262" s="75">
        <v>1</v>
      </c>
      <c r="H1262" s="75"/>
      <c r="I1262" s="75"/>
      <c r="J1262" s="75"/>
      <c r="K1262" s="75" t="s">
        <v>162</v>
      </c>
      <c r="L1262" s="75" t="s">
        <v>509</v>
      </c>
      <c r="M1262" s="75" t="s">
        <v>535</v>
      </c>
      <c r="N1262" s="75" t="s">
        <v>509</v>
      </c>
      <c r="O1262" s="75" t="s">
        <v>535</v>
      </c>
      <c r="P1262" s="75" t="s">
        <v>1371</v>
      </c>
    </row>
    <row r="1263" spans="1:16">
      <c r="A1263" s="63" t="s">
        <v>4282</v>
      </c>
      <c r="B1263" s="14" t="str">
        <f>VLOOKUP(P1263,'护理记录单文书字典(数据)'!B$4:C$99,2,0)</f>
        <v>AE4433350CFAB21146BDB153457CAC40</v>
      </c>
      <c r="C1263" s="75" t="s">
        <v>2859</v>
      </c>
      <c r="D1263" s="75" t="s">
        <v>2860</v>
      </c>
      <c r="E1263" s="92" t="s">
        <v>2048</v>
      </c>
      <c r="F1263" s="92">
        <v>1</v>
      </c>
      <c r="G1263" s="75">
        <v>1</v>
      </c>
      <c r="H1263" s="75"/>
      <c r="I1263" s="75"/>
      <c r="J1263" s="75"/>
      <c r="K1263" s="75" t="s">
        <v>162</v>
      </c>
      <c r="L1263" s="75" t="s">
        <v>509</v>
      </c>
      <c r="M1263" s="75" t="s">
        <v>535</v>
      </c>
      <c r="N1263" s="75" t="s">
        <v>509</v>
      </c>
      <c r="O1263" s="75" t="s">
        <v>535</v>
      </c>
      <c r="P1263" s="75" t="s">
        <v>1371</v>
      </c>
    </row>
    <row r="1264" spans="1:16">
      <c r="A1264" s="63" t="s">
        <v>4282</v>
      </c>
      <c r="B1264" s="14" t="str">
        <f>VLOOKUP(P1264,'护理记录单文书字典(数据)'!B$4:C$99,2,0)</f>
        <v>AE4433350CFAB21146BDB153457CAC40</v>
      </c>
      <c r="C1264" s="75" t="s">
        <v>2863</v>
      </c>
      <c r="D1264" s="75" t="s">
        <v>102</v>
      </c>
      <c r="E1264" s="92" t="s">
        <v>2048</v>
      </c>
      <c r="F1264" s="92">
        <v>1</v>
      </c>
      <c r="G1264" s="75">
        <v>1</v>
      </c>
      <c r="H1264" s="75"/>
      <c r="I1264" s="75"/>
      <c r="J1264" s="75"/>
      <c r="K1264" s="75" t="s">
        <v>162</v>
      </c>
      <c r="L1264" s="75" t="s">
        <v>509</v>
      </c>
      <c r="M1264" s="75" t="s">
        <v>535</v>
      </c>
      <c r="N1264" s="75" t="s">
        <v>509</v>
      </c>
      <c r="O1264" s="75" t="s">
        <v>535</v>
      </c>
      <c r="P1264" s="75" t="s">
        <v>1371</v>
      </c>
    </row>
    <row r="1265" spans="1:16">
      <c r="A1265" s="63" t="s">
        <v>4282</v>
      </c>
      <c r="B1265" s="14" t="str">
        <f>VLOOKUP(P1265,'护理记录单文书字典(数据)'!B$4:C$99,2,0)</f>
        <v>AE4433350CFAB21146BDB153457CAC40</v>
      </c>
      <c r="C1265" s="75" t="s">
        <v>2864</v>
      </c>
      <c r="D1265" s="75" t="s">
        <v>101</v>
      </c>
      <c r="E1265" s="92" t="s">
        <v>2048</v>
      </c>
      <c r="F1265" s="92">
        <v>1</v>
      </c>
      <c r="G1265" s="75">
        <v>1</v>
      </c>
      <c r="H1265" s="75"/>
      <c r="I1265" s="75"/>
      <c r="J1265" s="75"/>
      <c r="K1265" s="75" t="s">
        <v>162</v>
      </c>
      <c r="L1265" s="75" t="s">
        <v>509</v>
      </c>
      <c r="M1265" s="75" t="s">
        <v>535</v>
      </c>
      <c r="N1265" s="75" t="s">
        <v>509</v>
      </c>
      <c r="O1265" s="75" t="s">
        <v>535</v>
      </c>
      <c r="P1265" s="75" t="s">
        <v>1371</v>
      </c>
    </row>
    <row r="1266" spans="1:16">
      <c r="A1266" s="63" t="s">
        <v>4282</v>
      </c>
      <c r="B1266" s="14" t="str">
        <f>VLOOKUP(P1266,'护理记录单文书字典(数据)'!B$4:C$99,2,0)</f>
        <v>AE4433350CFAB21146BDB153457CAC40</v>
      </c>
      <c r="C1266" s="75" t="s">
        <v>3850</v>
      </c>
      <c r="D1266" s="75" t="s">
        <v>3851</v>
      </c>
      <c r="E1266" s="92" t="s">
        <v>2048</v>
      </c>
      <c r="F1266" s="92">
        <v>1</v>
      </c>
      <c r="G1266" s="75">
        <v>1</v>
      </c>
      <c r="H1266" s="75"/>
      <c r="I1266" s="75"/>
      <c r="J1266" s="75"/>
      <c r="K1266" s="75" t="s">
        <v>162</v>
      </c>
      <c r="L1266" s="75" t="s">
        <v>509</v>
      </c>
      <c r="M1266" s="75" t="s">
        <v>535</v>
      </c>
      <c r="N1266" s="75" t="s">
        <v>509</v>
      </c>
      <c r="O1266" s="75" t="s">
        <v>535</v>
      </c>
      <c r="P1266" s="75" t="s">
        <v>1371</v>
      </c>
    </row>
    <row r="1267" spans="1:16">
      <c r="A1267" s="63" t="s">
        <v>4282</v>
      </c>
      <c r="B1267" s="14" t="str">
        <f>VLOOKUP(P1267,'护理记录单文书字典(数据)'!B$4:C$99,2,0)</f>
        <v>AE4433350CFAB21146BDB153457CAC40</v>
      </c>
      <c r="C1267" s="75" t="s">
        <v>3852</v>
      </c>
      <c r="D1267" s="75" t="s">
        <v>1370</v>
      </c>
      <c r="E1267" s="92" t="s">
        <v>2052</v>
      </c>
      <c r="F1267" s="92">
        <v>1</v>
      </c>
      <c r="G1267" s="75">
        <v>1</v>
      </c>
      <c r="H1267" s="75" t="s">
        <v>1369</v>
      </c>
      <c r="I1267" s="75"/>
      <c r="J1267" s="75"/>
      <c r="K1267" s="75" t="s">
        <v>162</v>
      </c>
      <c r="L1267" s="75" t="s">
        <v>509</v>
      </c>
      <c r="M1267" s="75" t="s">
        <v>535</v>
      </c>
      <c r="N1267" s="75" t="s">
        <v>509</v>
      </c>
      <c r="O1267" s="75" t="s">
        <v>535</v>
      </c>
      <c r="P1267" s="75" t="s">
        <v>1371</v>
      </c>
    </row>
    <row r="1268" spans="1:16">
      <c r="A1268" s="63" t="s">
        <v>4282</v>
      </c>
      <c r="B1268" s="14" t="str">
        <f>VLOOKUP(P1268,'护理记录单文书字典(数据)'!B$4:C$99,2,0)</f>
        <v>AE4433350CFAB21146BDB153457CAC40</v>
      </c>
      <c r="C1268" s="75" t="s">
        <v>3853</v>
      </c>
      <c r="D1268" s="75" t="s">
        <v>1373</v>
      </c>
      <c r="E1268" s="92" t="s">
        <v>2052</v>
      </c>
      <c r="F1268" s="92">
        <v>1</v>
      </c>
      <c r="G1268" s="75">
        <v>1</v>
      </c>
      <c r="H1268" s="75" t="s">
        <v>1372</v>
      </c>
      <c r="I1268" s="75"/>
      <c r="J1268" s="75"/>
      <c r="K1268" s="75" t="s">
        <v>162</v>
      </c>
      <c r="L1268" s="75" t="s">
        <v>509</v>
      </c>
      <c r="M1268" s="75" t="s">
        <v>535</v>
      </c>
      <c r="N1268" s="75" t="s">
        <v>509</v>
      </c>
      <c r="O1268" s="75" t="s">
        <v>535</v>
      </c>
      <c r="P1268" s="75" t="s">
        <v>1371</v>
      </c>
    </row>
    <row r="1269" spans="1:16">
      <c r="A1269" s="63" t="s">
        <v>4282</v>
      </c>
      <c r="B1269" s="14" t="str">
        <f>VLOOKUP(P1269,'护理记录单文书字典(数据)'!B$4:C$99,2,0)</f>
        <v>AE4433350CFAB21146BDB153457CAC40</v>
      </c>
      <c r="C1269" s="75" t="s">
        <v>3854</v>
      </c>
      <c r="D1269" s="75" t="s">
        <v>1377</v>
      </c>
      <c r="E1269" s="92" t="s">
        <v>2052</v>
      </c>
      <c r="F1269" s="92">
        <v>1</v>
      </c>
      <c r="G1269" s="75">
        <v>1</v>
      </c>
      <c r="H1269" s="75" t="s">
        <v>1376</v>
      </c>
      <c r="I1269" s="75"/>
      <c r="J1269" s="75"/>
      <c r="K1269" s="75" t="s">
        <v>162</v>
      </c>
      <c r="L1269" s="75" t="s">
        <v>509</v>
      </c>
      <c r="M1269" s="75" t="s">
        <v>535</v>
      </c>
      <c r="N1269" s="75" t="s">
        <v>509</v>
      </c>
      <c r="O1269" s="75" t="s">
        <v>535</v>
      </c>
      <c r="P1269" s="75" t="s">
        <v>1371</v>
      </c>
    </row>
    <row r="1270" spans="1:16">
      <c r="A1270" s="63" t="s">
        <v>4282</v>
      </c>
      <c r="B1270" s="14" t="str">
        <f>VLOOKUP(P1270,'护理记录单文书字典(数据)'!B$4:C$99,2,0)</f>
        <v>AE4433350CFAB21146BDB153457CAC40</v>
      </c>
      <c r="C1270" s="75" t="s">
        <v>3855</v>
      </c>
      <c r="D1270" s="75" t="s">
        <v>1379</v>
      </c>
      <c r="E1270" s="92" t="s">
        <v>2052</v>
      </c>
      <c r="F1270" s="92">
        <v>1</v>
      </c>
      <c r="G1270" s="75">
        <v>1</v>
      </c>
      <c r="H1270" s="75" t="s">
        <v>1378</v>
      </c>
      <c r="I1270" s="75"/>
      <c r="J1270" s="75"/>
      <c r="K1270" s="75" t="s">
        <v>162</v>
      </c>
      <c r="L1270" s="75" t="s">
        <v>509</v>
      </c>
      <c r="M1270" s="75" t="s">
        <v>535</v>
      </c>
      <c r="N1270" s="75" t="s">
        <v>509</v>
      </c>
      <c r="O1270" s="75" t="s">
        <v>535</v>
      </c>
      <c r="P1270" s="75" t="s">
        <v>1371</v>
      </c>
    </row>
    <row r="1271" spans="1:16">
      <c r="A1271" s="63" t="s">
        <v>4282</v>
      </c>
      <c r="B1271" s="14" t="str">
        <f>VLOOKUP(P1271,'护理记录单文书字典(数据)'!B$4:C$99,2,0)</f>
        <v>AE4433350CFAB21146BDB153457CAC40</v>
      </c>
      <c r="C1271" s="75" t="s">
        <v>3856</v>
      </c>
      <c r="D1271" s="75" t="s">
        <v>1383</v>
      </c>
      <c r="E1271" s="92" t="s">
        <v>2052</v>
      </c>
      <c r="F1271" s="92">
        <v>1</v>
      </c>
      <c r="G1271" s="75">
        <v>1</v>
      </c>
      <c r="H1271" s="75" t="s">
        <v>1382</v>
      </c>
      <c r="I1271" s="75"/>
      <c r="J1271" s="75"/>
      <c r="K1271" s="75" t="s">
        <v>162</v>
      </c>
      <c r="L1271" s="75" t="s">
        <v>509</v>
      </c>
      <c r="M1271" s="75" t="s">
        <v>535</v>
      </c>
      <c r="N1271" s="75" t="s">
        <v>509</v>
      </c>
      <c r="O1271" s="75" t="s">
        <v>535</v>
      </c>
      <c r="P1271" s="75" t="s">
        <v>1371</v>
      </c>
    </row>
    <row r="1272" spans="1:16">
      <c r="A1272" s="63" t="s">
        <v>4282</v>
      </c>
      <c r="B1272" s="14" t="str">
        <f>VLOOKUP(P1272,'护理记录单文书字典(数据)'!B$4:C$99,2,0)</f>
        <v>AE4433350CFAB21146BDB153457CAC40</v>
      </c>
      <c r="C1272" s="75" t="s">
        <v>3526</v>
      </c>
      <c r="D1272" s="75" t="s">
        <v>1387</v>
      </c>
      <c r="E1272" s="92" t="s">
        <v>2052</v>
      </c>
      <c r="F1272" s="92">
        <v>1</v>
      </c>
      <c r="G1272" s="75">
        <v>1</v>
      </c>
      <c r="H1272" s="75" t="s">
        <v>1386</v>
      </c>
      <c r="I1272" s="75"/>
      <c r="J1272" s="75"/>
      <c r="K1272" s="75" t="s">
        <v>162</v>
      </c>
      <c r="L1272" s="75" t="s">
        <v>509</v>
      </c>
      <c r="M1272" s="75" t="s">
        <v>535</v>
      </c>
      <c r="N1272" s="75" t="s">
        <v>509</v>
      </c>
      <c r="O1272" s="75" t="s">
        <v>535</v>
      </c>
      <c r="P1272" s="75" t="s">
        <v>1371</v>
      </c>
    </row>
    <row r="1273" spans="1:16">
      <c r="A1273" s="63" t="s">
        <v>4282</v>
      </c>
      <c r="B1273" s="14" t="str">
        <f>VLOOKUP(P1273,'护理记录单文书字典(数据)'!B$4:C$99,2,0)</f>
        <v>AE4433350CFAB21146BDB153457CAC40</v>
      </c>
      <c r="C1273" s="75" t="s">
        <v>2585</v>
      </c>
      <c r="D1273" s="75" t="s">
        <v>1389</v>
      </c>
      <c r="E1273" s="92" t="s">
        <v>2052</v>
      </c>
      <c r="F1273" s="92">
        <v>1</v>
      </c>
      <c r="G1273" s="75">
        <v>1</v>
      </c>
      <c r="H1273" s="75" t="s">
        <v>1388</v>
      </c>
      <c r="I1273" s="75"/>
      <c r="J1273" s="75"/>
      <c r="K1273" s="75" t="s">
        <v>162</v>
      </c>
      <c r="L1273" s="75" t="s">
        <v>509</v>
      </c>
      <c r="M1273" s="75" t="s">
        <v>535</v>
      </c>
      <c r="N1273" s="75" t="s">
        <v>509</v>
      </c>
      <c r="O1273" s="75" t="s">
        <v>535</v>
      </c>
      <c r="P1273" s="75" t="s">
        <v>1371</v>
      </c>
    </row>
    <row r="1274" spans="1:16">
      <c r="A1274" s="63" t="s">
        <v>4282</v>
      </c>
      <c r="B1274" s="14" t="str">
        <f>VLOOKUP(P1274,'护理记录单文书字典(数据)'!B$4:C$99,2,0)</f>
        <v>AE4433350CFAB21146BDB153457CAC40</v>
      </c>
      <c r="C1274" s="75" t="s">
        <v>3857</v>
      </c>
      <c r="D1274" s="75" t="s">
        <v>3858</v>
      </c>
      <c r="E1274" s="92" t="s">
        <v>2052</v>
      </c>
      <c r="F1274" s="92">
        <v>1</v>
      </c>
      <c r="G1274" s="75">
        <v>1</v>
      </c>
      <c r="H1274" s="75" t="s">
        <v>1390</v>
      </c>
      <c r="I1274" s="75"/>
      <c r="J1274" s="75"/>
      <c r="K1274" s="75" t="s">
        <v>162</v>
      </c>
      <c r="L1274" s="75" t="s">
        <v>509</v>
      </c>
      <c r="M1274" s="75" t="s">
        <v>535</v>
      </c>
      <c r="N1274" s="75" t="s">
        <v>509</v>
      </c>
      <c r="O1274" s="75" t="s">
        <v>535</v>
      </c>
      <c r="P1274" s="75" t="s">
        <v>1371</v>
      </c>
    </row>
    <row r="1275" spans="1:16">
      <c r="A1275" s="63" t="s">
        <v>4282</v>
      </c>
      <c r="B1275" s="14" t="str">
        <f>VLOOKUP(P1275,'护理记录单文书字典(数据)'!B$4:C$99,2,0)</f>
        <v>AE4433350CFAB21146BDB153457CAC40</v>
      </c>
      <c r="C1275" s="75" t="s">
        <v>3864</v>
      </c>
      <c r="D1275" s="75" t="s">
        <v>1394</v>
      </c>
      <c r="E1275" s="92" t="s">
        <v>2052</v>
      </c>
      <c r="F1275" s="92">
        <v>1</v>
      </c>
      <c r="G1275" s="75">
        <v>1</v>
      </c>
      <c r="H1275" s="75" t="s">
        <v>1393</v>
      </c>
      <c r="I1275" s="75"/>
      <c r="J1275" s="75"/>
      <c r="K1275" s="75" t="s">
        <v>162</v>
      </c>
      <c r="L1275" s="75" t="s">
        <v>509</v>
      </c>
      <c r="M1275" s="75" t="s">
        <v>535</v>
      </c>
      <c r="N1275" s="75" t="s">
        <v>509</v>
      </c>
      <c r="O1275" s="75" t="s">
        <v>535</v>
      </c>
      <c r="P1275" s="75" t="s">
        <v>1371</v>
      </c>
    </row>
    <row r="1276" spans="1:16">
      <c r="A1276" s="63" t="s">
        <v>4282</v>
      </c>
      <c r="B1276" s="14" t="str">
        <f>VLOOKUP(P1276,'护理记录单文书字典(数据)'!B$4:C$99,2,0)</f>
        <v>AE4433350CFAB21146BDB153457CAC40</v>
      </c>
      <c r="C1276" s="75" t="s">
        <v>3880</v>
      </c>
      <c r="D1276" s="75" t="s">
        <v>1399</v>
      </c>
      <c r="E1276" s="92" t="s">
        <v>2052</v>
      </c>
      <c r="F1276" s="92">
        <v>1</v>
      </c>
      <c r="G1276" s="75">
        <v>1</v>
      </c>
      <c r="H1276" s="75" t="s">
        <v>1398</v>
      </c>
      <c r="I1276" s="75"/>
      <c r="J1276" s="75"/>
      <c r="K1276" s="75" t="s">
        <v>162</v>
      </c>
      <c r="L1276" s="75" t="s">
        <v>509</v>
      </c>
      <c r="M1276" s="75" t="s">
        <v>535</v>
      </c>
      <c r="N1276" s="75" t="s">
        <v>509</v>
      </c>
      <c r="O1276" s="75" t="s">
        <v>535</v>
      </c>
      <c r="P1276" s="75" t="s">
        <v>1371</v>
      </c>
    </row>
    <row r="1277" spans="1:16">
      <c r="A1277" s="63" t="s">
        <v>4282</v>
      </c>
      <c r="B1277" s="14" t="str">
        <f>VLOOKUP(P1277,'护理记录单文书字典(数据)'!B$4:C$99,2,0)</f>
        <v>AE4433350CFAB21146BDB153457CAC40</v>
      </c>
      <c r="C1277" s="75" t="s">
        <v>3867</v>
      </c>
      <c r="D1277" s="75" t="s">
        <v>3868</v>
      </c>
      <c r="E1277" s="92" t="s">
        <v>2048</v>
      </c>
      <c r="F1277" s="92">
        <v>1</v>
      </c>
      <c r="G1277" s="75">
        <v>1</v>
      </c>
      <c r="H1277" s="75"/>
      <c r="I1277" s="75"/>
      <c r="J1277" s="75"/>
      <c r="K1277" s="75" t="s">
        <v>162</v>
      </c>
      <c r="L1277" s="75" t="s">
        <v>509</v>
      </c>
      <c r="M1277" s="75" t="s">
        <v>535</v>
      </c>
      <c r="N1277" s="75" t="s">
        <v>509</v>
      </c>
      <c r="O1277" s="75" t="s">
        <v>535</v>
      </c>
      <c r="P1277" s="75" t="s">
        <v>1371</v>
      </c>
    </row>
    <row r="1278" spans="1:16">
      <c r="A1278" s="63" t="s">
        <v>4282</v>
      </c>
      <c r="B1278" s="14" t="str">
        <f>VLOOKUP(P1278,'护理记录单文书字典(数据)'!B$4:C$99,2,0)</f>
        <v>AE4433350CFAB21146BDB153457CAC40</v>
      </c>
      <c r="C1278" s="75" t="s">
        <v>3881</v>
      </c>
      <c r="D1278" s="75" t="s">
        <v>1402</v>
      </c>
      <c r="E1278" s="92" t="s">
        <v>2052</v>
      </c>
      <c r="F1278" s="92">
        <v>1</v>
      </c>
      <c r="G1278" s="75">
        <v>1</v>
      </c>
      <c r="H1278" s="75" t="s">
        <v>1401</v>
      </c>
      <c r="I1278" s="75"/>
      <c r="J1278" s="75"/>
      <c r="K1278" s="75" t="s">
        <v>162</v>
      </c>
      <c r="L1278" s="75" t="s">
        <v>509</v>
      </c>
      <c r="M1278" s="75" t="s">
        <v>535</v>
      </c>
      <c r="N1278" s="75" t="s">
        <v>509</v>
      </c>
      <c r="O1278" s="75" t="s">
        <v>535</v>
      </c>
      <c r="P1278" s="75" t="s">
        <v>1371</v>
      </c>
    </row>
    <row r="1279" spans="1:16">
      <c r="A1279" s="63" t="s">
        <v>4282</v>
      </c>
      <c r="B1279" s="14" t="str">
        <f>VLOOKUP(P1279,'护理记录单文书字典(数据)'!B$4:C$99,2,0)</f>
        <v>AE4433350CFAB21146BDB153457CAC40</v>
      </c>
      <c r="C1279" s="75" t="s">
        <v>3882</v>
      </c>
      <c r="D1279" s="75" t="s">
        <v>3883</v>
      </c>
      <c r="E1279" s="92" t="s">
        <v>2048</v>
      </c>
      <c r="F1279" s="92">
        <v>1</v>
      </c>
      <c r="G1279" s="75">
        <v>1</v>
      </c>
      <c r="H1279" s="75"/>
      <c r="I1279" s="75"/>
      <c r="J1279" s="75"/>
      <c r="K1279" s="75" t="s">
        <v>162</v>
      </c>
      <c r="L1279" s="75" t="s">
        <v>509</v>
      </c>
      <c r="M1279" s="75" t="s">
        <v>535</v>
      </c>
      <c r="N1279" s="75" t="s">
        <v>509</v>
      </c>
      <c r="O1279" s="75" t="s">
        <v>535</v>
      </c>
      <c r="P1279" s="75" t="s">
        <v>1371</v>
      </c>
    </row>
    <row r="1280" spans="1:16">
      <c r="A1280" s="63" t="s">
        <v>4282</v>
      </c>
      <c r="B1280" s="14" t="str">
        <f>VLOOKUP(P1280,'护理记录单文书字典(数据)'!B$4:C$99,2,0)</f>
        <v>AE4433350CFAB21146BDB153457CAC40</v>
      </c>
      <c r="C1280" s="75" t="s">
        <v>3884</v>
      </c>
      <c r="D1280" s="75" t="s">
        <v>3885</v>
      </c>
      <c r="E1280" s="92" t="s">
        <v>2048</v>
      </c>
      <c r="F1280" s="92">
        <v>1</v>
      </c>
      <c r="G1280" s="75">
        <v>1</v>
      </c>
      <c r="H1280" s="75"/>
      <c r="I1280" s="75"/>
      <c r="J1280" s="75"/>
      <c r="K1280" s="75" t="s">
        <v>162</v>
      </c>
      <c r="L1280" s="75" t="s">
        <v>509</v>
      </c>
      <c r="M1280" s="75" t="s">
        <v>535</v>
      </c>
      <c r="N1280" s="75" t="s">
        <v>509</v>
      </c>
      <c r="O1280" s="75" t="s">
        <v>535</v>
      </c>
      <c r="P1280" s="75" t="s">
        <v>1371</v>
      </c>
    </row>
    <row r="1281" spans="1:16">
      <c r="A1281" s="63" t="s">
        <v>4282</v>
      </c>
      <c r="B1281" s="14" t="str">
        <f>VLOOKUP(P1281,'护理记录单文书字典(数据)'!B$4:C$99,2,0)</f>
        <v>AE4433350CFAB21146BDB153457CAC40</v>
      </c>
      <c r="C1281" s="75" t="s">
        <v>3886</v>
      </c>
      <c r="D1281" s="75" t="s">
        <v>1406</v>
      </c>
      <c r="E1281" s="92" t="s">
        <v>2052</v>
      </c>
      <c r="F1281" s="92">
        <v>1</v>
      </c>
      <c r="G1281" s="75">
        <v>1</v>
      </c>
      <c r="H1281" s="75" t="s">
        <v>1405</v>
      </c>
      <c r="I1281" s="75"/>
      <c r="J1281" s="75"/>
      <c r="K1281" s="75" t="s">
        <v>162</v>
      </c>
      <c r="L1281" s="75" t="s">
        <v>509</v>
      </c>
      <c r="M1281" s="75" t="s">
        <v>535</v>
      </c>
      <c r="N1281" s="75" t="s">
        <v>509</v>
      </c>
      <c r="O1281" s="75" t="s">
        <v>535</v>
      </c>
      <c r="P1281" s="75" t="s">
        <v>1371</v>
      </c>
    </row>
    <row r="1282" spans="1:16">
      <c r="A1282" s="63" t="s">
        <v>4282</v>
      </c>
      <c r="B1282" s="14" t="str">
        <f>VLOOKUP(P1282,'护理记录单文书字典(数据)'!B$4:C$99,2,0)</f>
        <v>AE4433350CFAB21146BDB153457CAC40</v>
      </c>
      <c r="C1282" s="75" t="s">
        <v>3887</v>
      </c>
      <c r="D1282" s="75" t="s">
        <v>1408</v>
      </c>
      <c r="E1282" s="92" t="s">
        <v>2052</v>
      </c>
      <c r="F1282" s="92">
        <v>1</v>
      </c>
      <c r="G1282" s="75">
        <v>1</v>
      </c>
      <c r="H1282" s="75" t="s">
        <v>1407</v>
      </c>
      <c r="I1282" s="75"/>
      <c r="J1282" s="75"/>
      <c r="K1282" s="75" t="s">
        <v>162</v>
      </c>
      <c r="L1282" s="75" t="s">
        <v>509</v>
      </c>
      <c r="M1282" s="75" t="s">
        <v>535</v>
      </c>
      <c r="N1282" s="75" t="s">
        <v>509</v>
      </c>
      <c r="O1282" s="75" t="s">
        <v>535</v>
      </c>
      <c r="P1282" s="75" t="s">
        <v>1371</v>
      </c>
    </row>
    <row r="1283" spans="1:16">
      <c r="A1283" s="63" t="s">
        <v>4282</v>
      </c>
      <c r="B1283" s="14" t="str">
        <f>VLOOKUP(P1283,'护理记录单文书字典(数据)'!B$4:C$99,2,0)</f>
        <v>AE4433350CFAB21146BDB153457CAC40</v>
      </c>
      <c r="C1283" s="75" t="s">
        <v>3888</v>
      </c>
      <c r="D1283" s="75" t="s">
        <v>1412</v>
      </c>
      <c r="E1283" s="92" t="s">
        <v>2052</v>
      </c>
      <c r="F1283" s="92">
        <v>1</v>
      </c>
      <c r="G1283" s="75">
        <v>1</v>
      </c>
      <c r="H1283" s="75" t="s">
        <v>1411</v>
      </c>
      <c r="I1283" s="75"/>
      <c r="J1283" s="75"/>
      <c r="K1283" s="75" t="s">
        <v>162</v>
      </c>
      <c r="L1283" s="75" t="s">
        <v>509</v>
      </c>
      <c r="M1283" s="75" t="s">
        <v>535</v>
      </c>
      <c r="N1283" s="75" t="s">
        <v>509</v>
      </c>
      <c r="O1283" s="75" t="s">
        <v>535</v>
      </c>
      <c r="P1283" s="75" t="s">
        <v>1371</v>
      </c>
    </row>
    <row r="1284" spans="1:16">
      <c r="A1284" s="63" t="s">
        <v>4282</v>
      </c>
      <c r="B1284" s="14" t="str">
        <f>VLOOKUP(P1284,'护理记录单文书字典(数据)'!B$4:C$99,2,0)</f>
        <v>AE4433350CFAB21146BDB153457CAC40</v>
      </c>
      <c r="C1284" s="75" t="s">
        <v>3889</v>
      </c>
      <c r="D1284" s="75" t="s">
        <v>3890</v>
      </c>
      <c r="E1284" s="92" t="s">
        <v>2048</v>
      </c>
      <c r="F1284" s="92">
        <v>1</v>
      </c>
      <c r="G1284" s="75">
        <v>1</v>
      </c>
      <c r="H1284" s="75"/>
      <c r="I1284" s="75"/>
      <c r="J1284" s="75"/>
      <c r="K1284" s="75" t="s">
        <v>162</v>
      </c>
      <c r="L1284" s="75" t="s">
        <v>509</v>
      </c>
      <c r="M1284" s="75" t="s">
        <v>535</v>
      </c>
      <c r="N1284" s="75" t="s">
        <v>509</v>
      </c>
      <c r="O1284" s="75" t="s">
        <v>535</v>
      </c>
      <c r="P1284" s="75" t="s">
        <v>1371</v>
      </c>
    </row>
    <row r="1285" spans="1:16">
      <c r="A1285" s="63" t="s">
        <v>4282</v>
      </c>
      <c r="B1285" s="14" t="str">
        <f>VLOOKUP(P1285,'护理记录单文书字典(数据)'!B$4:C$99,2,0)</f>
        <v>AE4433350CFAB21146BDB153457CAC40</v>
      </c>
      <c r="C1285" s="75" t="s">
        <v>3891</v>
      </c>
      <c r="D1285" s="75" t="s">
        <v>3892</v>
      </c>
      <c r="E1285" s="92" t="s">
        <v>2119</v>
      </c>
      <c r="F1285" s="92">
        <v>1</v>
      </c>
      <c r="G1285" s="75">
        <v>1</v>
      </c>
      <c r="H1285" s="75" t="s">
        <v>3893</v>
      </c>
      <c r="I1285" s="75"/>
      <c r="J1285" s="75"/>
      <c r="K1285" s="75" t="s">
        <v>162</v>
      </c>
      <c r="L1285" s="75" t="s">
        <v>509</v>
      </c>
      <c r="M1285" s="75" t="s">
        <v>535</v>
      </c>
      <c r="N1285" s="75" t="s">
        <v>509</v>
      </c>
      <c r="O1285" s="75" t="s">
        <v>535</v>
      </c>
      <c r="P1285" s="75" t="s">
        <v>1371</v>
      </c>
    </row>
    <row r="1286" spans="1:16">
      <c r="A1286" s="63" t="s">
        <v>4282</v>
      </c>
      <c r="B1286" s="14" t="str">
        <f>VLOOKUP(P1286,'护理记录单文书字典(数据)'!B$4:C$99,2,0)</f>
        <v>AE4433350CFAB21146BDB153457CAC40</v>
      </c>
      <c r="C1286" s="75" t="s">
        <v>3860</v>
      </c>
      <c r="D1286" s="75" t="s">
        <v>1414</v>
      </c>
      <c r="E1286" s="92" t="s">
        <v>2052</v>
      </c>
      <c r="F1286" s="92">
        <v>1</v>
      </c>
      <c r="G1286" s="75">
        <v>1</v>
      </c>
      <c r="H1286" s="75" t="s">
        <v>1413</v>
      </c>
      <c r="I1286" s="75"/>
      <c r="J1286" s="75"/>
      <c r="K1286" s="75" t="s">
        <v>162</v>
      </c>
      <c r="L1286" s="75" t="s">
        <v>509</v>
      </c>
      <c r="M1286" s="75" t="s">
        <v>535</v>
      </c>
      <c r="N1286" s="75" t="s">
        <v>509</v>
      </c>
      <c r="O1286" s="75" t="s">
        <v>535</v>
      </c>
      <c r="P1286" s="75" t="s">
        <v>1371</v>
      </c>
    </row>
    <row r="1287" spans="1:16">
      <c r="A1287" s="63" t="s">
        <v>4282</v>
      </c>
      <c r="B1287" s="14" t="str">
        <f>VLOOKUP(P1287,'护理记录单文书字典(数据)'!B$4:C$99,2,0)</f>
        <v>AE4433350CFAB21146BDB153457CAC40</v>
      </c>
      <c r="C1287" s="75" t="s">
        <v>3894</v>
      </c>
      <c r="D1287" s="75" t="s">
        <v>3895</v>
      </c>
      <c r="E1287" s="92" t="s">
        <v>2048</v>
      </c>
      <c r="F1287" s="92">
        <v>1</v>
      </c>
      <c r="G1287" s="75">
        <v>1</v>
      </c>
      <c r="H1287" s="75"/>
      <c r="I1287" s="75"/>
      <c r="J1287" s="75"/>
      <c r="K1287" s="75" t="s">
        <v>162</v>
      </c>
      <c r="L1287" s="75" t="s">
        <v>509</v>
      </c>
      <c r="M1287" s="75" t="s">
        <v>535</v>
      </c>
      <c r="N1287" s="75" t="s">
        <v>509</v>
      </c>
      <c r="O1287" s="75" t="s">
        <v>535</v>
      </c>
      <c r="P1287" s="75" t="s">
        <v>1371</v>
      </c>
    </row>
    <row r="1288" spans="1:16">
      <c r="A1288" s="63" t="s">
        <v>4282</v>
      </c>
      <c r="B1288" s="14" t="str">
        <f>VLOOKUP(P1288,'护理记录单文书字典(数据)'!B$4:C$99,2,0)</f>
        <v>AE4433350CFAB21146BDB153457CAC40</v>
      </c>
      <c r="C1288" s="75" t="s">
        <v>3896</v>
      </c>
      <c r="D1288" s="75" t="s">
        <v>1418</v>
      </c>
      <c r="E1288" s="92" t="s">
        <v>2052</v>
      </c>
      <c r="F1288" s="92">
        <v>1</v>
      </c>
      <c r="G1288" s="75">
        <v>1</v>
      </c>
      <c r="H1288" s="75" t="s">
        <v>1081</v>
      </c>
      <c r="I1288" s="75"/>
      <c r="J1288" s="75"/>
      <c r="K1288" s="75" t="s">
        <v>162</v>
      </c>
      <c r="L1288" s="75" t="s">
        <v>509</v>
      </c>
      <c r="M1288" s="75" t="s">
        <v>535</v>
      </c>
      <c r="N1288" s="75" t="s">
        <v>509</v>
      </c>
      <c r="O1288" s="75" t="s">
        <v>535</v>
      </c>
      <c r="P1288" s="75" t="s">
        <v>1371</v>
      </c>
    </row>
    <row r="1289" spans="1:16">
      <c r="A1289" s="63" t="s">
        <v>4282</v>
      </c>
      <c r="B1289" s="14" t="str">
        <f>VLOOKUP(P1289,'护理记录单文书字典(数据)'!B$4:C$99,2,0)</f>
        <v>AE4433350CFAB21146BDB153457CAC40</v>
      </c>
      <c r="C1289" s="75" t="s">
        <v>3897</v>
      </c>
      <c r="D1289" s="75" t="s">
        <v>1423</v>
      </c>
      <c r="E1289" s="92" t="s">
        <v>2052</v>
      </c>
      <c r="F1289" s="92">
        <v>1</v>
      </c>
      <c r="G1289" s="75">
        <v>1</v>
      </c>
      <c r="H1289" s="75" t="s">
        <v>1422</v>
      </c>
      <c r="I1289" s="75"/>
      <c r="J1289" s="75"/>
      <c r="K1289" s="75" t="s">
        <v>162</v>
      </c>
      <c r="L1289" s="75" t="s">
        <v>509</v>
      </c>
      <c r="M1289" s="75" t="s">
        <v>535</v>
      </c>
      <c r="N1289" s="75" t="s">
        <v>509</v>
      </c>
      <c r="O1289" s="75" t="s">
        <v>535</v>
      </c>
      <c r="P1289" s="75" t="s">
        <v>1371</v>
      </c>
    </row>
    <row r="1290" spans="1:16">
      <c r="A1290" s="63" t="s">
        <v>4282</v>
      </c>
      <c r="B1290" s="14" t="str">
        <f>VLOOKUP(P1290,'护理记录单文书字典(数据)'!B$4:C$99,2,0)</f>
        <v>AE4433350CFAB21146BDB153457CAC40</v>
      </c>
      <c r="C1290" s="75" t="s">
        <v>3898</v>
      </c>
      <c r="D1290" s="75" t="s">
        <v>1331</v>
      </c>
      <c r="E1290" s="92" t="s">
        <v>2052</v>
      </c>
      <c r="F1290" s="92">
        <v>1</v>
      </c>
      <c r="G1290" s="75">
        <v>1</v>
      </c>
      <c r="H1290" s="75" t="s">
        <v>1330</v>
      </c>
      <c r="I1290" s="75"/>
      <c r="J1290" s="75"/>
      <c r="K1290" s="75" t="s">
        <v>162</v>
      </c>
      <c r="L1290" s="75" t="s">
        <v>509</v>
      </c>
      <c r="M1290" s="75" t="s">
        <v>535</v>
      </c>
      <c r="N1290" s="75" t="s">
        <v>509</v>
      </c>
      <c r="O1290" s="75" t="s">
        <v>535</v>
      </c>
      <c r="P1290" s="75" t="s">
        <v>1371</v>
      </c>
    </row>
    <row r="1291" spans="1:16">
      <c r="A1291" s="63" t="s">
        <v>4282</v>
      </c>
      <c r="B1291" s="14" t="str">
        <f>VLOOKUP(P1291,'护理记录单文书字典(数据)'!B$4:C$99,2,0)</f>
        <v>AE4433350CFAB21146BDB153457CAC40</v>
      </c>
      <c r="C1291" s="75" t="s">
        <v>3899</v>
      </c>
      <c r="D1291" s="75" t="s">
        <v>3900</v>
      </c>
      <c r="E1291" s="92" t="s">
        <v>2052</v>
      </c>
      <c r="F1291" s="92">
        <v>1</v>
      </c>
      <c r="G1291" s="75">
        <v>1</v>
      </c>
      <c r="H1291" s="75" t="s">
        <v>1425</v>
      </c>
      <c r="I1291" s="75"/>
      <c r="J1291" s="75"/>
      <c r="K1291" s="75" t="s">
        <v>162</v>
      </c>
      <c r="L1291" s="75" t="s">
        <v>509</v>
      </c>
      <c r="M1291" s="75" t="s">
        <v>535</v>
      </c>
      <c r="N1291" s="75" t="s">
        <v>509</v>
      </c>
      <c r="O1291" s="75" t="s">
        <v>535</v>
      </c>
      <c r="P1291" s="75" t="s">
        <v>1371</v>
      </c>
    </row>
    <row r="1292" spans="1:16">
      <c r="A1292" s="63" t="s">
        <v>4282</v>
      </c>
      <c r="B1292" s="14" t="str">
        <f>VLOOKUP(P1292,'护理记录单文书字典(数据)'!B$4:C$99,2,0)</f>
        <v>AE4433350CFAB21146BDB153457CAC40</v>
      </c>
      <c r="C1292" s="75" t="s">
        <v>3901</v>
      </c>
      <c r="D1292" s="75" t="s">
        <v>3902</v>
      </c>
      <c r="E1292" s="92" t="s">
        <v>2048</v>
      </c>
      <c r="F1292" s="92">
        <v>1</v>
      </c>
      <c r="G1292" s="75">
        <v>1</v>
      </c>
      <c r="H1292" s="75"/>
      <c r="I1292" s="75"/>
      <c r="J1292" s="75"/>
      <c r="K1292" s="75" t="s">
        <v>162</v>
      </c>
      <c r="L1292" s="75" t="s">
        <v>509</v>
      </c>
      <c r="M1292" s="75" t="s">
        <v>535</v>
      </c>
      <c r="N1292" s="75" t="s">
        <v>509</v>
      </c>
      <c r="O1292" s="75" t="s">
        <v>535</v>
      </c>
      <c r="P1292" s="75" t="s">
        <v>1371</v>
      </c>
    </row>
    <row r="1293" spans="1:16">
      <c r="A1293" s="63" t="s">
        <v>4282</v>
      </c>
      <c r="B1293" s="14" t="str">
        <f>VLOOKUP(P1293,'护理记录单文书字典(数据)'!B$4:C$99,2,0)</f>
        <v>AE4433350CFAB21146BDB153457CAC40</v>
      </c>
      <c r="C1293" s="75" t="s">
        <v>3903</v>
      </c>
      <c r="D1293" s="75" t="s">
        <v>3904</v>
      </c>
      <c r="E1293" s="92" t="s">
        <v>2048</v>
      </c>
      <c r="F1293" s="92">
        <v>1</v>
      </c>
      <c r="G1293" s="75">
        <v>1</v>
      </c>
      <c r="H1293" s="75"/>
      <c r="I1293" s="75"/>
      <c r="J1293" s="75"/>
      <c r="K1293" s="75" t="s">
        <v>162</v>
      </c>
      <c r="L1293" s="75" t="s">
        <v>509</v>
      </c>
      <c r="M1293" s="75" t="s">
        <v>535</v>
      </c>
      <c r="N1293" s="75" t="s">
        <v>509</v>
      </c>
      <c r="O1293" s="75" t="s">
        <v>535</v>
      </c>
      <c r="P1293" s="75" t="s">
        <v>1371</v>
      </c>
    </row>
    <row r="1294" spans="1:16">
      <c r="A1294" s="63" t="s">
        <v>4282</v>
      </c>
      <c r="B1294" s="14" t="str">
        <f>VLOOKUP(P1294,'护理记录单文书字典(数据)'!B$4:C$99,2,0)</f>
        <v>AE4433350CFAB21146BDB153457CAC40</v>
      </c>
      <c r="C1294" s="75" t="s">
        <v>3905</v>
      </c>
      <c r="D1294" s="75" t="s">
        <v>3906</v>
      </c>
      <c r="E1294" s="92" t="s">
        <v>2048</v>
      </c>
      <c r="F1294" s="92">
        <v>1</v>
      </c>
      <c r="G1294" s="75">
        <v>1</v>
      </c>
      <c r="H1294" s="75"/>
      <c r="I1294" s="75"/>
      <c r="J1294" s="75"/>
      <c r="K1294" s="75" t="s">
        <v>162</v>
      </c>
      <c r="L1294" s="75" t="s">
        <v>509</v>
      </c>
      <c r="M1294" s="75" t="s">
        <v>535</v>
      </c>
      <c r="N1294" s="75" t="s">
        <v>509</v>
      </c>
      <c r="O1294" s="75" t="s">
        <v>535</v>
      </c>
      <c r="P1294" s="75" t="s">
        <v>1371</v>
      </c>
    </row>
    <row r="1295" spans="1:16">
      <c r="A1295" s="63" t="s">
        <v>4282</v>
      </c>
      <c r="B1295" s="14" t="str">
        <f>VLOOKUP(P1295,'护理记录单文书字典(数据)'!B$4:C$99,2,0)</f>
        <v>AE4433350CFAB21146BDB153457CAC40</v>
      </c>
      <c r="C1295" s="75" t="s">
        <v>3907</v>
      </c>
      <c r="D1295" s="75" t="s">
        <v>3908</v>
      </c>
      <c r="E1295" s="92" t="s">
        <v>2048</v>
      </c>
      <c r="F1295" s="92">
        <v>1</v>
      </c>
      <c r="G1295" s="75">
        <v>1</v>
      </c>
      <c r="H1295" s="75"/>
      <c r="I1295" s="75"/>
      <c r="J1295" s="75"/>
      <c r="K1295" s="75" t="s">
        <v>162</v>
      </c>
      <c r="L1295" s="75" t="s">
        <v>509</v>
      </c>
      <c r="M1295" s="75" t="s">
        <v>535</v>
      </c>
      <c r="N1295" s="75" t="s">
        <v>509</v>
      </c>
      <c r="O1295" s="75" t="s">
        <v>535</v>
      </c>
      <c r="P1295" s="75" t="s">
        <v>1371</v>
      </c>
    </row>
    <row r="1296" spans="1:16">
      <c r="A1296" s="63" t="s">
        <v>4282</v>
      </c>
      <c r="B1296" s="14" t="str">
        <f>VLOOKUP(P1296,'护理记录单文书字典(数据)'!B$4:C$99,2,0)</f>
        <v>AE4433350CFAB21146BDB153457CAC40</v>
      </c>
      <c r="C1296" s="75" t="s">
        <v>2852</v>
      </c>
      <c r="D1296" s="75" t="s">
        <v>2853</v>
      </c>
      <c r="E1296" s="92" t="s">
        <v>2048</v>
      </c>
      <c r="F1296" s="92">
        <v>1</v>
      </c>
      <c r="G1296" s="75">
        <v>1</v>
      </c>
      <c r="H1296" s="75"/>
      <c r="I1296" s="75"/>
      <c r="J1296" s="75"/>
      <c r="K1296" s="75" t="s">
        <v>162</v>
      </c>
      <c r="L1296" s="75" t="s">
        <v>509</v>
      </c>
      <c r="M1296" s="75" t="s">
        <v>535</v>
      </c>
      <c r="N1296" s="75" t="s">
        <v>509</v>
      </c>
      <c r="O1296" s="75" t="s">
        <v>535</v>
      </c>
      <c r="P1296" s="75" t="s">
        <v>1371</v>
      </c>
    </row>
    <row r="1297" spans="1:16">
      <c r="A1297" s="63" t="s">
        <v>4282</v>
      </c>
      <c r="B1297" s="14" t="str">
        <f>VLOOKUP(P1297,'护理记录单文书字典(数据)'!B$4:C$99,2,0)</f>
        <v>AE4433350CFAB21146BDB153457CAC40</v>
      </c>
      <c r="C1297" s="75" t="s">
        <v>2105</v>
      </c>
      <c r="D1297" s="75" t="s">
        <v>2103</v>
      </c>
      <c r="E1297" s="92" t="s">
        <v>2104</v>
      </c>
      <c r="F1297" s="92">
        <v>1</v>
      </c>
      <c r="G1297" s="75">
        <v>1</v>
      </c>
      <c r="H1297" s="75"/>
      <c r="I1297" s="75"/>
      <c r="J1297" s="75"/>
      <c r="K1297" s="75" t="s">
        <v>162</v>
      </c>
      <c r="L1297" s="75" t="s">
        <v>509</v>
      </c>
      <c r="M1297" s="75" t="s">
        <v>535</v>
      </c>
      <c r="N1297" s="75" t="s">
        <v>509</v>
      </c>
      <c r="O1297" s="75" t="s">
        <v>535</v>
      </c>
      <c r="P1297" s="75" t="s">
        <v>1371</v>
      </c>
    </row>
    <row r="1298" spans="1:16">
      <c r="A1298" s="63" t="s">
        <v>4282</v>
      </c>
      <c r="B1298" s="14" t="str">
        <f>VLOOKUP(P1298,'护理记录单文书字典(数据)'!B$4:C$99,2,0)</f>
        <v>89F92B350CFAB2115BA083669CA3277E</v>
      </c>
      <c r="C1298" s="75" t="s">
        <v>3832</v>
      </c>
      <c r="D1298" s="75" t="s">
        <v>3271</v>
      </c>
      <c r="E1298" s="92" t="s">
        <v>2048</v>
      </c>
      <c r="F1298" s="92">
        <v>1</v>
      </c>
      <c r="G1298" s="75">
        <v>1</v>
      </c>
      <c r="H1298" s="75"/>
      <c r="I1298" s="75"/>
      <c r="J1298" s="75"/>
      <c r="K1298" s="75" t="s">
        <v>162</v>
      </c>
      <c r="L1298" s="75" t="s">
        <v>509</v>
      </c>
      <c r="M1298" s="75" t="s">
        <v>535</v>
      </c>
      <c r="N1298" s="75" t="s">
        <v>509</v>
      </c>
      <c r="O1298" s="75" t="s">
        <v>535</v>
      </c>
      <c r="P1298" s="75" t="s">
        <v>1329</v>
      </c>
    </row>
    <row r="1299" spans="1:16">
      <c r="A1299" s="63" t="s">
        <v>4282</v>
      </c>
      <c r="B1299" s="14" t="str">
        <f>VLOOKUP(P1299,'护理记录单文书字典(数据)'!B$4:C$99,2,0)</f>
        <v>89F92B350CFAB2115BA083669CA3277E</v>
      </c>
      <c r="C1299" s="75" t="s">
        <v>3909</v>
      </c>
      <c r="D1299" s="75" t="s">
        <v>3847</v>
      </c>
      <c r="E1299" s="92" t="s">
        <v>2048</v>
      </c>
      <c r="F1299" s="92">
        <v>1</v>
      </c>
      <c r="G1299" s="75">
        <v>1</v>
      </c>
      <c r="H1299" s="75"/>
      <c r="I1299" s="75"/>
      <c r="J1299" s="75"/>
      <c r="K1299" s="75" t="s">
        <v>162</v>
      </c>
      <c r="L1299" s="75" t="s">
        <v>509</v>
      </c>
      <c r="M1299" s="75" t="s">
        <v>535</v>
      </c>
      <c r="N1299" s="75" t="s">
        <v>509</v>
      </c>
      <c r="O1299" s="75" t="s">
        <v>535</v>
      </c>
      <c r="P1299" s="75" t="s">
        <v>1329</v>
      </c>
    </row>
    <row r="1300" spans="1:16">
      <c r="A1300" s="63" t="s">
        <v>4282</v>
      </c>
      <c r="B1300" s="14" t="str">
        <f>VLOOKUP(P1300,'护理记录单文书字典(数据)'!B$4:C$99,2,0)</f>
        <v>89F92B350CFAB2115BA083669CA3277E</v>
      </c>
      <c r="C1300" s="75" t="s">
        <v>3910</v>
      </c>
      <c r="D1300" s="75" t="s">
        <v>3911</v>
      </c>
      <c r="E1300" s="92" t="s">
        <v>2048</v>
      </c>
      <c r="F1300" s="92">
        <v>1</v>
      </c>
      <c r="G1300" s="75">
        <v>1</v>
      </c>
      <c r="H1300" s="75"/>
      <c r="I1300" s="75"/>
      <c r="J1300" s="75"/>
      <c r="K1300" s="75" t="s">
        <v>162</v>
      </c>
      <c r="L1300" s="75" t="s">
        <v>509</v>
      </c>
      <c r="M1300" s="75" t="s">
        <v>535</v>
      </c>
      <c r="N1300" s="75" t="s">
        <v>509</v>
      </c>
      <c r="O1300" s="75" t="s">
        <v>535</v>
      </c>
      <c r="P1300" s="75" t="s">
        <v>1329</v>
      </c>
    </row>
    <row r="1301" spans="1:16">
      <c r="A1301" s="63" t="s">
        <v>4282</v>
      </c>
      <c r="B1301" s="14" t="str">
        <f>VLOOKUP(P1301,'护理记录单文书字典(数据)'!B$4:C$99,2,0)</f>
        <v>89F92B350CFAB2115BA083669CA3277E</v>
      </c>
      <c r="C1301" s="75" t="s">
        <v>3912</v>
      </c>
      <c r="D1301" s="75" t="s">
        <v>3913</v>
      </c>
      <c r="E1301" s="92" t="s">
        <v>2048</v>
      </c>
      <c r="F1301" s="92">
        <v>1</v>
      </c>
      <c r="G1301" s="75">
        <v>1</v>
      </c>
      <c r="H1301" s="75"/>
      <c r="I1301" s="75"/>
      <c r="J1301" s="75"/>
      <c r="K1301" s="75" t="s">
        <v>162</v>
      </c>
      <c r="L1301" s="75" t="s">
        <v>509</v>
      </c>
      <c r="M1301" s="75" t="s">
        <v>535</v>
      </c>
      <c r="N1301" s="75" t="s">
        <v>509</v>
      </c>
      <c r="O1301" s="75" t="s">
        <v>535</v>
      </c>
      <c r="P1301" s="75" t="s">
        <v>1329</v>
      </c>
    </row>
    <row r="1302" spans="1:16">
      <c r="A1302" s="63" t="s">
        <v>4282</v>
      </c>
      <c r="B1302" s="14" t="str">
        <f>VLOOKUP(P1302,'护理记录单文书字典(数据)'!B$4:C$99,2,0)</f>
        <v>89F92B350CFAB2115BA083669CA3277E</v>
      </c>
      <c r="C1302" s="75" t="s">
        <v>3914</v>
      </c>
      <c r="D1302" s="75" t="s">
        <v>3915</v>
      </c>
      <c r="E1302" s="92" t="s">
        <v>2048</v>
      </c>
      <c r="F1302" s="92">
        <v>1</v>
      </c>
      <c r="G1302" s="75">
        <v>1</v>
      </c>
      <c r="H1302" s="75"/>
      <c r="I1302" s="75"/>
      <c r="J1302" s="75"/>
      <c r="K1302" s="75" t="s">
        <v>162</v>
      </c>
      <c r="L1302" s="75" t="s">
        <v>509</v>
      </c>
      <c r="M1302" s="75" t="s">
        <v>535</v>
      </c>
      <c r="N1302" s="75" t="s">
        <v>509</v>
      </c>
      <c r="O1302" s="75" t="s">
        <v>535</v>
      </c>
      <c r="P1302" s="75" t="s">
        <v>1329</v>
      </c>
    </row>
    <row r="1303" spans="1:16">
      <c r="A1303" s="63" t="s">
        <v>4282</v>
      </c>
      <c r="B1303" s="14" t="str">
        <f>VLOOKUP(P1303,'护理记录单文书字典(数据)'!B$4:C$99,2,0)</f>
        <v>89F92B350CFAB2115BA083669CA3277E</v>
      </c>
      <c r="C1303" s="75" t="s">
        <v>3916</v>
      </c>
      <c r="D1303" s="75" t="s">
        <v>3917</v>
      </c>
      <c r="E1303" s="92" t="s">
        <v>2048</v>
      </c>
      <c r="F1303" s="92">
        <v>1</v>
      </c>
      <c r="G1303" s="75">
        <v>1</v>
      </c>
      <c r="H1303" s="75"/>
      <c r="I1303" s="75"/>
      <c r="J1303" s="75"/>
      <c r="K1303" s="75" t="s">
        <v>162</v>
      </c>
      <c r="L1303" s="75" t="s">
        <v>509</v>
      </c>
      <c r="M1303" s="75" t="s">
        <v>535</v>
      </c>
      <c r="N1303" s="75" t="s">
        <v>509</v>
      </c>
      <c r="O1303" s="75" t="s">
        <v>535</v>
      </c>
      <c r="P1303" s="75" t="s">
        <v>1329</v>
      </c>
    </row>
    <row r="1304" spans="1:16">
      <c r="A1304" s="63" t="s">
        <v>4282</v>
      </c>
      <c r="B1304" s="14" t="str">
        <f>VLOOKUP(P1304,'护理记录单文书字典(数据)'!B$4:C$99,2,0)</f>
        <v>89F92B350CFAB2115BA083669CA3277E</v>
      </c>
      <c r="C1304" s="75" t="s">
        <v>3918</v>
      </c>
      <c r="D1304" s="75" t="s">
        <v>3919</v>
      </c>
      <c r="E1304" s="92" t="s">
        <v>2048</v>
      </c>
      <c r="F1304" s="92">
        <v>1</v>
      </c>
      <c r="G1304" s="75">
        <v>1</v>
      </c>
      <c r="H1304" s="75"/>
      <c r="I1304" s="75"/>
      <c r="J1304" s="75"/>
      <c r="K1304" s="75" t="s">
        <v>162</v>
      </c>
      <c r="L1304" s="75" t="s">
        <v>509</v>
      </c>
      <c r="M1304" s="75" t="s">
        <v>535</v>
      </c>
      <c r="N1304" s="75" t="s">
        <v>509</v>
      </c>
      <c r="O1304" s="75" t="s">
        <v>535</v>
      </c>
      <c r="P1304" s="75" t="s">
        <v>1329</v>
      </c>
    </row>
    <row r="1305" spans="1:16">
      <c r="A1305" s="63" t="s">
        <v>4282</v>
      </c>
      <c r="B1305" s="14" t="str">
        <f>VLOOKUP(P1305,'护理记录单文书字典(数据)'!B$4:C$99,2,0)</f>
        <v>89F92B350CFAB2115BA083669CA3277E</v>
      </c>
      <c r="C1305" s="75" t="s">
        <v>3920</v>
      </c>
      <c r="D1305" s="75" t="s">
        <v>3921</v>
      </c>
      <c r="E1305" s="92" t="s">
        <v>2048</v>
      </c>
      <c r="F1305" s="92">
        <v>1</v>
      </c>
      <c r="G1305" s="75">
        <v>1</v>
      </c>
      <c r="H1305" s="75"/>
      <c r="I1305" s="75"/>
      <c r="J1305" s="75"/>
      <c r="K1305" s="75" t="s">
        <v>162</v>
      </c>
      <c r="L1305" s="75" t="s">
        <v>509</v>
      </c>
      <c r="M1305" s="75" t="s">
        <v>535</v>
      </c>
      <c r="N1305" s="75" t="s">
        <v>509</v>
      </c>
      <c r="O1305" s="75" t="s">
        <v>535</v>
      </c>
      <c r="P1305" s="75" t="s">
        <v>1329</v>
      </c>
    </row>
    <row r="1306" spans="1:16">
      <c r="A1306" s="63" t="s">
        <v>4282</v>
      </c>
      <c r="B1306" s="14" t="str">
        <f>VLOOKUP(P1306,'护理记录单文书字典(数据)'!B$4:C$99,2,0)</f>
        <v>89F92B350CFAB2115BA083669CA3277E</v>
      </c>
      <c r="C1306" s="75" t="s">
        <v>2112</v>
      </c>
      <c r="D1306" s="75" t="s">
        <v>2978</v>
      </c>
      <c r="E1306" s="92" t="s">
        <v>2048</v>
      </c>
      <c r="F1306" s="92">
        <v>1</v>
      </c>
      <c r="G1306" s="75">
        <v>1</v>
      </c>
      <c r="H1306" s="75"/>
      <c r="I1306" s="75"/>
      <c r="J1306" s="75"/>
      <c r="K1306" s="75" t="s">
        <v>162</v>
      </c>
      <c r="L1306" s="75" t="s">
        <v>509</v>
      </c>
      <c r="M1306" s="75" t="s">
        <v>535</v>
      </c>
      <c r="N1306" s="75" t="s">
        <v>509</v>
      </c>
      <c r="O1306" s="75" t="s">
        <v>535</v>
      </c>
      <c r="P1306" s="75" t="s">
        <v>1329</v>
      </c>
    </row>
    <row r="1307" spans="1:16">
      <c r="A1307" s="63" t="s">
        <v>4282</v>
      </c>
      <c r="B1307" s="14" t="str">
        <f>VLOOKUP(P1307,'护理记录单文书字典(数据)'!B$4:C$99,2,0)</f>
        <v>89F92B350CFAB2115BA083669CA3277E</v>
      </c>
      <c r="C1307" s="75" t="s">
        <v>2856</v>
      </c>
      <c r="D1307" s="75" t="s">
        <v>2857</v>
      </c>
      <c r="E1307" s="92" t="s">
        <v>2048</v>
      </c>
      <c r="F1307" s="92">
        <v>1</v>
      </c>
      <c r="G1307" s="75">
        <v>1</v>
      </c>
      <c r="H1307" s="75"/>
      <c r="I1307" s="75"/>
      <c r="J1307" s="75"/>
      <c r="K1307" s="75" t="s">
        <v>162</v>
      </c>
      <c r="L1307" s="75" t="s">
        <v>509</v>
      </c>
      <c r="M1307" s="75" t="s">
        <v>535</v>
      </c>
      <c r="N1307" s="75" t="s">
        <v>509</v>
      </c>
      <c r="O1307" s="75" t="s">
        <v>535</v>
      </c>
      <c r="P1307" s="75" t="s">
        <v>1329</v>
      </c>
    </row>
    <row r="1308" spans="1:16">
      <c r="A1308" s="63" t="s">
        <v>4282</v>
      </c>
      <c r="B1308" s="14" t="str">
        <f>VLOOKUP(P1308,'护理记录单文书字典(数据)'!B$4:C$99,2,0)</f>
        <v>89F92B350CFAB2115BA083669CA3277E</v>
      </c>
      <c r="C1308" s="75" t="s">
        <v>2859</v>
      </c>
      <c r="D1308" s="75" t="s">
        <v>2860</v>
      </c>
      <c r="E1308" s="92" t="s">
        <v>2048</v>
      </c>
      <c r="F1308" s="92">
        <v>1</v>
      </c>
      <c r="G1308" s="75">
        <v>1</v>
      </c>
      <c r="H1308" s="75"/>
      <c r="I1308" s="75"/>
      <c r="J1308" s="75"/>
      <c r="K1308" s="75" t="s">
        <v>162</v>
      </c>
      <c r="L1308" s="75" t="s">
        <v>509</v>
      </c>
      <c r="M1308" s="75" t="s">
        <v>535</v>
      </c>
      <c r="N1308" s="75" t="s">
        <v>509</v>
      </c>
      <c r="O1308" s="75" t="s">
        <v>535</v>
      </c>
      <c r="P1308" s="75" t="s">
        <v>1329</v>
      </c>
    </row>
    <row r="1309" spans="1:16">
      <c r="A1309" s="63" t="s">
        <v>4282</v>
      </c>
      <c r="B1309" s="14" t="str">
        <f>VLOOKUP(P1309,'护理记录单文书字典(数据)'!B$4:C$99,2,0)</f>
        <v>89F92B350CFAB2115BA083669CA3277E</v>
      </c>
      <c r="C1309" s="75" t="s">
        <v>2863</v>
      </c>
      <c r="D1309" s="75" t="s">
        <v>102</v>
      </c>
      <c r="E1309" s="92" t="s">
        <v>2048</v>
      </c>
      <c r="F1309" s="92">
        <v>1</v>
      </c>
      <c r="G1309" s="75">
        <v>1</v>
      </c>
      <c r="H1309" s="75"/>
      <c r="I1309" s="75"/>
      <c r="J1309" s="75"/>
      <c r="K1309" s="75" t="s">
        <v>162</v>
      </c>
      <c r="L1309" s="75" t="s">
        <v>509</v>
      </c>
      <c r="M1309" s="75" t="s">
        <v>535</v>
      </c>
      <c r="N1309" s="75" t="s">
        <v>509</v>
      </c>
      <c r="O1309" s="75" t="s">
        <v>535</v>
      </c>
      <c r="P1309" s="75" t="s">
        <v>1329</v>
      </c>
    </row>
    <row r="1310" spans="1:16">
      <c r="A1310" s="63" t="s">
        <v>4282</v>
      </c>
      <c r="B1310" s="14" t="str">
        <f>VLOOKUP(P1310,'护理记录单文书字典(数据)'!B$4:C$99,2,0)</f>
        <v>89F92B350CFAB2115BA083669CA3277E</v>
      </c>
      <c r="C1310" s="75" t="s">
        <v>2864</v>
      </c>
      <c r="D1310" s="75" t="s">
        <v>101</v>
      </c>
      <c r="E1310" s="92" t="s">
        <v>2048</v>
      </c>
      <c r="F1310" s="92">
        <v>1</v>
      </c>
      <c r="G1310" s="75">
        <v>1</v>
      </c>
      <c r="H1310" s="75"/>
      <c r="I1310" s="75"/>
      <c r="J1310" s="75"/>
      <c r="K1310" s="75" t="s">
        <v>162</v>
      </c>
      <c r="L1310" s="75" t="s">
        <v>509</v>
      </c>
      <c r="M1310" s="75" t="s">
        <v>535</v>
      </c>
      <c r="N1310" s="75" t="s">
        <v>509</v>
      </c>
      <c r="O1310" s="75" t="s">
        <v>535</v>
      </c>
      <c r="P1310" s="75" t="s">
        <v>1329</v>
      </c>
    </row>
    <row r="1311" spans="1:16">
      <c r="A1311" s="63" t="s">
        <v>4282</v>
      </c>
      <c r="B1311" s="14" t="str">
        <f>VLOOKUP(P1311,'护理记录单文书字典(数据)'!B$4:C$99,2,0)</f>
        <v>89F92B350CFAB2115BA083669CA3277E</v>
      </c>
      <c r="C1311" s="75" t="s">
        <v>3922</v>
      </c>
      <c r="D1311" s="75" t="s">
        <v>3923</v>
      </c>
      <c r="E1311" s="92" t="s">
        <v>2052</v>
      </c>
      <c r="F1311" s="92">
        <v>1</v>
      </c>
      <c r="G1311" s="75">
        <v>1</v>
      </c>
      <c r="H1311" s="75" t="s">
        <v>1318</v>
      </c>
      <c r="I1311" s="75"/>
      <c r="J1311" s="75"/>
      <c r="K1311" s="75" t="s">
        <v>162</v>
      </c>
      <c r="L1311" s="75" t="s">
        <v>509</v>
      </c>
      <c r="M1311" s="75" t="s">
        <v>535</v>
      </c>
      <c r="N1311" s="75" t="s">
        <v>509</v>
      </c>
      <c r="O1311" s="75" t="s">
        <v>535</v>
      </c>
      <c r="P1311" s="75" t="s">
        <v>1329</v>
      </c>
    </row>
    <row r="1312" spans="1:16">
      <c r="A1312" s="63" t="s">
        <v>4282</v>
      </c>
      <c r="B1312" s="14" t="str">
        <f>VLOOKUP(P1312,'护理记录单文书字典(数据)'!B$4:C$99,2,0)</f>
        <v>89F92B350CFAB2115BA083669CA3277E</v>
      </c>
      <c r="C1312" s="75" t="s">
        <v>3924</v>
      </c>
      <c r="D1312" s="75" t="s">
        <v>3925</v>
      </c>
      <c r="E1312" s="92" t="s">
        <v>2052</v>
      </c>
      <c r="F1312" s="92">
        <v>1</v>
      </c>
      <c r="G1312" s="75">
        <v>1</v>
      </c>
      <c r="H1312" s="75" t="s">
        <v>1323</v>
      </c>
      <c r="I1312" s="75"/>
      <c r="J1312" s="75"/>
      <c r="K1312" s="75" t="s">
        <v>162</v>
      </c>
      <c r="L1312" s="75" t="s">
        <v>509</v>
      </c>
      <c r="M1312" s="75" t="s">
        <v>535</v>
      </c>
      <c r="N1312" s="75" t="s">
        <v>509</v>
      </c>
      <c r="O1312" s="75" t="s">
        <v>535</v>
      </c>
      <c r="P1312" s="75" t="s">
        <v>1329</v>
      </c>
    </row>
    <row r="1313" spans="1:16">
      <c r="A1313" s="63" t="s">
        <v>4282</v>
      </c>
      <c r="B1313" s="14" t="str">
        <f>VLOOKUP(P1313,'护理记录单文书字典(数据)'!B$4:C$99,2,0)</f>
        <v>89F92B350CFAB2115BA083669CA3277E</v>
      </c>
      <c r="C1313" s="75" t="s">
        <v>3926</v>
      </c>
      <c r="D1313" s="75" t="s">
        <v>1328</v>
      </c>
      <c r="E1313" s="92" t="s">
        <v>2052</v>
      </c>
      <c r="F1313" s="92">
        <v>1</v>
      </c>
      <c r="G1313" s="75">
        <v>1</v>
      </c>
      <c r="H1313" s="75" t="s">
        <v>1327</v>
      </c>
      <c r="I1313" s="75"/>
      <c r="J1313" s="75"/>
      <c r="K1313" s="75" t="s">
        <v>162</v>
      </c>
      <c r="L1313" s="75" t="s">
        <v>509</v>
      </c>
      <c r="M1313" s="75" t="s">
        <v>535</v>
      </c>
      <c r="N1313" s="75" t="s">
        <v>509</v>
      </c>
      <c r="O1313" s="75" t="s">
        <v>535</v>
      </c>
      <c r="P1313" s="75" t="s">
        <v>1329</v>
      </c>
    </row>
    <row r="1314" spans="1:16">
      <c r="A1314" s="63" t="s">
        <v>4282</v>
      </c>
      <c r="B1314" s="14" t="str">
        <f>VLOOKUP(P1314,'护理记录单文书字典(数据)'!B$4:C$99,2,0)</f>
        <v>89F92B350CFAB2115BA083669CA3277E</v>
      </c>
      <c r="C1314" s="75" t="s">
        <v>3927</v>
      </c>
      <c r="D1314" s="75" t="s">
        <v>3928</v>
      </c>
      <c r="E1314" s="92" t="s">
        <v>2052</v>
      </c>
      <c r="F1314" s="92">
        <v>1</v>
      </c>
      <c r="G1314" s="75">
        <v>1</v>
      </c>
      <c r="H1314" s="75" t="s">
        <v>3490</v>
      </c>
      <c r="I1314" s="75"/>
      <c r="J1314" s="75"/>
      <c r="K1314" s="75" t="s">
        <v>162</v>
      </c>
      <c r="L1314" s="75" t="s">
        <v>509</v>
      </c>
      <c r="M1314" s="75" t="s">
        <v>535</v>
      </c>
      <c r="N1314" s="75" t="s">
        <v>509</v>
      </c>
      <c r="O1314" s="75" t="s">
        <v>535</v>
      </c>
      <c r="P1314" s="75" t="s">
        <v>1329</v>
      </c>
    </row>
    <row r="1315" spans="1:16">
      <c r="A1315" s="63" t="s">
        <v>4282</v>
      </c>
      <c r="B1315" s="14" t="str">
        <f>VLOOKUP(P1315,'护理记录单文书字典(数据)'!B$4:C$99,2,0)</f>
        <v>89F92B350CFAB2115BA083669CA3277E</v>
      </c>
      <c r="C1315" s="75" t="s">
        <v>3929</v>
      </c>
      <c r="D1315" s="75" t="s">
        <v>3930</v>
      </c>
      <c r="E1315" s="92" t="s">
        <v>2048</v>
      </c>
      <c r="F1315" s="92">
        <v>1</v>
      </c>
      <c r="G1315" s="75">
        <v>1</v>
      </c>
      <c r="H1315" s="75"/>
      <c r="I1315" s="75"/>
      <c r="J1315" s="75"/>
      <c r="K1315" s="75" t="s">
        <v>162</v>
      </c>
      <c r="L1315" s="75" t="s">
        <v>509</v>
      </c>
      <c r="M1315" s="75" t="s">
        <v>535</v>
      </c>
      <c r="N1315" s="75" t="s">
        <v>509</v>
      </c>
      <c r="O1315" s="75" t="s">
        <v>535</v>
      </c>
      <c r="P1315" s="75" t="s">
        <v>1329</v>
      </c>
    </row>
    <row r="1316" spans="1:16">
      <c r="A1316" s="63" t="s">
        <v>4282</v>
      </c>
      <c r="B1316" s="14" t="str">
        <f>VLOOKUP(P1316,'护理记录单文书字典(数据)'!B$4:C$99,2,0)</f>
        <v>89F92B350CFAB2115BA083669CA3277E</v>
      </c>
      <c r="C1316" s="75" t="s">
        <v>3931</v>
      </c>
      <c r="D1316" s="75" t="s">
        <v>3932</v>
      </c>
      <c r="E1316" s="92" t="s">
        <v>2052</v>
      </c>
      <c r="F1316" s="92">
        <v>1</v>
      </c>
      <c r="G1316" s="75">
        <v>1</v>
      </c>
      <c r="H1316" s="75" t="s">
        <v>3490</v>
      </c>
      <c r="I1316" s="75"/>
      <c r="J1316" s="75"/>
      <c r="K1316" s="75" t="s">
        <v>162</v>
      </c>
      <c r="L1316" s="75" t="s">
        <v>509</v>
      </c>
      <c r="M1316" s="75" t="s">
        <v>535</v>
      </c>
      <c r="N1316" s="75" t="s">
        <v>509</v>
      </c>
      <c r="O1316" s="75" t="s">
        <v>535</v>
      </c>
      <c r="P1316" s="75" t="s">
        <v>1329</v>
      </c>
    </row>
    <row r="1317" spans="1:16">
      <c r="A1317" s="63" t="s">
        <v>4282</v>
      </c>
      <c r="B1317" s="14" t="str">
        <f>VLOOKUP(P1317,'护理记录单文书字典(数据)'!B$4:C$99,2,0)</f>
        <v>89F92B350CFAB2115BA083669CA3277E</v>
      </c>
      <c r="C1317" s="75" t="s">
        <v>3933</v>
      </c>
      <c r="D1317" s="75" t="s">
        <v>3934</v>
      </c>
      <c r="E1317" s="92" t="s">
        <v>2048</v>
      </c>
      <c r="F1317" s="92">
        <v>1</v>
      </c>
      <c r="G1317" s="75">
        <v>1</v>
      </c>
      <c r="H1317" s="75"/>
      <c r="I1317" s="75"/>
      <c r="J1317" s="75"/>
      <c r="K1317" s="75" t="s">
        <v>162</v>
      </c>
      <c r="L1317" s="75" t="s">
        <v>509</v>
      </c>
      <c r="M1317" s="75" t="s">
        <v>535</v>
      </c>
      <c r="N1317" s="75" t="s">
        <v>509</v>
      </c>
      <c r="O1317" s="75" t="s">
        <v>535</v>
      </c>
      <c r="P1317" s="75" t="s">
        <v>1329</v>
      </c>
    </row>
    <row r="1318" spans="1:16">
      <c r="A1318" s="63" t="s">
        <v>4282</v>
      </c>
      <c r="B1318" s="14" t="str">
        <f>VLOOKUP(P1318,'护理记录单文书字典(数据)'!B$4:C$99,2,0)</f>
        <v>89F92B350CFAB2115BA083669CA3277E</v>
      </c>
      <c r="C1318" s="75" t="s">
        <v>3898</v>
      </c>
      <c r="D1318" s="75" t="s">
        <v>1331</v>
      </c>
      <c r="E1318" s="92" t="s">
        <v>2052</v>
      </c>
      <c r="F1318" s="92">
        <v>1</v>
      </c>
      <c r="G1318" s="75">
        <v>1</v>
      </c>
      <c r="H1318" s="75" t="s">
        <v>1330</v>
      </c>
      <c r="I1318" s="75"/>
      <c r="J1318" s="75"/>
      <c r="K1318" s="75" t="s">
        <v>162</v>
      </c>
      <c r="L1318" s="75" t="s">
        <v>509</v>
      </c>
      <c r="M1318" s="75" t="s">
        <v>535</v>
      </c>
      <c r="N1318" s="75" t="s">
        <v>509</v>
      </c>
      <c r="O1318" s="75" t="s">
        <v>535</v>
      </c>
      <c r="P1318" s="75" t="s">
        <v>1329</v>
      </c>
    </row>
    <row r="1319" spans="1:16">
      <c r="A1319" s="63" t="s">
        <v>4282</v>
      </c>
      <c r="B1319" s="14" t="str">
        <f>VLOOKUP(P1319,'护理记录单文书字典(数据)'!B$4:C$99,2,0)</f>
        <v>89F92B350CFAB2115BA083669CA3277E</v>
      </c>
      <c r="C1319" s="75" t="s">
        <v>3935</v>
      </c>
      <c r="D1319" s="75" t="s">
        <v>3936</v>
      </c>
      <c r="E1319" s="92" t="s">
        <v>2052</v>
      </c>
      <c r="F1319" s="92">
        <v>1</v>
      </c>
      <c r="G1319" s="75">
        <v>1</v>
      </c>
      <c r="H1319" s="75" t="s">
        <v>1335</v>
      </c>
      <c r="I1319" s="75"/>
      <c r="J1319" s="75"/>
      <c r="K1319" s="75" t="s">
        <v>162</v>
      </c>
      <c r="L1319" s="75" t="s">
        <v>509</v>
      </c>
      <c r="M1319" s="75" t="s">
        <v>535</v>
      </c>
      <c r="N1319" s="75" t="s">
        <v>509</v>
      </c>
      <c r="O1319" s="75" t="s">
        <v>535</v>
      </c>
      <c r="P1319" s="75" t="s">
        <v>1329</v>
      </c>
    </row>
    <row r="1320" spans="1:16">
      <c r="A1320" s="63" t="s">
        <v>4282</v>
      </c>
      <c r="B1320" s="14" t="str">
        <f>VLOOKUP(P1320,'护理记录单文书字典(数据)'!B$4:C$99,2,0)</f>
        <v>89F92B350CFAB2115BA083669CA3277E</v>
      </c>
      <c r="C1320" s="75" t="s">
        <v>3937</v>
      </c>
      <c r="D1320" s="75" t="s">
        <v>1341</v>
      </c>
      <c r="E1320" s="92" t="s">
        <v>2052</v>
      </c>
      <c r="F1320" s="92">
        <v>1</v>
      </c>
      <c r="G1320" s="75">
        <v>1</v>
      </c>
      <c r="H1320" s="75" t="s">
        <v>1340</v>
      </c>
      <c r="I1320" s="75"/>
      <c r="J1320" s="75"/>
      <c r="K1320" s="75" t="s">
        <v>162</v>
      </c>
      <c r="L1320" s="75" t="s">
        <v>509</v>
      </c>
      <c r="M1320" s="75" t="s">
        <v>535</v>
      </c>
      <c r="N1320" s="75" t="s">
        <v>509</v>
      </c>
      <c r="O1320" s="75" t="s">
        <v>535</v>
      </c>
      <c r="P1320" s="75" t="s">
        <v>1329</v>
      </c>
    </row>
    <row r="1321" spans="1:16">
      <c r="A1321" s="63" t="s">
        <v>4282</v>
      </c>
      <c r="B1321" s="14" t="str">
        <f>VLOOKUP(P1321,'护理记录单文书字典(数据)'!B$4:C$99,2,0)</f>
        <v>89F92B350CFAB2115BA083669CA3277E</v>
      </c>
      <c r="C1321" s="75" t="s">
        <v>3938</v>
      </c>
      <c r="D1321" s="75" t="s">
        <v>3939</v>
      </c>
      <c r="E1321" s="92" t="s">
        <v>2052</v>
      </c>
      <c r="F1321" s="92">
        <v>1</v>
      </c>
      <c r="G1321" s="75">
        <v>1</v>
      </c>
      <c r="H1321" s="75" t="s">
        <v>1342</v>
      </c>
      <c r="I1321" s="75"/>
      <c r="J1321" s="75"/>
      <c r="K1321" s="75" t="s">
        <v>162</v>
      </c>
      <c r="L1321" s="75" t="s">
        <v>509</v>
      </c>
      <c r="M1321" s="75" t="s">
        <v>535</v>
      </c>
      <c r="N1321" s="75" t="s">
        <v>509</v>
      </c>
      <c r="O1321" s="75" t="s">
        <v>535</v>
      </c>
      <c r="P1321" s="75" t="s">
        <v>1329</v>
      </c>
    </row>
    <row r="1322" spans="1:16">
      <c r="A1322" s="63" t="s">
        <v>4282</v>
      </c>
      <c r="B1322" s="14" t="str">
        <f>VLOOKUP(P1322,'护理记录单文书字典(数据)'!B$4:C$99,2,0)</f>
        <v>89F92B350CFAB2115BA083669CA3277E</v>
      </c>
      <c r="C1322" s="75" t="s">
        <v>3940</v>
      </c>
      <c r="D1322" s="75" t="s">
        <v>1348</v>
      </c>
      <c r="E1322" s="92" t="s">
        <v>2052</v>
      </c>
      <c r="F1322" s="92">
        <v>1</v>
      </c>
      <c r="G1322" s="75">
        <v>1</v>
      </c>
      <c r="H1322" s="75" t="s">
        <v>1347</v>
      </c>
      <c r="I1322" s="75"/>
      <c r="J1322" s="75"/>
      <c r="K1322" s="75" t="s">
        <v>162</v>
      </c>
      <c r="L1322" s="75" t="s">
        <v>509</v>
      </c>
      <c r="M1322" s="75" t="s">
        <v>535</v>
      </c>
      <c r="N1322" s="75" t="s">
        <v>509</v>
      </c>
      <c r="O1322" s="75" t="s">
        <v>535</v>
      </c>
      <c r="P1322" s="75" t="s">
        <v>1329</v>
      </c>
    </row>
    <row r="1323" spans="1:16">
      <c r="A1323" s="63" t="s">
        <v>4282</v>
      </c>
      <c r="B1323" s="14" t="str">
        <f>VLOOKUP(P1323,'护理记录单文书字典(数据)'!B$4:C$99,2,0)</f>
        <v>89F92B350CFAB2115BA083669CA3277E</v>
      </c>
      <c r="C1323" s="75" t="s">
        <v>3941</v>
      </c>
      <c r="D1323" s="75" t="s">
        <v>1353</v>
      </c>
      <c r="E1323" s="92" t="s">
        <v>2052</v>
      </c>
      <c r="F1323" s="92">
        <v>1</v>
      </c>
      <c r="G1323" s="75">
        <v>1</v>
      </c>
      <c r="H1323" s="75" t="s">
        <v>1352</v>
      </c>
      <c r="I1323" s="75"/>
      <c r="J1323" s="75"/>
      <c r="K1323" s="75" t="s">
        <v>162</v>
      </c>
      <c r="L1323" s="75" t="s">
        <v>509</v>
      </c>
      <c r="M1323" s="75" t="s">
        <v>535</v>
      </c>
      <c r="N1323" s="75" t="s">
        <v>509</v>
      </c>
      <c r="O1323" s="75" t="s">
        <v>535</v>
      </c>
      <c r="P1323" s="75" t="s">
        <v>1329</v>
      </c>
    </row>
    <row r="1324" spans="1:16">
      <c r="A1324" s="63" t="s">
        <v>4282</v>
      </c>
      <c r="B1324" s="14" t="str">
        <f>VLOOKUP(P1324,'护理记录单文书字典(数据)'!B$4:C$99,2,0)</f>
        <v>89F92B350CFAB2115BA083669CA3277E</v>
      </c>
      <c r="C1324" s="75" t="s">
        <v>3942</v>
      </c>
      <c r="D1324" s="75" t="s">
        <v>1357</v>
      </c>
      <c r="E1324" s="92" t="s">
        <v>2052</v>
      </c>
      <c r="F1324" s="92">
        <v>1</v>
      </c>
      <c r="G1324" s="75">
        <v>1</v>
      </c>
      <c r="H1324" s="75" t="s">
        <v>1356</v>
      </c>
      <c r="I1324" s="75"/>
      <c r="J1324" s="75"/>
      <c r="K1324" s="75" t="s">
        <v>162</v>
      </c>
      <c r="L1324" s="75" t="s">
        <v>509</v>
      </c>
      <c r="M1324" s="75" t="s">
        <v>535</v>
      </c>
      <c r="N1324" s="75" t="s">
        <v>509</v>
      </c>
      <c r="O1324" s="75" t="s">
        <v>535</v>
      </c>
      <c r="P1324" s="75" t="s">
        <v>1329</v>
      </c>
    </row>
    <row r="1325" spans="1:16">
      <c r="A1325" s="63" t="s">
        <v>4282</v>
      </c>
      <c r="B1325" s="14" t="str">
        <f>VLOOKUP(P1325,'护理记录单文书字典(数据)'!B$4:C$99,2,0)</f>
        <v>89F92B350CFAB2115BA083669CA3277E</v>
      </c>
      <c r="C1325" s="75" t="s">
        <v>3943</v>
      </c>
      <c r="D1325" s="75" t="s">
        <v>1361</v>
      </c>
      <c r="E1325" s="92" t="s">
        <v>2052</v>
      </c>
      <c r="F1325" s="92">
        <v>1</v>
      </c>
      <c r="G1325" s="75">
        <v>1</v>
      </c>
      <c r="H1325" s="75" t="s">
        <v>1360</v>
      </c>
      <c r="I1325" s="75"/>
      <c r="J1325" s="75"/>
      <c r="K1325" s="75" t="s">
        <v>162</v>
      </c>
      <c r="L1325" s="75" t="s">
        <v>509</v>
      </c>
      <c r="M1325" s="75" t="s">
        <v>535</v>
      </c>
      <c r="N1325" s="75" t="s">
        <v>509</v>
      </c>
      <c r="O1325" s="75" t="s">
        <v>535</v>
      </c>
      <c r="P1325" s="75" t="s">
        <v>1329</v>
      </c>
    </row>
    <row r="1326" spans="1:16">
      <c r="A1326" s="63" t="s">
        <v>4282</v>
      </c>
      <c r="B1326" s="14" t="str">
        <f>VLOOKUP(P1326,'护理记录单文书字典(数据)'!B$4:C$99,2,0)</f>
        <v>89F92B350CFAB2115BA083669CA3277E</v>
      </c>
      <c r="C1326" s="75" t="s">
        <v>3944</v>
      </c>
      <c r="D1326" s="75" t="s">
        <v>3945</v>
      </c>
      <c r="E1326" s="92" t="s">
        <v>2048</v>
      </c>
      <c r="F1326" s="92">
        <v>1</v>
      </c>
      <c r="G1326" s="75">
        <v>1</v>
      </c>
      <c r="H1326" s="75"/>
      <c r="I1326" s="75"/>
      <c r="J1326" s="75"/>
      <c r="K1326" s="75" t="s">
        <v>162</v>
      </c>
      <c r="L1326" s="75" t="s">
        <v>509</v>
      </c>
      <c r="M1326" s="75" t="s">
        <v>535</v>
      </c>
      <c r="N1326" s="75" t="s">
        <v>509</v>
      </c>
      <c r="O1326" s="75" t="s">
        <v>535</v>
      </c>
      <c r="P1326" s="75" t="s">
        <v>1329</v>
      </c>
    </row>
    <row r="1327" spans="1:16">
      <c r="A1327" s="63" t="s">
        <v>4282</v>
      </c>
      <c r="B1327" s="14" t="str">
        <f>VLOOKUP(P1327,'护理记录单文书字典(数据)'!B$4:C$99,2,0)</f>
        <v>89F92B350CFAB2115BA083669CA3277E</v>
      </c>
      <c r="C1327" s="75" t="s">
        <v>3946</v>
      </c>
      <c r="D1327" s="75" t="s">
        <v>1366</v>
      </c>
      <c r="E1327" s="92" t="s">
        <v>2052</v>
      </c>
      <c r="F1327" s="92">
        <v>1</v>
      </c>
      <c r="G1327" s="75">
        <v>1</v>
      </c>
      <c r="H1327" s="75" t="s">
        <v>1365</v>
      </c>
      <c r="I1327" s="75"/>
      <c r="J1327" s="75"/>
      <c r="K1327" s="75" t="s">
        <v>162</v>
      </c>
      <c r="L1327" s="75" t="s">
        <v>509</v>
      </c>
      <c r="M1327" s="75" t="s">
        <v>535</v>
      </c>
      <c r="N1327" s="75" t="s">
        <v>509</v>
      </c>
      <c r="O1327" s="75" t="s">
        <v>535</v>
      </c>
      <c r="P1327" s="75" t="s">
        <v>1329</v>
      </c>
    </row>
    <row r="1328" spans="1:16">
      <c r="A1328" s="63" t="s">
        <v>4282</v>
      </c>
      <c r="B1328" s="14" t="str">
        <f>VLOOKUP(P1328,'护理记录单文书字典(数据)'!B$4:C$99,2,0)</f>
        <v>89F92B350CFAB2115BA083669CA3277E</v>
      </c>
      <c r="C1328" s="75" t="s">
        <v>3947</v>
      </c>
      <c r="D1328" s="75" t="s">
        <v>3948</v>
      </c>
      <c r="E1328" s="92" t="s">
        <v>2048</v>
      </c>
      <c r="F1328" s="92">
        <v>1</v>
      </c>
      <c r="G1328" s="75">
        <v>1</v>
      </c>
      <c r="H1328" s="75"/>
      <c r="I1328" s="75"/>
      <c r="J1328" s="75"/>
      <c r="K1328" s="75" t="s">
        <v>162</v>
      </c>
      <c r="L1328" s="75" t="s">
        <v>509</v>
      </c>
      <c r="M1328" s="75" t="s">
        <v>535</v>
      </c>
      <c r="N1328" s="75" t="s">
        <v>509</v>
      </c>
      <c r="O1328" s="75" t="s">
        <v>535</v>
      </c>
      <c r="P1328" s="75" t="s">
        <v>1329</v>
      </c>
    </row>
    <row r="1329" spans="1:16">
      <c r="A1329" s="63" t="s">
        <v>4282</v>
      </c>
      <c r="B1329" s="14" t="str">
        <f>VLOOKUP(P1329,'护理记录单文书字典(数据)'!B$4:C$99,2,0)</f>
        <v>89F92B350CFAB2115BA083669CA3277E</v>
      </c>
      <c r="C1329" s="75" t="s">
        <v>3949</v>
      </c>
      <c r="D1329" s="75" t="s">
        <v>1368</v>
      </c>
      <c r="E1329" s="92" t="s">
        <v>2052</v>
      </c>
      <c r="F1329" s="92">
        <v>1</v>
      </c>
      <c r="G1329" s="75">
        <v>1</v>
      </c>
      <c r="H1329" s="75" t="s">
        <v>1367</v>
      </c>
      <c r="I1329" s="75"/>
      <c r="J1329" s="75"/>
      <c r="K1329" s="75" t="s">
        <v>162</v>
      </c>
      <c r="L1329" s="75" t="s">
        <v>509</v>
      </c>
      <c r="M1329" s="75" t="s">
        <v>535</v>
      </c>
      <c r="N1329" s="75" t="s">
        <v>509</v>
      </c>
      <c r="O1329" s="75" t="s">
        <v>535</v>
      </c>
      <c r="P1329" s="75" t="s">
        <v>1329</v>
      </c>
    </row>
    <row r="1330" spans="1:16">
      <c r="A1330" s="63" t="s">
        <v>4282</v>
      </c>
      <c r="B1330" s="14" t="str">
        <f>VLOOKUP(P1330,'护理记录单文书字典(数据)'!B$4:C$99,2,0)</f>
        <v>89F92B350CFAB2115BA083669CA3277E</v>
      </c>
      <c r="C1330" s="75" t="s">
        <v>3950</v>
      </c>
      <c r="D1330" s="75" t="s">
        <v>3951</v>
      </c>
      <c r="E1330" s="92" t="s">
        <v>2048</v>
      </c>
      <c r="F1330" s="92">
        <v>1</v>
      </c>
      <c r="G1330" s="75">
        <v>1</v>
      </c>
      <c r="H1330" s="75"/>
      <c r="I1330" s="75"/>
      <c r="J1330" s="75"/>
      <c r="K1330" s="75" t="s">
        <v>162</v>
      </c>
      <c r="L1330" s="75" t="s">
        <v>509</v>
      </c>
      <c r="M1330" s="75" t="s">
        <v>535</v>
      </c>
      <c r="N1330" s="75" t="s">
        <v>509</v>
      </c>
      <c r="O1330" s="75" t="s">
        <v>535</v>
      </c>
      <c r="P1330" s="75" t="s">
        <v>1329</v>
      </c>
    </row>
    <row r="1331" spans="1:16">
      <c r="A1331" s="63" t="s">
        <v>4282</v>
      </c>
      <c r="B1331" s="14" t="str">
        <f>VLOOKUP(P1331,'护理记录单文书字典(数据)'!B$4:C$99,2,0)</f>
        <v>89F92B350CFAB2115BA083669CA3277E</v>
      </c>
      <c r="C1331" s="75" t="s">
        <v>3952</v>
      </c>
      <c r="D1331" s="75" t="s">
        <v>3953</v>
      </c>
      <c r="E1331" s="92" t="s">
        <v>2048</v>
      </c>
      <c r="F1331" s="92">
        <v>1</v>
      </c>
      <c r="G1331" s="75">
        <v>1</v>
      </c>
      <c r="H1331" s="75"/>
      <c r="I1331" s="75"/>
      <c r="J1331" s="75"/>
      <c r="K1331" s="75" t="s">
        <v>162</v>
      </c>
      <c r="L1331" s="75" t="s">
        <v>509</v>
      </c>
      <c r="M1331" s="75" t="s">
        <v>535</v>
      </c>
      <c r="N1331" s="75" t="s">
        <v>509</v>
      </c>
      <c r="O1331" s="75" t="s">
        <v>535</v>
      </c>
      <c r="P1331" s="75" t="s">
        <v>1329</v>
      </c>
    </row>
    <row r="1332" spans="1:16">
      <c r="A1332" s="63" t="s">
        <v>4282</v>
      </c>
      <c r="B1332" s="14" t="str">
        <f>VLOOKUP(P1332,'护理记录单文书字典(数据)'!B$4:C$99,2,0)</f>
        <v>7B1825350CFAB21135B72E43AD487853</v>
      </c>
      <c r="C1332" s="75" t="s">
        <v>2046</v>
      </c>
      <c r="D1332" s="75" t="s">
        <v>2047</v>
      </c>
      <c r="E1332" s="92" t="s">
        <v>2048</v>
      </c>
      <c r="F1332" s="92">
        <v>1</v>
      </c>
      <c r="G1332" s="75">
        <v>1</v>
      </c>
      <c r="H1332" s="75"/>
      <c r="I1332" s="75"/>
      <c r="J1332" s="75"/>
      <c r="K1332" s="75" t="s">
        <v>162</v>
      </c>
      <c r="L1332" s="75" t="s">
        <v>509</v>
      </c>
      <c r="M1332" s="75" t="s">
        <v>535</v>
      </c>
      <c r="N1332" s="75" t="s">
        <v>509</v>
      </c>
      <c r="O1332" s="75" t="s">
        <v>535</v>
      </c>
      <c r="P1332" s="75" t="s">
        <v>1294</v>
      </c>
    </row>
    <row r="1333" spans="1:16">
      <c r="A1333" s="63" t="s">
        <v>4282</v>
      </c>
      <c r="B1333" s="14" t="str">
        <f>VLOOKUP(P1333,'护理记录单文书字典(数据)'!B$4:C$99,2,0)</f>
        <v>7B1825350CFAB21135B72E43AD487853</v>
      </c>
      <c r="C1333" s="75" t="s">
        <v>3912</v>
      </c>
      <c r="D1333" s="75" t="s">
        <v>3913</v>
      </c>
      <c r="E1333" s="92" t="s">
        <v>2048</v>
      </c>
      <c r="F1333" s="92">
        <v>1</v>
      </c>
      <c r="G1333" s="75">
        <v>1</v>
      </c>
      <c r="H1333" s="75"/>
      <c r="I1333" s="75"/>
      <c r="J1333" s="75"/>
      <c r="K1333" s="75" t="s">
        <v>162</v>
      </c>
      <c r="L1333" s="75" t="s">
        <v>509</v>
      </c>
      <c r="M1333" s="75" t="s">
        <v>535</v>
      </c>
      <c r="N1333" s="75" t="s">
        <v>509</v>
      </c>
      <c r="O1333" s="75" t="s">
        <v>535</v>
      </c>
      <c r="P1333" s="75" t="s">
        <v>1294</v>
      </c>
    </row>
    <row r="1334" spans="1:16">
      <c r="A1334" s="63" t="s">
        <v>4282</v>
      </c>
      <c r="B1334" s="14" t="str">
        <f>VLOOKUP(P1334,'护理记录单文书字典(数据)'!B$4:C$99,2,0)</f>
        <v>7B1825350CFAB21135B72E43AD487853</v>
      </c>
      <c r="C1334" s="75" t="s">
        <v>3914</v>
      </c>
      <c r="D1334" s="75" t="s">
        <v>3915</v>
      </c>
      <c r="E1334" s="92" t="s">
        <v>2048</v>
      </c>
      <c r="F1334" s="92">
        <v>1</v>
      </c>
      <c r="G1334" s="75">
        <v>1</v>
      </c>
      <c r="H1334" s="75"/>
      <c r="I1334" s="75"/>
      <c r="J1334" s="75"/>
      <c r="K1334" s="75" t="s">
        <v>162</v>
      </c>
      <c r="L1334" s="75" t="s">
        <v>509</v>
      </c>
      <c r="M1334" s="75" t="s">
        <v>535</v>
      </c>
      <c r="N1334" s="75" t="s">
        <v>509</v>
      </c>
      <c r="O1334" s="75" t="s">
        <v>535</v>
      </c>
      <c r="P1334" s="75" t="s">
        <v>1294</v>
      </c>
    </row>
    <row r="1335" spans="1:16">
      <c r="A1335" s="63" t="s">
        <v>4282</v>
      </c>
      <c r="B1335" s="14" t="str">
        <f>VLOOKUP(P1335,'护理记录单文书字典(数据)'!B$4:C$99,2,0)</f>
        <v>7B1825350CFAB21135B72E43AD487853</v>
      </c>
      <c r="C1335" s="75" t="s">
        <v>3916</v>
      </c>
      <c r="D1335" s="75" t="s">
        <v>3917</v>
      </c>
      <c r="E1335" s="92" t="s">
        <v>2048</v>
      </c>
      <c r="F1335" s="92">
        <v>1</v>
      </c>
      <c r="G1335" s="75">
        <v>1</v>
      </c>
      <c r="H1335" s="75"/>
      <c r="I1335" s="75"/>
      <c r="J1335" s="75"/>
      <c r="K1335" s="75" t="s">
        <v>162</v>
      </c>
      <c r="L1335" s="75" t="s">
        <v>509</v>
      </c>
      <c r="M1335" s="75" t="s">
        <v>535</v>
      </c>
      <c r="N1335" s="75" t="s">
        <v>509</v>
      </c>
      <c r="O1335" s="75" t="s">
        <v>535</v>
      </c>
      <c r="P1335" s="75" t="s">
        <v>1294</v>
      </c>
    </row>
    <row r="1336" spans="1:16">
      <c r="A1336" s="63" t="s">
        <v>4282</v>
      </c>
      <c r="B1336" s="14" t="str">
        <f>VLOOKUP(P1336,'护理记录单文书字典(数据)'!B$4:C$99,2,0)</f>
        <v>7B1825350CFAB21135B72E43AD487853</v>
      </c>
      <c r="C1336" s="75" t="s">
        <v>3918</v>
      </c>
      <c r="D1336" s="75" t="s">
        <v>3919</v>
      </c>
      <c r="E1336" s="92" t="s">
        <v>2048</v>
      </c>
      <c r="F1336" s="92">
        <v>1</v>
      </c>
      <c r="G1336" s="75">
        <v>1</v>
      </c>
      <c r="H1336" s="75"/>
      <c r="I1336" s="75"/>
      <c r="J1336" s="75"/>
      <c r="K1336" s="75" t="s">
        <v>162</v>
      </c>
      <c r="L1336" s="75" t="s">
        <v>509</v>
      </c>
      <c r="M1336" s="75" t="s">
        <v>535</v>
      </c>
      <c r="N1336" s="75" t="s">
        <v>509</v>
      </c>
      <c r="O1336" s="75" t="s">
        <v>535</v>
      </c>
      <c r="P1336" s="75" t="s">
        <v>1294</v>
      </c>
    </row>
    <row r="1337" spans="1:16">
      <c r="A1337" s="63" t="s">
        <v>4282</v>
      </c>
      <c r="B1337" s="14" t="str">
        <f>VLOOKUP(P1337,'护理记录单文书字典(数据)'!B$4:C$99,2,0)</f>
        <v>7B1825350CFAB21135B72E43AD487853</v>
      </c>
      <c r="C1337" s="75" t="s">
        <v>3920</v>
      </c>
      <c r="D1337" s="75" t="s">
        <v>3921</v>
      </c>
      <c r="E1337" s="92" t="s">
        <v>2048</v>
      </c>
      <c r="F1337" s="92">
        <v>1</v>
      </c>
      <c r="G1337" s="75">
        <v>1</v>
      </c>
      <c r="H1337" s="75"/>
      <c r="I1337" s="75"/>
      <c r="J1337" s="75"/>
      <c r="K1337" s="75" t="s">
        <v>162</v>
      </c>
      <c r="L1337" s="75" t="s">
        <v>509</v>
      </c>
      <c r="M1337" s="75" t="s">
        <v>535</v>
      </c>
      <c r="N1337" s="75" t="s">
        <v>509</v>
      </c>
      <c r="O1337" s="75" t="s">
        <v>535</v>
      </c>
      <c r="P1337" s="75" t="s">
        <v>1294</v>
      </c>
    </row>
    <row r="1338" spans="1:16">
      <c r="A1338" s="63" t="s">
        <v>4282</v>
      </c>
      <c r="B1338" s="14" t="str">
        <f>VLOOKUP(P1338,'护理记录单文书字典(数据)'!B$4:C$99,2,0)</f>
        <v>7B1825350CFAB21135B72E43AD487853</v>
      </c>
      <c r="C1338" s="75" t="s">
        <v>3954</v>
      </c>
      <c r="D1338" s="75" t="s">
        <v>1292</v>
      </c>
      <c r="E1338" s="92" t="s">
        <v>2052</v>
      </c>
      <c r="F1338" s="92">
        <v>1</v>
      </c>
      <c r="G1338" s="75">
        <v>1</v>
      </c>
      <c r="H1338" s="75" t="s">
        <v>1291</v>
      </c>
      <c r="I1338" s="75"/>
      <c r="J1338" s="75"/>
      <c r="K1338" s="75" t="s">
        <v>162</v>
      </c>
      <c r="L1338" s="75" t="s">
        <v>509</v>
      </c>
      <c r="M1338" s="75" t="s">
        <v>535</v>
      </c>
      <c r="N1338" s="75" t="s">
        <v>509</v>
      </c>
      <c r="O1338" s="75" t="s">
        <v>535</v>
      </c>
      <c r="P1338" s="75" t="s">
        <v>1294</v>
      </c>
    </row>
    <row r="1339" spans="1:16">
      <c r="A1339" s="63" t="s">
        <v>4282</v>
      </c>
      <c r="B1339" s="14" t="str">
        <f>VLOOKUP(P1339,'护理记录单文书字典(数据)'!B$4:C$99,2,0)</f>
        <v>7B1825350CFAB21135B72E43AD487853</v>
      </c>
      <c r="C1339" s="75" t="s">
        <v>3955</v>
      </c>
      <c r="D1339" s="75" t="s">
        <v>3956</v>
      </c>
      <c r="E1339" s="92" t="s">
        <v>2048</v>
      </c>
      <c r="F1339" s="92">
        <v>1</v>
      </c>
      <c r="G1339" s="75">
        <v>1</v>
      </c>
      <c r="H1339" s="75"/>
      <c r="I1339" s="75"/>
      <c r="J1339" s="75"/>
      <c r="K1339" s="75" t="s">
        <v>162</v>
      </c>
      <c r="L1339" s="75" t="s">
        <v>509</v>
      </c>
      <c r="M1339" s="75" t="s">
        <v>535</v>
      </c>
      <c r="N1339" s="75" t="s">
        <v>509</v>
      </c>
      <c r="O1339" s="75" t="s">
        <v>535</v>
      </c>
      <c r="P1339" s="75" t="s">
        <v>1294</v>
      </c>
    </row>
    <row r="1340" spans="1:16">
      <c r="A1340" s="63" t="s">
        <v>4282</v>
      </c>
      <c r="B1340" s="14" t="str">
        <f>VLOOKUP(P1340,'护理记录单文书字典(数据)'!B$4:C$99,2,0)</f>
        <v>7B1825350CFAB21135B72E43AD487853</v>
      </c>
      <c r="C1340" s="75" t="s">
        <v>3957</v>
      </c>
      <c r="D1340" s="75" t="s">
        <v>1297</v>
      </c>
      <c r="E1340" s="92" t="s">
        <v>2052</v>
      </c>
      <c r="F1340" s="92">
        <v>1</v>
      </c>
      <c r="G1340" s="75">
        <v>1</v>
      </c>
      <c r="H1340" s="75" t="s">
        <v>1296</v>
      </c>
      <c r="I1340" s="75"/>
      <c r="J1340" s="75"/>
      <c r="K1340" s="75" t="s">
        <v>162</v>
      </c>
      <c r="L1340" s="75" t="s">
        <v>509</v>
      </c>
      <c r="M1340" s="75" t="s">
        <v>535</v>
      </c>
      <c r="N1340" s="75" t="s">
        <v>509</v>
      </c>
      <c r="O1340" s="75" t="s">
        <v>535</v>
      </c>
      <c r="P1340" s="75" t="s">
        <v>1294</v>
      </c>
    </row>
    <row r="1341" spans="1:16">
      <c r="A1341" s="63" t="s">
        <v>4282</v>
      </c>
      <c r="B1341" s="14" t="str">
        <f>VLOOKUP(P1341,'护理记录单文书字典(数据)'!B$4:C$99,2,0)</f>
        <v>7B1825350CFAB21135B72E43AD487853</v>
      </c>
      <c r="C1341" s="75" t="s">
        <v>3958</v>
      </c>
      <c r="D1341" s="75" t="s">
        <v>3959</v>
      </c>
      <c r="E1341" s="92" t="s">
        <v>2052</v>
      </c>
      <c r="F1341" s="92">
        <v>1</v>
      </c>
      <c r="G1341" s="75">
        <v>1</v>
      </c>
      <c r="H1341" s="75" t="s">
        <v>3960</v>
      </c>
      <c r="I1341" s="75"/>
      <c r="J1341" s="75"/>
      <c r="K1341" s="75" t="s">
        <v>162</v>
      </c>
      <c r="L1341" s="75" t="s">
        <v>509</v>
      </c>
      <c r="M1341" s="75" t="s">
        <v>535</v>
      </c>
      <c r="N1341" s="75" t="s">
        <v>509</v>
      </c>
      <c r="O1341" s="75" t="s">
        <v>535</v>
      </c>
      <c r="P1341" s="75" t="s">
        <v>1294</v>
      </c>
    </row>
    <row r="1342" spans="1:16">
      <c r="A1342" s="63" t="s">
        <v>4282</v>
      </c>
      <c r="B1342" s="14" t="str">
        <f>VLOOKUP(P1342,'护理记录单文书字典(数据)'!B$4:C$99,2,0)</f>
        <v>7B1825350CFAB21135B72E43AD487853</v>
      </c>
      <c r="C1342" s="75" t="s">
        <v>3961</v>
      </c>
      <c r="D1342" s="75" t="s">
        <v>1301</v>
      </c>
      <c r="E1342" s="92" t="s">
        <v>2052</v>
      </c>
      <c r="F1342" s="92">
        <v>1</v>
      </c>
      <c r="G1342" s="75">
        <v>1</v>
      </c>
      <c r="H1342" s="75" t="s">
        <v>1300</v>
      </c>
      <c r="I1342" s="75"/>
      <c r="J1342" s="75"/>
      <c r="K1342" s="75" t="s">
        <v>162</v>
      </c>
      <c r="L1342" s="75" t="s">
        <v>509</v>
      </c>
      <c r="M1342" s="75" t="s">
        <v>535</v>
      </c>
      <c r="N1342" s="75" t="s">
        <v>509</v>
      </c>
      <c r="O1342" s="75" t="s">
        <v>535</v>
      </c>
      <c r="P1342" s="75" t="s">
        <v>1294</v>
      </c>
    </row>
    <row r="1343" spans="1:16">
      <c r="A1343" s="63" t="s">
        <v>4282</v>
      </c>
      <c r="B1343" s="14" t="str">
        <f>VLOOKUP(P1343,'护理记录单文书字典(数据)'!B$4:C$99,2,0)</f>
        <v>7B1825350CFAB21135B72E43AD487853</v>
      </c>
      <c r="C1343" s="75" t="s">
        <v>3962</v>
      </c>
      <c r="D1343" s="75" t="s">
        <v>3963</v>
      </c>
      <c r="E1343" s="92" t="s">
        <v>2048</v>
      </c>
      <c r="F1343" s="92">
        <v>1</v>
      </c>
      <c r="G1343" s="75">
        <v>1</v>
      </c>
      <c r="H1343" s="75"/>
      <c r="I1343" s="75"/>
      <c r="J1343" s="75"/>
      <c r="K1343" s="75" t="s">
        <v>162</v>
      </c>
      <c r="L1343" s="75" t="s">
        <v>509</v>
      </c>
      <c r="M1343" s="75" t="s">
        <v>535</v>
      </c>
      <c r="N1343" s="75" t="s">
        <v>509</v>
      </c>
      <c r="O1343" s="75" t="s">
        <v>535</v>
      </c>
      <c r="P1343" s="75" t="s">
        <v>1294</v>
      </c>
    </row>
    <row r="1344" spans="1:16">
      <c r="A1344" s="63" t="s">
        <v>4282</v>
      </c>
      <c r="B1344" s="14" t="str">
        <f>VLOOKUP(P1344,'护理记录单文书字典(数据)'!B$4:C$99,2,0)</f>
        <v>7B1825350CFAB21135B72E43AD487853</v>
      </c>
      <c r="C1344" s="75" t="s">
        <v>3964</v>
      </c>
      <c r="D1344" s="75" t="s">
        <v>1303</v>
      </c>
      <c r="E1344" s="92" t="s">
        <v>2052</v>
      </c>
      <c r="F1344" s="92">
        <v>1</v>
      </c>
      <c r="G1344" s="75">
        <v>1</v>
      </c>
      <c r="H1344" s="75" t="s">
        <v>1302</v>
      </c>
      <c r="I1344" s="75"/>
      <c r="J1344" s="75"/>
      <c r="K1344" s="75" t="s">
        <v>162</v>
      </c>
      <c r="L1344" s="75" t="s">
        <v>509</v>
      </c>
      <c r="M1344" s="75" t="s">
        <v>535</v>
      </c>
      <c r="N1344" s="75" t="s">
        <v>509</v>
      </c>
      <c r="O1344" s="75" t="s">
        <v>535</v>
      </c>
      <c r="P1344" s="75" t="s">
        <v>1294</v>
      </c>
    </row>
    <row r="1345" spans="1:16">
      <c r="A1345" s="63" t="s">
        <v>4282</v>
      </c>
      <c r="B1345" s="14" t="str">
        <f>VLOOKUP(P1345,'护理记录单文书字典(数据)'!B$4:C$99,2,0)</f>
        <v>7B1825350CFAB21135B72E43AD487853</v>
      </c>
      <c r="C1345" s="75" t="s">
        <v>3965</v>
      </c>
      <c r="D1345" s="75" t="s">
        <v>3966</v>
      </c>
      <c r="E1345" s="92" t="s">
        <v>2052</v>
      </c>
      <c r="F1345" s="92">
        <v>1</v>
      </c>
      <c r="G1345" s="75">
        <v>1</v>
      </c>
      <c r="H1345" s="75" t="s">
        <v>1304</v>
      </c>
      <c r="I1345" s="75"/>
      <c r="J1345" s="75"/>
      <c r="K1345" s="75" t="s">
        <v>162</v>
      </c>
      <c r="L1345" s="75" t="s">
        <v>509</v>
      </c>
      <c r="M1345" s="75" t="s">
        <v>535</v>
      </c>
      <c r="N1345" s="75" t="s">
        <v>509</v>
      </c>
      <c r="O1345" s="75" t="s">
        <v>535</v>
      </c>
      <c r="P1345" s="75" t="s">
        <v>1294</v>
      </c>
    </row>
    <row r="1346" spans="1:16">
      <c r="A1346" s="63" t="s">
        <v>4282</v>
      </c>
      <c r="B1346" s="14" t="str">
        <f>VLOOKUP(P1346,'护理记录单文书字典(数据)'!B$4:C$99,2,0)</f>
        <v>7B1825350CFAB21135B72E43AD487853</v>
      </c>
      <c r="C1346" s="75" t="s">
        <v>3967</v>
      </c>
      <c r="D1346" s="75" t="s">
        <v>3968</v>
      </c>
      <c r="E1346" s="92" t="s">
        <v>2048</v>
      </c>
      <c r="F1346" s="92">
        <v>1</v>
      </c>
      <c r="G1346" s="75">
        <v>1</v>
      </c>
      <c r="H1346" s="75"/>
      <c r="I1346" s="75"/>
      <c r="J1346" s="75"/>
      <c r="K1346" s="75" t="s">
        <v>162</v>
      </c>
      <c r="L1346" s="75" t="s">
        <v>509</v>
      </c>
      <c r="M1346" s="75" t="s">
        <v>535</v>
      </c>
      <c r="N1346" s="75" t="s">
        <v>509</v>
      </c>
      <c r="O1346" s="75" t="s">
        <v>535</v>
      </c>
      <c r="P1346" s="75" t="s">
        <v>1294</v>
      </c>
    </row>
    <row r="1347" spans="1:16">
      <c r="A1347" s="63" t="s">
        <v>4282</v>
      </c>
      <c r="B1347" s="14" t="str">
        <f>VLOOKUP(P1347,'护理记录单文书字典(数据)'!B$4:C$99,2,0)</f>
        <v>7B1825350CFAB21135B72E43AD487853</v>
      </c>
      <c r="C1347" s="75" t="s">
        <v>3969</v>
      </c>
      <c r="D1347" s="75" t="s">
        <v>3970</v>
      </c>
      <c r="E1347" s="92" t="s">
        <v>2052</v>
      </c>
      <c r="F1347" s="92">
        <v>1</v>
      </c>
      <c r="G1347" s="75">
        <v>1</v>
      </c>
      <c r="H1347" s="75" t="s">
        <v>3960</v>
      </c>
      <c r="I1347" s="75"/>
      <c r="J1347" s="75"/>
      <c r="K1347" s="75" t="s">
        <v>162</v>
      </c>
      <c r="L1347" s="75" t="s">
        <v>509</v>
      </c>
      <c r="M1347" s="75" t="s">
        <v>535</v>
      </c>
      <c r="N1347" s="75" t="s">
        <v>509</v>
      </c>
      <c r="O1347" s="75" t="s">
        <v>535</v>
      </c>
      <c r="P1347" s="75" t="s">
        <v>1294</v>
      </c>
    </row>
    <row r="1348" spans="1:16">
      <c r="A1348" s="63" t="s">
        <v>4282</v>
      </c>
      <c r="B1348" s="14" t="str">
        <f>VLOOKUP(P1348,'护理记录单文书字典(数据)'!B$4:C$99,2,0)</f>
        <v>7B1825350CFAB21135B72E43AD487853</v>
      </c>
      <c r="C1348" s="75" t="s">
        <v>3971</v>
      </c>
      <c r="D1348" s="75" t="s">
        <v>3972</v>
      </c>
      <c r="E1348" s="92" t="s">
        <v>2052</v>
      </c>
      <c r="F1348" s="92">
        <v>1</v>
      </c>
      <c r="G1348" s="75">
        <v>1</v>
      </c>
      <c r="H1348" s="75" t="s">
        <v>3960</v>
      </c>
      <c r="I1348" s="75"/>
      <c r="J1348" s="75"/>
      <c r="K1348" s="75" t="s">
        <v>162</v>
      </c>
      <c r="L1348" s="75" t="s">
        <v>509</v>
      </c>
      <c r="M1348" s="75" t="s">
        <v>535</v>
      </c>
      <c r="N1348" s="75" t="s">
        <v>509</v>
      </c>
      <c r="O1348" s="75" t="s">
        <v>535</v>
      </c>
      <c r="P1348" s="75" t="s">
        <v>1294</v>
      </c>
    </row>
    <row r="1349" spans="1:16">
      <c r="A1349" s="63" t="s">
        <v>4282</v>
      </c>
      <c r="B1349" s="14" t="str">
        <f>VLOOKUP(P1349,'护理记录单文书字典(数据)'!B$4:C$99,2,0)</f>
        <v>7B1825350CFAB21135B72E43AD487853</v>
      </c>
      <c r="C1349" s="75" t="s">
        <v>3973</v>
      </c>
      <c r="D1349" s="75" t="s">
        <v>3974</v>
      </c>
      <c r="E1349" s="92" t="s">
        <v>2052</v>
      </c>
      <c r="F1349" s="92">
        <v>1</v>
      </c>
      <c r="G1349" s="75">
        <v>1</v>
      </c>
      <c r="H1349" s="75" t="s">
        <v>1308</v>
      </c>
      <c r="I1349" s="75"/>
      <c r="J1349" s="75"/>
      <c r="K1349" s="75" t="s">
        <v>162</v>
      </c>
      <c r="L1349" s="75" t="s">
        <v>509</v>
      </c>
      <c r="M1349" s="75" t="s">
        <v>535</v>
      </c>
      <c r="N1349" s="75" t="s">
        <v>509</v>
      </c>
      <c r="O1349" s="75" t="s">
        <v>535</v>
      </c>
      <c r="P1349" s="75" t="s">
        <v>1294</v>
      </c>
    </row>
    <row r="1350" spans="1:16">
      <c r="A1350" s="63" t="s">
        <v>4282</v>
      </c>
      <c r="B1350" s="14" t="str">
        <f>VLOOKUP(P1350,'护理记录单文书字典(数据)'!B$4:C$99,2,0)</f>
        <v>7B1825350CFAB21135B72E43AD487853</v>
      </c>
      <c r="C1350" s="75" t="s">
        <v>3975</v>
      </c>
      <c r="D1350" s="75" t="s">
        <v>1286</v>
      </c>
      <c r="E1350" s="92" t="s">
        <v>2052</v>
      </c>
      <c r="F1350" s="92">
        <v>1</v>
      </c>
      <c r="G1350" s="75">
        <v>1</v>
      </c>
      <c r="H1350" s="75" t="s">
        <v>1312</v>
      </c>
      <c r="I1350" s="75"/>
      <c r="J1350" s="75"/>
      <c r="K1350" s="75" t="s">
        <v>162</v>
      </c>
      <c r="L1350" s="75" t="s">
        <v>509</v>
      </c>
      <c r="M1350" s="75" t="s">
        <v>535</v>
      </c>
      <c r="N1350" s="75" t="s">
        <v>509</v>
      </c>
      <c r="O1350" s="75" t="s">
        <v>535</v>
      </c>
      <c r="P1350" s="75" t="s">
        <v>1294</v>
      </c>
    </row>
    <row r="1351" spans="1:16">
      <c r="A1351" s="63" t="s">
        <v>4282</v>
      </c>
      <c r="B1351" s="14" t="str">
        <f>VLOOKUP(P1351,'护理记录单文书字典(数据)'!B$4:C$99,2,0)</f>
        <v>7B1825350CFAB21135B72E43AD487853</v>
      </c>
      <c r="C1351" s="75" t="s">
        <v>2112</v>
      </c>
      <c r="D1351" s="75" t="s">
        <v>2978</v>
      </c>
      <c r="E1351" s="92" t="s">
        <v>2048</v>
      </c>
      <c r="F1351" s="92">
        <v>1</v>
      </c>
      <c r="G1351" s="75">
        <v>1</v>
      </c>
      <c r="H1351" s="75"/>
      <c r="I1351" s="75"/>
      <c r="J1351" s="75"/>
      <c r="K1351" s="75" t="s">
        <v>162</v>
      </c>
      <c r="L1351" s="75" t="s">
        <v>509</v>
      </c>
      <c r="M1351" s="75" t="s">
        <v>535</v>
      </c>
      <c r="N1351" s="75" t="s">
        <v>509</v>
      </c>
      <c r="O1351" s="75" t="s">
        <v>535</v>
      </c>
      <c r="P1351" s="75" t="s">
        <v>1294</v>
      </c>
    </row>
    <row r="1352" spans="1:16">
      <c r="A1352" s="63" t="s">
        <v>4282</v>
      </c>
      <c r="B1352" s="14" t="str">
        <f>VLOOKUP(P1352,'护理记录单文书字典(数据)'!B$4:C$99,2,0)</f>
        <v>7B1825350CFAB21135B72E43AD487853</v>
      </c>
      <c r="C1352" s="75" t="s">
        <v>2856</v>
      </c>
      <c r="D1352" s="75" t="s">
        <v>2857</v>
      </c>
      <c r="E1352" s="92" t="s">
        <v>2048</v>
      </c>
      <c r="F1352" s="92">
        <v>1</v>
      </c>
      <c r="G1352" s="75">
        <v>1</v>
      </c>
      <c r="H1352" s="75"/>
      <c r="I1352" s="75"/>
      <c r="J1352" s="75"/>
      <c r="K1352" s="75" t="s">
        <v>162</v>
      </c>
      <c r="L1352" s="75" t="s">
        <v>509</v>
      </c>
      <c r="M1352" s="75" t="s">
        <v>535</v>
      </c>
      <c r="N1352" s="75" t="s">
        <v>509</v>
      </c>
      <c r="O1352" s="75" t="s">
        <v>535</v>
      </c>
      <c r="P1352" s="75" t="s">
        <v>1294</v>
      </c>
    </row>
    <row r="1353" spans="1:16">
      <c r="A1353" s="63" t="s">
        <v>4282</v>
      </c>
      <c r="B1353" s="14" t="str">
        <f>VLOOKUP(P1353,'护理记录单文书字典(数据)'!B$4:C$99,2,0)</f>
        <v>7B1825350CFAB21135B72E43AD487853</v>
      </c>
      <c r="C1353" s="75" t="s">
        <v>2859</v>
      </c>
      <c r="D1353" s="75" t="s">
        <v>2860</v>
      </c>
      <c r="E1353" s="92" t="s">
        <v>2048</v>
      </c>
      <c r="F1353" s="92">
        <v>1</v>
      </c>
      <c r="G1353" s="75">
        <v>1</v>
      </c>
      <c r="H1353" s="75"/>
      <c r="I1353" s="75"/>
      <c r="J1353" s="75"/>
      <c r="K1353" s="75" t="s">
        <v>162</v>
      </c>
      <c r="L1353" s="75" t="s">
        <v>509</v>
      </c>
      <c r="M1353" s="75" t="s">
        <v>535</v>
      </c>
      <c r="N1353" s="75" t="s">
        <v>509</v>
      </c>
      <c r="O1353" s="75" t="s">
        <v>535</v>
      </c>
      <c r="P1353" s="75" t="s">
        <v>1294</v>
      </c>
    </row>
    <row r="1354" spans="1:16">
      <c r="A1354" s="63" t="s">
        <v>4282</v>
      </c>
      <c r="B1354" s="14" t="str">
        <f>VLOOKUP(P1354,'护理记录单文书字典(数据)'!B$4:C$99,2,0)</f>
        <v>7B1825350CFAB21135B72E43AD487853</v>
      </c>
      <c r="C1354" s="75" t="s">
        <v>2863</v>
      </c>
      <c r="D1354" s="75" t="s">
        <v>102</v>
      </c>
      <c r="E1354" s="92" t="s">
        <v>2048</v>
      </c>
      <c r="F1354" s="92">
        <v>1</v>
      </c>
      <c r="G1354" s="75">
        <v>1</v>
      </c>
      <c r="H1354" s="75"/>
      <c r="I1354" s="75"/>
      <c r="J1354" s="75"/>
      <c r="K1354" s="75" t="s">
        <v>162</v>
      </c>
      <c r="L1354" s="75" t="s">
        <v>509</v>
      </c>
      <c r="M1354" s="75" t="s">
        <v>535</v>
      </c>
      <c r="N1354" s="75" t="s">
        <v>509</v>
      </c>
      <c r="O1354" s="75" t="s">
        <v>535</v>
      </c>
      <c r="P1354" s="75" t="s">
        <v>1294</v>
      </c>
    </row>
    <row r="1355" spans="1:16">
      <c r="A1355" s="63" t="s">
        <v>4282</v>
      </c>
      <c r="B1355" s="14" t="str">
        <f>VLOOKUP(P1355,'护理记录单文书字典(数据)'!B$4:C$99,2,0)</f>
        <v>7B1825350CFAB21135B72E43AD487853</v>
      </c>
      <c r="C1355" s="75" t="s">
        <v>2864</v>
      </c>
      <c r="D1355" s="75" t="s">
        <v>101</v>
      </c>
      <c r="E1355" s="92" t="s">
        <v>2048</v>
      </c>
      <c r="F1355" s="92">
        <v>1</v>
      </c>
      <c r="G1355" s="75">
        <v>1</v>
      </c>
      <c r="H1355" s="75"/>
      <c r="I1355" s="75"/>
      <c r="J1355" s="75"/>
      <c r="K1355" s="75" t="s">
        <v>162</v>
      </c>
      <c r="L1355" s="75" t="s">
        <v>509</v>
      </c>
      <c r="M1355" s="75" t="s">
        <v>535</v>
      </c>
      <c r="N1355" s="75" t="s">
        <v>509</v>
      </c>
      <c r="O1355" s="75" t="s">
        <v>535</v>
      </c>
      <c r="P1355" s="75" t="s">
        <v>1294</v>
      </c>
    </row>
    <row r="1356" spans="1:16">
      <c r="A1356" s="63" t="s">
        <v>4282</v>
      </c>
      <c r="B1356" s="14" t="str">
        <f>VLOOKUP(P1356,'护理记录单文书字典(数据)'!B$4:C$99,2,0)</f>
        <v>7B1825350CFAB21135B72E43AD487853</v>
      </c>
      <c r="C1356" s="75" t="s">
        <v>3976</v>
      </c>
      <c r="D1356" s="75" t="s">
        <v>3977</v>
      </c>
      <c r="E1356" s="92" t="s">
        <v>2052</v>
      </c>
      <c r="F1356" s="92">
        <v>1</v>
      </c>
      <c r="G1356" s="75">
        <v>1</v>
      </c>
      <c r="H1356" s="75" t="s">
        <v>3960</v>
      </c>
      <c r="I1356" s="75"/>
      <c r="J1356" s="75"/>
      <c r="K1356" s="75" t="s">
        <v>162</v>
      </c>
      <c r="L1356" s="75" t="s">
        <v>509</v>
      </c>
      <c r="M1356" s="75" t="s">
        <v>535</v>
      </c>
      <c r="N1356" s="75" t="s">
        <v>509</v>
      </c>
      <c r="O1356" s="75" t="s">
        <v>535</v>
      </c>
      <c r="P1356" s="75" t="s">
        <v>1294</v>
      </c>
    </row>
    <row r="1357" spans="1:16">
      <c r="A1357" s="63" t="s">
        <v>4282</v>
      </c>
      <c r="B1357" s="14" t="str">
        <f>VLOOKUP(P1357,'护理记录单文书字典(数据)'!B$4:C$99,2,0)</f>
        <v>7B1825350CFAB21135B72E43AD487853</v>
      </c>
      <c r="C1357" s="75" t="s">
        <v>2905</v>
      </c>
      <c r="D1357" s="75" t="s">
        <v>1317</v>
      </c>
      <c r="E1357" s="92" t="s">
        <v>2052</v>
      </c>
      <c r="F1357" s="92">
        <v>1</v>
      </c>
      <c r="G1357" s="75">
        <v>1</v>
      </c>
      <c r="H1357" s="75" t="s">
        <v>1316</v>
      </c>
      <c r="I1357" s="75"/>
      <c r="J1357" s="75"/>
      <c r="K1357" s="75" t="s">
        <v>162</v>
      </c>
      <c r="L1357" s="75" t="s">
        <v>509</v>
      </c>
      <c r="M1357" s="75" t="s">
        <v>535</v>
      </c>
      <c r="N1357" s="75" t="s">
        <v>509</v>
      </c>
      <c r="O1357" s="75" t="s">
        <v>535</v>
      </c>
      <c r="P1357" s="75" t="s">
        <v>1294</v>
      </c>
    </row>
    <row r="1358" spans="1:16">
      <c r="A1358" s="63" t="s">
        <v>4282</v>
      </c>
      <c r="B1358" s="14" t="str">
        <f>VLOOKUP(P1358,'护理记录单文书字典(数据)'!B$4:C$99,2,0)</f>
        <v>7B1825350CFAB21135B72E43AD487853</v>
      </c>
      <c r="C1358" s="75" t="s">
        <v>3774</v>
      </c>
      <c r="D1358" s="75" t="s">
        <v>3775</v>
      </c>
      <c r="E1358" s="92" t="s">
        <v>2048</v>
      </c>
      <c r="F1358" s="92">
        <v>1</v>
      </c>
      <c r="G1358" s="75">
        <v>1</v>
      </c>
      <c r="H1358" s="75"/>
      <c r="I1358" s="75"/>
      <c r="J1358" s="75"/>
      <c r="K1358" s="75" t="s">
        <v>162</v>
      </c>
      <c r="L1358" s="75" t="s">
        <v>509</v>
      </c>
      <c r="M1358" s="75" t="s">
        <v>535</v>
      </c>
      <c r="N1358" s="75" t="s">
        <v>509</v>
      </c>
      <c r="O1358" s="75" t="s">
        <v>535</v>
      </c>
      <c r="P1358" s="75" t="s">
        <v>1294</v>
      </c>
    </row>
    <row r="1359" spans="1:16">
      <c r="A1359" s="63" t="s">
        <v>4282</v>
      </c>
      <c r="B1359" s="14" t="str">
        <f>VLOOKUP(P1359,'护理记录单文书字典(数据)'!B$4:C$99,2,0)</f>
        <v>7B1825350CFAB21135B72E43AD487853</v>
      </c>
      <c r="C1359" s="75" t="s">
        <v>3978</v>
      </c>
      <c r="D1359" s="75" t="s">
        <v>3979</v>
      </c>
      <c r="E1359" s="92" t="s">
        <v>2048</v>
      </c>
      <c r="F1359" s="92">
        <v>1</v>
      </c>
      <c r="G1359" s="75">
        <v>1</v>
      </c>
      <c r="H1359" s="75"/>
      <c r="I1359" s="75"/>
      <c r="J1359" s="75"/>
      <c r="K1359" s="75" t="s">
        <v>162</v>
      </c>
      <c r="L1359" s="75" t="s">
        <v>509</v>
      </c>
      <c r="M1359" s="75" t="s">
        <v>535</v>
      </c>
      <c r="N1359" s="75" t="s">
        <v>509</v>
      </c>
      <c r="O1359" s="75" t="s">
        <v>535</v>
      </c>
      <c r="P1359" s="75" t="s">
        <v>1294</v>
      </c>
    </row>
    <row r="1360" spans="1:16">
      <c r="A1360" s="63" t="s">
        <v>4282</v>
      </c>
      <c r="B1360" s="14" t="str">
        <f>VLOOKUP(P1360,'护理记录单文书字典(数据)'!B$4:C$99,2,0)</f>
        <v>7B1825350CFAB21135B72E43AD487853</v>
      </c>
      <c r="C1360" s="75" t="s">
        <v>3980</v>
      </c>
      <c r="D1360" s="75" t="s">
        <v>3981</v>
      </c>
      <c r="E1360" s="92" t="s">
        <v>2052</v>
      </c>
      <c r="F1360" s="92">
        <v>1</v>
      </c>
      <c r="G1360" s="75">
        <v>1</v>
      </c>
      <c r="H1360" s="75" t="s">
        <v>3960</v>
      </c>
      <c r="I1360" s="75"/>
      <c r="J1360" s="75"/>
      <c r="K1360" s="75" t="s">
        <v>162</v>
      </c>
      <c r="L1360" s="75" t="s">
        <v>509</v>
      </c>
      <c r="M1360" s="75" t="s">
        <v>535</v>
      </c>
      <c r="N1360" s="75" t="s">
        <v>509</v>
      </c>
      <c r="O1360" s="75" t="s">
        <v>535</v>
      </c>
      <c r="P1360" s="75" t="s">
        <v>1294</v>
      </c>
    </row>
    <row r="1361" spans="1:16">
      <c r="A1361" s="63" t="s">
        <v>4282</v>
      </c>
      <c r="B1361" s="14" t="str">
        <f>VLOOKUP(P1361,'护理记录单文书字典(数据)'!B$4:C$99,2,0)</f>
        <v>7B1825350CFAB21135B72E43AD487853</v>
      </c>
      <c r="C1361" s="75" t="s">
        <v>3982</v>
      </c>
      <c r="D1361" s="75" t="s">
        <v>3983</v>
      </c>
      <c r="E1361" s="92" t="s">
        <v>2048</v>
      </c>
      <c r="F1361" s="92">
        <v>1</v>
      </c>
      <c r="G1361" s="75">
        <v>1</v>
      </c>
      <c r="H1361" s="75"/>
      <c r="I1361" s="75"/>
      <c r="J1361" s="75"/>
      <c r="K1361" s="75" t="s">
        <v>162</v>
      </c>
      <c r="L1361" s="75" t="s">
        <v>509</v>
      </c>
      <c r="M1361" s="75" t="s">
        <v>535</v>
      </c>
      <c r="N1361" s="75" t="s">
        <v>509</v>
      </c>
      <c r="O1361" s="75" t="s">
        <v>535</v>
      </c>
      <c r="P1361" s="75" t="s">
        <v>1294</v>
      </c>
    </row>
    <row r="1362" spans="1:16">
      <c r="A1362" s="63" t="s">
        <v>4282</v>
      </c>
      <c r="B1362" s="14" t="str">
        <f>VLOOKUP(P1362,'护理记录单文书字典(数据)'!B$4:C$99,2,0)</f>
        <v>7B1825350CFAB21135B72E43AD487853</v>
      </c>
      <c r="C1362" s="75" t="s">
        <v>3984</v>
      </c>
      <c r="D1362" s="75" t="s">
        <v>3985</v>
      </c>
      <c r="E1362" s="92" t="s">
        <v>2052</v>
      </c>
      <c r="F1362" s="92">
        <v>1</v>
      </c>
      <c r="G1362" s="75">
        <v>1</v>
      </c>
      <c r="H1362" s="75" t="s">
        <v>3960</v>
      </c>
      <c r="I1362" s="75"/>
      <c r="J1362" s="75"/>
      <c r="K1362" s="75" t="s">
        <v>162</v>
      </c>
      <c r="L1362" s="75" t="s">
        <v>509</v>
      </c>
      <c r="M1362" s="75" t="s">
        <v>535</v>
      </c>
      <c r="N1362" s="75" t="s">
        <v>509</v>
      </c>
      <c r="O1362" s="75" t="s">
        <v>535</v>
      </c>
      <c r="P1362" s="75" t="s">
        <v>1294</v>
      </c>
    </row>
    <row r="1363" spans="1:16">
      <c r="A1363" s="63" t="s">
        <v>4282</v>
      </c>
      <c r="B1363" s="14" t="str">
        <f>VLOOKUP(P1363,'护理记录单文书字典(数据)'!B$4:C$99,2,0)</f>
        <v>7B1825350CFAB21135B72E43AD487853</v>
      </c>
      <c r="C1363" s="75" t="s">
        <v>3986</v>
      </c>
      <c r="D1363" s="75" t="s">
        <v>3987</v>
      </c>
      <c r="E1363" s="92" t="s">
        <v>2048</v>
      </c>
      <c r="F1363" s="92">
        <v>1</v>
      </c>
      <c r="G1363" s="75">
        <v>1</v>
      </c>
      <c r="H1363" s="75"/>
      <c r="I1363" s="75"/>
      <c r="J1363" s="75"/>
      <c r="K1363" s="75" t="s">
        <v>162</v>
      </c>
      <c r="L1363" s="75" t="s">
        <v>509</v>
      </c>
      <c r="M1363" s="75" t="s">
        <v>535</v>
      </c>
      <c r="N1363" s="75" t="s">
        <v>509</v>
      </c>
      <c r="O1363" s="75" t="s">
        <v>535</v>
      </c>
      <c r="P1363" s="75" t="s">
        <v>1294</v>
      </c>
    </row>
    <row r="1364" spans="1:16">
      <c r="A1364" s="63" t="s">
        <v>4282</v>
      </c>
      <c r="B1364" s="14" t="str">
        <f>VLOOKUP(P1364,'护理记录单文书字典(数据)'!B$4:C$99,2,0)</f>
        <v>7B1825350CFAB21135B72E43AD487853</v>
      </c>
      <c r="C1364" s="75" t="s">
        <v>2105</v>
      </c>
      <c r="D1364" s="75" t="s">
        <v>2103</v>
      </c>
      <c r="E1364" s="92" t="s">
        <v>2104</v>
      </c>
      <c r="F1364" s="92">
        <v>1</v>
      </c>
      <c r="G1364" s="75">
        <v>1</v>
      </c>
      <c r="H1364" s="75"/>
      <c r="I1364" s="75"/>
      <c r="J1364" s="75"/>
      <c r="K1364" s="75" t="s">
        <v>162</v>
      </c>
      <c r="L1364" s="75" t="s">
        <v>509</v>
      </c>
      <c r="M1364" s="75" t="s">
        <v>535</v>
      </c>
      <c r="N1364" s="75" t="s">
        <v>509</v>
      </c>
      <c r="O1364" s="75" t="s">
        <v>535</v>
      </c>
      <c r="P1364" s="75" t="s">
        <v>1294</v>
      </c>
    </row>
    <row r="1365" spans="1:16">
      <c r="A1365" s="63" t="s">
        <v>4282</v>
      </c>
      <c r="B1365" s="14" t="str">
        <f>VLOOKUP(P1365,'护理记录单文书字典(数据)'!B$4:C$99,2,0)</f>
        <v>D2B2FF340CFAB211AD9A5F178169A11E</v>
      </c>
      <c r="C1365" s="75" t="s">
        <v>2046</v>
      </c>
      <c r="D1365" s="75" t="s">
        <v>2047</v>
      </c>
      <c r="E1365" s="92" t="s">
        <v>2048</v>
      </c>
      <c r="F1365" s="92">
        <v>1</v>
      </c>
      <c r="G1365" s="75">
        <v>1</v>
      </c>
      <c r="H1365" s="75"/>
      <c r="I1365" s="75"/>
      <c r="J1365" s="75"/>
      <c r="K1365" s="75" t="s">
        <v>162</v>
      </c>
      <c r="L1365" s="75" t="s">
        <v>509</v>
      </c>
      <c r="M1365" s="75" t="s">
        <v>535</v>
      </c>
      <c r="N1365" s="75" t="s">
        <v>509</v>
      </c>
      <c r="O1365" s="75" t="s">
        <v>535</v>
      </c>
      <c r="P1365" s="75" t="s">
        <v>1249</v>
      </c>
    </row>
    <row r="1366" spans="1:16">
      <c r="A1366" s="63" t="s">
        <v>4282</v>
      </c>
      <c r="B1366" s="14" t="str">
        <f>VLOOKUP(P1366,'护理记录单文书字典(数据)'!B$4:C$99,2,0)</f>
        <v>D2B2FF340CFAB211AD9A5F178169A11E</v>
      </c>
      <c r="C1366" s="75" t="s">
        <v>3272</v>
      </c>
      <c r="D1366" s="75" t="s">
        <v>1119</v>
      </c>
      <c r="E1366" s="92" t="s">
        <v>2048</v>
      </c>
      <c r="F1366" s="92">
        <v>1</v>
      </c>
      <c r="G1366" s="75">
        <v>1</v>
      </c>
      <c r="H1366" s="75"/>
      <c r="I1366" s="75"/>
      <c r="J1366" s="75"/>
      <c r="K1366" s="75" t="s">
        <v>162</v>
      </c>
      <c r="L1366" s="75" t="s">
        <v>509</v>
      </c>
      <c r="M1366" s="75" t="s">
        <v>535</v>
      </c>
      <c r="N1366" s="75" t="s">
        <v>509</v>
      </c>
      <c r="O1366" s="75" t="s">
        <v>535</v>
      </c>
      <c r="P1366" s="75" t="s">
        <v>1249</v>
      </c>
    </row>
    <row r="1367" spans="1:16">
      <c r="A1367" s="63" t="s">
        <v>4282</v>
      </c>
      <c r="B1367" s="14" t="str">
        <f>VLOOKUP(P1367,'护理记录单文书字典(数据)'!B$4:C$99,2,0)</f>
        <v>D2B2FF340CFAB211AD9A5F178169A11E</v>
      </c>
      <c r="C1367" s="75" t="s">
        <v>3273</v>
      </c>
      <c r="D1367" s="75" t="s">
        <v>3274</v>
      </c>
      <c r="E1367" s="92" t="s">
        <v>2048</v>
      </c>
      <c r="F1367" s="92">
        <v>1</v>
      </c>
      <c r="G1367" s="75">
        <v>1</v>
      </c>
      <c r="H1367" s="75"/>
      <c r="I1367" s="75"/>
      <c r="J1367" s="75"/>
      <c r="K1367" s="75" t="s">
        <v>162</v>
      </c>
      <c r="L1367" s="75" t="s">
        <v>509</v>
      </c>
      <c r="M1367" s="75" t="s">
        <v>535</v>
      </c>
      <c r="N1367" s="75" t="s">
        <v>509</v>
      </c>
      <c r="O1367" s="75" t="s">
        <v>535</v>
      </c>
      <c r="P1367" s="75" t="s">
        <v>1249</v>
      </c>
    </row>
    <row r="1368" spans="1:16">
      <c r="A1368" s="63" t="s">
        <v>4282</v>
      </c>
      <c r="B1368" s="14" t="str">
        <f>VLOOKUP(P1368,'护理记录单文书字典(数据)'!B$4:C$99,2,0)</f>
        <v>D2B2FF340CFAB211AD9A5F178169A11E</v>
      </c>
      <c r="C1368" s="75" t="s">
        <v>3275</v>
      </c>
      <c r="D1368" s="75" t="s">
        <v>3276</v>
      </c>
      <c r="E1368" s="92" t="s">
        <v>2048</v>
      </c>
      <c r="F1368" s="92">
        <v>1</v>
      </c>
      <c r="G1368" s="75">
        <v>1</v>
      </c>
      <c r="H1368" s="75"/>
      <c r="I1368" s="75"/>
      <c r="J1368" s="75"/>
      <c r="K1368" s="75" t="s">
        <v>162</v>
      </c>
      <c r="L1368" s="75" t="s">
        <v>509</v>
      </c>
      <c r="M1368" s="75" t="s">
        <v>535</v>
      </c>
      <c r="N1368" s="75" t="s">
        <v>509</v>
      </c>
      <c r="O1368" s="75" t="s">
        <v>535</v>
      </c>
      <c r="P1368" s="75" t="s">
        <v>1249</v>
      </c>
    </row>
    <row r="1369" spans="1:16">
      <c r="A1369" s="63" t="s">
        <v>4282</v>
      </c>
      <c r="B1369" s="14" t="str">
        <f>VLOOKUP(P1369,'护理记录单文书字典(数据)'!B$4:C$99,2,0)</f>
        <v>D2B2FF340CFAB211AD9A5F178169A11E</v>
      </c>
      <c r="C1369" s="75" t="s">
        <v>3988</v>
      </c>
      <c r="D1369" s="75" t="s">
        <v>3989</v>
      </c>
      <c r="E1369" s="92" t="s">
        <v>2052</v>
      </c>
      <c r="F1369" s="92">
        <v>1</v>
      </c>
      <c r="G1369" s="75">
        <v>1</v>
      </c>
      <c r="H1369" s="75" t="s">
        <v>1246</v>
      </c>
      <c r="I1369" s="75"/>
      <c r="J1369" s="75"/>
      <c r="K1369" s="75" t="s">
        <v>162</v>
      </c>
      <c r="L1369" s="75" t="s">
        <v>509</v>
      </c>
      <c r="M1369" s="75" t="s">
        <v>535</v>
      </c>
      <c r="N1369" s="75" t="s">
        <v>509</v>
      </c>
      <c r="O1369" s="75" t="s">
        <v>535</v>
      </c>
      <c r="P1369" s="75" t="s">
        <v>1249</v>
      </c>
    </row>
    <row r="1370" spans="1:16">
      <c r="A1370" s="63" t="s">
        <v>4282</v>
      </c>
      <c r="B1370" s="14" t="str">
        <f>VLOOKUP(P1370,'护理记录单文书字典(数据)'!B$4:C$99,2,0)</f>
        <v>D2B2FF340CFAB211AD9A5F178169A11E</v>
      </c>
      <c r="C1370" s="75" t="s">
        <v>3990</v>
      </c>
      <c r="D1370" s="75" t="s">
        <v>1253</v>
      </c>
      <c r="E1370" s="92" t="s">
        <v>2052</v>
      </c>
      <c r="F1370" s="92">
        <v>1</v>
      </c>
      <c r="G1370" s="75">
        <v>1</v>
      </c>
      <c r="H1370" s="75" t="s">
        <v>1252</v>
      </c>
      <c r="I1370" s="75"/>
      <c r="J1370" s="75"/>
      <c r="K1370" s="75" t="s">
        <v>162</v>
      </c>
      <c r="L1370" s="75" t="s">
        <v>509</v>
      </c>
      <c r="M1370" s="75" t="s">
        <v>535</v>
      </c>
      <c r="N1370" s="75" t="s">
        <v>509</v>
      </c>
      <c r="O1370" s="75" t="s">
        <v>535</v>
      </c>
      <c r="P1370" s="75" t="s">
        <v>1249</v>
      </c>
    </row>
    <row r="1371" spans="1:16">
      <c r="A1371" s="63" t="s">
        <v>4282</v>
      </c>
      <c r="B1371" s="14" t="str">
        <f>VLOOKUP(P1371,'护理记录单文书字典(数据)'!B$4:C$99,2,0)</f>
        <v>D2B2FF340CFAB211AD9A5F178169A11E</v>
      </c>
      <c r="C1371" s="75" t="s">
        <v>3991</v>
      </c>
      <c r="D1371" s="75" t="s">
        <v>1258</v>
      </c>
      <c r="E1371" s="92" t="s">
        <v>2052</v>
      </c>
      <c r="F1371" s="92">
        <v>1</v>
      </c>
      <c r="G1371" s="75">
        <v>1</v>
      </c>
      <c r="H1371" s="75" t="s">
        <v>1257</v>
      </c>
      <c r="I1371" s="75"/>
      <c r="J1371" s="75"/>
      <c r="K1371" s="75" t="s">
        <v>162</v>
      </c>
      <c r="L1371" s="75" t="s">
        <v>509</v>
      </c>
      <c r="M1371" s="75" t="s">
        <v>535</v>
      </c>
      <c r="N1371" s="75" t="s">
        <v>509</v>
      </c>
      <c r="O1371" s="75" t="s">
        <v>535</v>
      </c>
      <c r="P1371" s="75" t="s">
        <v>1249</v>
      </c>
    </row>
    <row r="1372" spans="1:16">
      <c r="A1372" s="63" t="s">
        <v>4282</v>
      </c>
      <c r="B1372" s="14" t="str">
        <f>VLOOKUP(P1372,'护理记录单文书字典(数据)'!B$4:C$99,2,0)</f>
        <v>D2B2FF340CFAB211AD9A5F178169A11E</v>
      </c>
      <c r="C1372" s="75" t="s">
        <v>3992</v>
      </c>
      <c r="D1372" s="75" t="s">
        <v>1263</v>
      </c>
      <c r="E1372" s="92" t="s">
        <v>2052</v>
      </c>
      <c r="F1372" s="92">
        <v>1</v>
      </c>
      <c r="G1372" s="75">
        <v>1</v>
      </c>
      <c r="H1372" s="75" t="s">
        <v>1262</v>
      </c>
      <c r="I1372" s="75"/>
      <c r="J1372" s="75"/>
      <c r="K1372" s="75" t="s">
        <v>162</v>
      </c>
      <c r="L1372" s="75" t="s">
        <v>509</v>
      </c>
      <c r="M1372" s="75" t="s">
        <v>535</v>
      </c>
      <c r="N1372" s="75" t="s">
        <v>509</v>
      </c>
      <c r="O1372" s="75" t="s">
        <v>535</v>
      </c>
      <c r="P1372" s="75" t="s">
        <v>1249</v>
      </c>
    </row>
    <row r="1373" spans="1:16">
      <c r="A1373" s="63" t="s">
        <v>4282</v>
      </c>
      <c r="B1373" s="14" t="str">
        <f>VLOOKUP(P1373,'护理记录单文书字典(数据)'!B$4:C$99,2,0)</f>
        <v>D2B2FF340CFAB211AD9A5F178169A11E</v>
      </c>
      <c r="C1373" s="75" t="s">
        <v>3993</v>
      </c>
      <c r="D1373" s="75" t="s">
        <v>1267</v>
      </c>
      <c r="E1373" s="92" t="s">
        <v>2052</v>
      </c>
      <c r="F1373" s="92">
        <v>1</v>
      </c>
      <c r="G1373" s="75">
        <v>1</v>
      </c>
      <c r="H1373" s="75" t="s">
        <v>1266</v>
      </c>
      <c r="I1373" s="75"/>
      <c r="J1373" s="75"/>
      <c r="K1373" s="75" t="s">
        <v>162</v>
      </c>
      <c r="L1373" s="75" t="s">
        <v>509</v>
      </c>
      <c r="M1373" s="75" t="s">
        <v>535</v>
      </c>
      <c r="N1373" s="75" t="s">
        <v>509</v>
      </c>
      <c r="O1373" s="75" t="s">
        <v>535</v>
      </c>
      <c r="P1373" s="75" t="s">
        <v>1249</v>
      </c>
    </row>
    <row r="1374" spans="1:16">
      <c r="A1374" s="63" t="s">
        <v>4282</v>
      </c>
      <c r="B1374" s="14" t="str">
        <f>VLOOKUP(P1374,'护理记录单文书字典(数据)'!B$4:C$99,2,0)</f>
        <v>D2B2FF340CFAB211AD9A5F178169A11E</v>
      </c>
      <c r="C1374" s="75" t="s">
        <v>3994</v>
      </c>
      <c r="D1374" s="75" t="s">
        <v>3995</v>
      </c>
      <c r="E1374" s="92" t="s">
        <v>2052</v>
      </c>
      <c r="F1374" s="92">
        <v>1</v>
      </c>
      <c r="G1374" s="75">
        <v>1</v>
      </c>
      <c r="H1374" s="75" t="s">
        <v>3960</v>
      </c>
      <c r="I1374" s="75"/>
      <c r="J1374" s="75"/>
      <c r="K1374" s="75" t="s">
        <v>162</v>
      </c>
      <c r="L1374" s="75" t="s">
        <v>509</v>
      </c>
      <c r="M1374" s="75" t="s">
        <v>535</v>
      </c>
      <c r="N1374" s="75" t="s">
        <v>509</v>
      </c>
      <c r="O1374" s="75" t="s">
        <v>535</v>
      </c>
      <c r="P1374" s="75" t="s">
        <v>1249</v>
      </c>
    </row>
    <row r="1375" spans="1:16">
      <c r="A1375" s="63" t="s">
        <v>4282</v>
      </c>
      <c r="B1375" s="14" t="str">
        <f>VLOOKUP(P1375,'护理记录单文书字典(数据)'!B$4:C$99,2,0)</f>
        <v>D2B2FF340CFAB211AD9A5F178169A11E</v>
      </c>
      <c r="C1375" s="75" t="s">
        <v>3996</v>
      </c>
      <c r="D1375" s="75" t="s">
        <v>3997</v>
      </c>
      <c r="E1375" s="92" t="s">
        <v>2052</v>
      </c>
      <c r="F1375" s="92">
        <v>1</v>
      </c>
      <c r="G1375" s="75">
        <v>1</v>
      </c>
      <c r="H1375" s="75" t="s">
        <v>3490</v>
      </c>
      <c r="I1375" s="75"/>
      <c r="J1375" s="75"/>
      <c r="K1375" s="75" t="s">
        <v>162</v>
      </c>
      <c r="L1375" s="75" t="s">
        <v>509</v>
      </c>
      <c r="M1375" s="75" t="s">
        <v>535</v>
      </c>
      <c r="N1375" s="75" t="s">
        <v>509</v>
      </c>
      <c r="O1375" s="75" t="s">
        <v>535</v>
      </c>
      <c r="P1375" s="75" t="s">
        <v>1249</v>
      </c>
    </row>
    <row r="1376" spans="1:16">
      <c r="A1376" s="63" t="s">
        <v>4282</v>
      </c>
      <c r="B1376" s="14" t="str">
        <f>VLOOKUP(P1376,'护理记录单文书字典(数据)'!B$4:C$99,2,0)</f>
        <v>D2B2FF340CFAB211AD9A5F178169A11E</v>
      </c>
      <c r="C1376" s="75" t="s">
        <v>3998</v>
      </c>
      <c r="D1376" s="75" t="s">
        <v>1217</v>
      </c>
      <c r="E1376" s="92" t="s">
        <v>2052</v>
      </c>
      <c r="F1376" s="92">
        <v>1</v>
      </c>
      <c r="G1376" s="75">
        <v>1</v>
      </c>
      <c r="H1376" s="75" t="s">
        <v>1216</v>
      </c>
      <c r="I1376" s="75"/>
      <c r="J1376" s="75"/>
      <c r="K1376" s="75" t="s">
        <v>162</v>
      </c>
      <c r="L1376" s="75" t="s">
        <v>509</v>
      </c>
      <c r="M1376" s="75" t="s">
        <v>535</v>
      </c>
      <c r="N1376" s="75" t="s">
        <v>509</v>
      </c>
      <c r="O1376" s="75" t="s">
        <v>535</v>
      </c>
      <c r="P1376" s="75" t="s">
        <v>1249</v>
      </c>
    </row>
    <row r="1377" spans="1:16">
      <c r="A1377" s="63" t="s">
        <v>4282</v>
      </c>
      <c r="B1377" s="14" t="str">
        <f>VLOOKUP(P1377,'护理记录单文书字典(数据)'!B$4:C$99,2,0)</f>
        <v>D2B2FF340CFAB211AD9A5F178169A11E</v>
      </c>
      <c r="C1377" s="75" t="s">
        <v>3999</v>
      </c>
      <c r="D1377" s="75" t="s">
        <v>1222</v>
      </c>
      <c r="E1377" s="92" t="s">
        <v>2052</v>
      </c>
      <c r="F1377" s="92">
        <v>1</v>
      </c>
      <c r="G1377" s="75">
        <v>1</v>
      </c>
      <c r="H1377" s="75" t="s">
        <v>1221</v>
      </c>
      <c r="I1377" s="75"/>
      <c r="J1377" s="75"/>
      <c r="K1377" s="75" t="s">
        <v>162</v>
      </c>
      <c r="L1377" s="75" t="s">
        <v>509</v>
      </c>
      <c r="M1377" s="75" t="s">
        <v>535</v>
      </c>
      <c r="N1377" s="75" t="s">
        <v>509</v>
      </c>
      <c r="O1377" s="75" t="s">
        <v>535</v>
      </c>
      <c r="P1377" s="75" t="s">
        <v>1249</v>
      </c>
    </row>
    <row r="1378" spans="1:16">
      <c r="A1378" s="63" t="s">
        <v>4282</v>
      </c>
      <c r="B1378" s="14" t="str">
        <f>VLOOKUP(P1378,'护理记录单文书字典(数据)'!B$4:C$99,2,0)</f>
        <v>D2B2FF340CFAB211AD9A5F178169A11E</v>
      </c>
      <c r="C1378" s="75" t="s">
        <v>4000</v>
      </c>
      <c r="D1378" s="75" t="s">
        <v>1269</v>
      </c>
      <c r="E1378" s="92" t="s">
        <v>2052</v>
      </c>
      <c r="F1378" s="92">
        <v>1</v>
      </c>
      <c r="G1378" s="75">
        <v>1</v>
      </c>
      <c r="H1378" s="75" t="s">
        <v>1268</v>
      </c>
      <c r="I1378" s="75"/>
      <c r="J1378" s="75"/>
      <c r="K1378" s="75" t="s">
        <v>162</v>
      </c>
      <c r="L1378" s="75" t="s">
        <v>509</v>
      </c>
      <c r="M1378" s="75" t="s">
        <v>535</v>
      </c>
      <c r="N1378" s="75" t="s">
        <v>509</v>
      </c>
      <c r="O1378" s="75" t="s">
        <v>535</v>
      </c>
      <c r="P1378" s="75" t="s">
        <v>1249</v>
      </c>
    </row>
    <row r="1379" spans="1:16">
      <c r="A1379" s="63" t="s">
        <v>4282</v>
      </c>
      <c r="B1379" s="14" t="str">
        <f>VLOOKUP(P1379,'护理记录单文书字典(数据)'!B$4:C$99,2,0)</f>
        <v>D2B2FF340CFAB211AD9A5F178169A11E</v>
      </c>
      <c r="C1379" s="75" t="s">
        <v>4001</v>
      </c>
      <c r="D1379" s="75" t="s">
        <v>4002</v>
      </c>
      <c r="E1379" s="92" t="s">
        <v>2048</v>
      </c>
      <c r="F1379" s="92">
        <v>1</v>
      </c>
      <c r="G1379" s="75">
        <v>1</v>
      </c>
      <c r="H1379" s="75"/>
      <c r="I1379" s="75"/>
      <c r="J1379" s="75"/>
      <c r="K1379" s="75" t="s">
        <v>162</v>
      </c>
      <c r="L1379" s="75" t="s">
        <v>509</v>
      </c>
      <c r="M1379" s="75" t="s">
        <v>535</v>
      </c>
      <c r="N1379" s="75" t="s">
        <v>509</v>
      </c>
      <c r="O1379" s="75" t="s">
        <v>535</v>
      </c>
      <c r="P1379" s="75" t="s">
        <v>1249</v>
      </c>
    </row>
    <row r="1380" spans="1:16">
      <c r="A1380" s="63" t="s">
        <v>4282</v>
      </c>
      <c r="B1380" s="14" t="str">
        <f>VLOOKUP(P1380,'护理记录单文书字典(数据)'!B$4:C$99,2,0)</f>
        <v>D2B2FF340CFAB211AD9A5F178169A11E</v>
      </c>
      <c r="C1380" s="75" t="s">
        <v>2852</v>
      </c>
      <c r="D1380" s="75" t="s">
        <v>2853</v>
      </c>
      <c r="E1380" s="92" t="s">
        <v>2048</v>
      </c>
      <c r="F1380" s="92">
        <v>1</v>
      </c>
      <c r="G1380" s="75">
        <v>1</v>
      </c>
      <c r="H1380" s="75"/>
      <c r="I1380" s="75"/>
      <c r="J1380" s="75"/>
      <c r="K1380" s="75" t="s">
        <v>162</v>
      </c>
      <c r="L1380" s="75" t="s">
        <v>509</v>
      </c>
      <c r="M1380" s="75" t="s">
        <v>535</v>
      </c>
      <c r="N1380" s="75" t="s">
        <v>509</v>
      </c>
      <c r="O1380" s="75" t="s">
        <v>535</v>
      </c>
      <c r="P1380" s="75" t="s">
        <v>1249</v>
      </c>
    </row>
    <row r="1381" spans="1:16">
      <c r="A1381" s="63" t="s">
        <v>4282</v>
      </c>
      <c r="B1381" s="14" t="str">
        <f>VLOOKUP(P1381,'护理记录单文书字典(数据)'!B$4:C$99,2,0)</f>
        <v>D2B2FF340CFAB211AD9A5F178169A11E</v>
      </c>
      <c r="C1381" s="75" t="s">
        <v>4003</v>
      </c>
      <c r="D1381" s="75" t="s">
        <v>4004</v>
      </c>
      <c r="E1381" s="92" t="s">
        <v>2052</v>
      </c>
      <c r="F1381" s="92">
        <v>1</v>
      </c>
      <c r="G1381" s="75">
        <v>1</v>
      </c>
      <c r="H1381" s="75" t="s">
        <v>1270</v>
      </c>
      <c r="I1381" s="75"/>
      <c r="J1381" s="75"/>
      <c r="K1381" s="75" t="s">
        <v>162</v>
      </c>
      <c r="L1381" s="75" t="s">
        <v>509</v>
      </c>
      <c r="M1381" s="75" t="s">
        <v>535</v>
      </c>
      <c r="N1381" s="75" t="s">
        <v>509</v>
      </c>
      <c r="O1381" s="75" t="s">
        <v>535</v>
      </c>
      <c r="P1381" s="75" t="s">
        <v>1249</v>
      </c>
    </row>
    <row r="1382" spans="1:16">
      <c r="A1382" s="63" t="s">
        <v>4282</v>
      </c>
      <c r="B1382" s="14" t="str">
        <f>VLOOKUP(P1382,'护理记录单文书字典(数据)'!B$4:C$99,2,0)</f>
        <v>D2B2FF340CFAB211AD9A5F178169A11E</v>
      </c>
      <c r="C1382" s="75" t="s">
        <v>4005</v>
      </c>
      <c r="D1382" s="75" t="s">
        <v>4006</v>
      </c>
      <c r="E1382" s="92" t="s">
        <v>2052</v>
      </c>
      <c r="F1382" s="92">
        <v>1</v>
      </c>
      <c r="G1382" s="75">
        <v>1</v>
      </c>
      <c r="H1382" s="75" t="s">
        <v>1272</v>
      </c>
      <c r="I1382" s="75"/>
      <c r="J1382" s="75"/>
      <c r="K1382" s="75" t="s">
        <v>162</v>
      </c>
      <c r="L1382" s="75" t="s">
        <v>509</v>
      </c>
      <c r="M1382" s="75" t="s">
        <v>535</v>
      </c>
      <c r="N1382" s="75" t="s">
        <v>509</v>
      </c>
      <c r="O1382" s="75" t="s">
        <v>535</v>
      </c>
      <c r="P1382" s="75" t="s">
        <v>1249</v>
      </c>
    </row>
    <row r="1383" spans="1:16">
      <c r="A1383" s="63" t="s">
        <v>4282</v>
      </c>
      <c r="B1383" s="14" t="str">
        <f>VLOOKUP(P1383,'护理记录单文书字典(数据)'!B$4:C$99,2,0)</f>
        <v>D2B2FF340CFAB211AD9A5F178169A11E</v>
      </c>
      <c r="C1383" s="75" t="s">
        <v>4007</v>
      </c>
      <c r="D1383" s="75" t="s">
        <v>4008</v>
      </c>
      <c r="E1383" s="92" t="s">
        <v>2052</v>
      </c>
      <c r="F1383" s="92">
        <v>1</v>
      </c>
      <c r="G1383" s="75">
        <v>1</v>
      </c>
      <c r="H1383" s="75" t="s">
        <v>1274</v>
      </c>
      <c r="I1383" s="75"/>
      <c r="J1383" s="75"/>
      <c r="K1383" s="75" t="s">
        <v>162</v>
      </c>
      <c r="L1383" s="75" t="s">
        <v>509</v>
      </c>
      <c r="M1383" s="75" t="s">
        <v>535</v>
      </c>
      <c r="N1383" s="75" t="s">
        <v>509</v>
      </c>
      <c r="O1383" s="75" t="s">
        <v>535</v>
      </c>
      <c r="P1383" s="75" t="s">
        <v>1249</v>
      </c>
    </row>
    <row r="1384" spans="1:16">
      <c r="A1384" s="63" t="s">
        <v>4282</v>
      </c>
      <c r="B1384" s="14" t="str">
        <f>VLOOKUP(P1384,'护理记录单文书字典(数据)'!B$4:C$99,2,0)</f>
        <v>D2B2FF340CFAB211AD9A5F178169A11E</v>
      </c>
      <c r="C1384" s="75" t="s">
        <v>2105</v>
      </c>
      <c r="D1384" s="75" t="s">
        <v>2103</v>
      </c>
      <c r="E1384" s="92" t="s">
        <v>2104</v>
      </c>
      <c r="F1384" s="92">
        <v>1</v>
      </c>
      <c r="G1384" s="75">
        <v>1</v>
      </c>
      <c r="H1384" s="75"/>
      <c r="I1384" s="75"/>
      <c r="J1384" s="75"/>
      <c r="K1384" s="75" t="s">
        <v>162</v>
      </c>
      <c r="L1384" s="75" t="s">
        <v>509</v>
      </c>
      <c r="M1384" s="75" t="s">
        <v>535</v>
      </c>
      <c r="N1384" s="75" t="s">
        <v>509</v>
      </c>
      <c r="O1384" s="75" t="s">
        <v>535</v>
      </c>
      <c r="P1384" s="75" t="s">
        <v>1249</v>
      </c>
    </row>
    <row r="1385" spans="1:16">
      <c r="A1385" s="63" t="s">
        <v>4282</v>
      </c>
      <c r="B1385" s="14" t="str">
        <f>VLOOKUP(P1385,'护理记录单文书字典(数据)'!B$4:C$99,2,0)</f>
        <v>CECCF7340CFAB211B59F8A108DB59D22</v>
      </c>
      <c r="C1385" s="75" t="s">
        <v>2046</v>
      </c>
      <c r="D1385" s="75" t="s">
        <v>2047</v>
      </c>
      <c r="E1385" s="92" t="s">
        <v>2048</v>
      </c>
      <c r="F1385" s="92">
        <v>1</v>
      </c>
      <c r="G1385" s="75">
        <v>1</v>
      </c>
      <c r="H1385" s="75"/>
      <c r="I1385" s="75"/>
      <c r="J1385" s="75"/>
      <c r="K1385" s="75" t="s">
        <v>162</v>
      </c>
      <c r="L1385" s="75" t="s">
        <v>509</v>
      </c>
      <c r="M1385" s="75" t="s">
        <v>535</v>
      </c>
      <c r="N1385" s="75" t="s">
        <v>509</v>
      </c>
      <c r="O1385" s="75" t="s">
        <v>535</v>
      </c>
      <c r="P1385" s="75" t="s">
        <v>926</v>
      </c>
    </row>
    <row r="1386" spans="1:16">
      <c r="A1386" s="63" t="s">
        <v>4282</v>
      </c>
      <c r="B1386" s="14" t="str">
        <f>VLOOKUP(P1386,'护理记录单文书字典(数据)'!B$4:C$99,2,0)</f>
        <v>CECCF7340CFAB211B59F8A108DB59D22</v>
      </c>
      <c r="C1386" s="75" t="s">
        <v>3272</v>
      </c>
      <c r="D1386" s="75" t="s">
        <v>1119</v>
      </c>
      <c r="E1386" s="92" t="s">
        <v>2048</v>
      </c>
      <c r="F1386" s="92">
        <v>1</v>
      </c>
      <c r="G1386" s="75">
        <v>1</v>
      </c>
      <c r="H1386" s="75"/>
      <c r="I1386" s="75"/>
      <c r="J1386" s="75"/>
      <c r="K1386" s="75" t="s">
        <v>162</v>
      </c>
      <c r="L1386" s="75" t="s">
        <v>509</v>
      </c>
      <c r="M1386" s="75" t="s">
        <v>535</v>
      </c>
      <c r="N1386" s="75" t="s">
        <v>509</v>
      </c>
      <c r="O1386" s="75" t="s">
        <v>535</v>
      </c>
      <c r="P1386" s="75" t="s">
        <v>926</v>
      </c>
    </row>
    <row r="1387" spans="1:16">
      <c r="A1387" s="63" t="s">
        <v>4282</v>
      </c>
      <c r="B1387" s="14" t="str">
        <f>VLOOKUP(P1387,'护理记录单文书字典(数据)'!B$4:C$99,2,0)</f>
        <v>CECCF7340CFAB211B59F8A108DB59D22</v>
      </c>
      <c r="C1387" s="75" t="s">
        <v>3273</v>
      </c>
      <c r="D1387" s="75" t="s">
        <v>3274</v>
      </c>
      <c r="E1387" s="92" t="s">
        <v>2048</v>
      </c>
      <c r="F1387" s="92">
        <v>1</v>
      </c>
      <c r="G1387" s="75">
        <v>1</v>
      </c>
      <c r="H1387" s="75"/>
      <c r="I1387" s="75"/>
      <c r="J1387" s="75"/>
      <c r="K1387" s="75" t="s">
        <v>162</v>
      </c>
      <c r="L1387" s="75" t="s">
        <v>509</v>
      </c>
      <c r="M1387" s="75" t="s">
        <v>535</v>
      </c>
      <c r="N1387" s="75" t="s">
        <v>509</v>
      </c>
      <c r="O1387" s="75" t="s">
        <v>535</v>
      </c>
      <c r="P1387" s="75" t="s">
        <v>926</v>
      </c>
    </row>
    <row r="1388" spans="1:16">
      <c r="A1388" s="63" t="s">
        <v>4282</v>
      </c>
      <c r="B1388" s="14" t="str">
        <f>VLOOKUP(P1388,'护理记录单文书字典(数据)'!B$4:C$99,2,0)</f>
        <v>CECCF7340CFAB211B59F8A108DB59D22</v>
      </c>
      <c r="C1388" s="75" t="s">
        <v>3275</v>
      </c>
      <c r="D1388" s="75" t="s">
        <v>3276</v>
      </c>
      <c r="E1388" s="92" t="s">
        <v>2048</v>
      </c>
      <c r="F1388" s="92">
        <v>1</v>
      </c>
      <c r="G1388" s="75">
        <v>1</v>
      </c>
      <c r="H1388" s="75"/>
      <c r="I1388" s="75"/>
      <c r="J1388" s="75"/>
      <c r="K1388" s="75" t="s">
        <v>162</v>
      </c>
      <c r="L1388" s="75" t="s">
        <v>509</v>
      </c>
      <c r="M1388" s="75" t="s">
        <v>535</v>
      </c>
      <c r="N1388" s="75" t="s">
        <v>509</v>
      </c>
      <c r="O1388" s="75" t="s">
        <v>535</v>
      </c>
      <c r="P1388" s="75" t="s">
        <v>926</v>
      </c>
    </row>
    <row r="1389" spans="1:16">
      <c r="A1389" s="63" t="s">
        <v>4282</v>
      </c>
      <c r="B1389" s="14" t="str">
        <f>VLOOKUP(P1389,'护理记录单文书字典(数据)'!B$4:C$99,2,0)</f>
        <v>CECCF7340CFAB211B59F8A108DB59D22</v>
      </c>
      <c r="C1389" s="75" t="s">
        <v>4009</v>
      </c>
      <c r="D1389" s="75" t="s">
        <v>4010</v>
      </c>
      <c r="E1389" s="92" t="s">
        <v>2048</v>
      </c>
      <c r="F1389" s="92">
        <v>1</v>
      </c>
      <c r="G1389" s="75">
        <v>1</v>
      </c>
      <c r="H1389" s="75"/>
      <c r="I1389" s="75"/>
      <c r="J1389" s="75"/>
      <c r="K1389" s="75" t="s">
        <v>162</v>
      </c>
      <c r="L1389" s="75" t="s">
        <v>509</v>
      </c>
      <c r="M1389" s="75" t="s">
        <v>535</v>
      </c>
      <c r="N1389" s="75" t="s">
        <v>509</v>
      </c>
      <c r="O1389" s="75" t="s">
        <v>535</v>
      </c>
      <c r="P1389" s="75" t="s">
        <v>926</v>
      </c>
    </row>
    <row r="1390" spans="1:16">
      <c r="A1390" s="63" t="s">
        <v>4282</v>
      </c>
      <c r="B1390" s="14" t="str">
        <f>VLOOKUP(P1390,'护理记录单文书字典(数据)'!B$4:C$99,2,0)</f>
        <v>CECCF7340CFAB211B59F8A108DB59D22</v>
      </c>
      <c r="C1390" s="75" t="s">
        <v>4011</v>
      </c>
      <c r="D1390" s="75" t="s">
        <v>4012</v>
      </c>
      <c r="E1390" s="92" t="s">
        <v>2048</v>
      </c>
      <c r="F1390" s="92">
        <v>1</v>
      </c>
      <c r="G1390" s="75">
        <v>1</v>
      </c>
      <c r="H1390" s="75"/>
      <c r="I1390" s="75"/>
      <c r="J1390" s="75"/>
      <c r="K1390" s="75" t="s">
        <v>162</v>
      </c>
      <c r="L1390" s="75" t="s">
        <v>509</v>
      </c>
      <c r="M1390" s="75" t="s">
        <v>535</v>
      </c>
      <c r="N1390" s="75" t="s">
        <v>509</v>
      </c>
      <c r="O1390" s="75" t="s">
        <v>535</v>
      </c>
      <c r="P1390" s="75" t="s">
        <v>926</v>
      </c>
    </row>
    <row r="1391" spans="1:16">
      <c r="A1391" s="63" t="s">
        <v>4282</v>
      </c>
      <c r="B1391" s="14" t="str">
        <f>VLOOKUP(P1391,'护理记录单文书字典(数据)'!B$4:C$99,2,0)</f>
        <v>CECCF7340CFAB211B59F8A108DB59D22</v>
      </c>
      <c r="C1391" s="75" t="s">
        <v>4013</v>
      </c>
      <c r="D1391" s="75" t="s">
        <v>4014</v>
      </c>
      <c r="E1391" s="92" t="s">
        <v>2048</v>
      </c>
      <c r="F1391" s="92">
        <v>1</v>
      </c>
      <c r="G1391" s="75">
        <v>1</v>
      </c>
      <c r="H1391" s="75"/>
      <c r="I1391" s="75"/>
      <c r="J1391" s="75"/>
      <c r="K1391" s="75" t="s">
        <v>162</v>
      </c>
      <c r="L1391" s="75" t="s">
        <v>509</v>
      </c>
      <c r="M1391" s="75" t="s">
        <v>535</v>
      </c>
      <c r="N1391" s="75" t="s">
        <v>509</v>
      </c>
      <c r="O1391" s="75" t="s">
        <v>535</v>
      </c>
      <c r="P1391" s="75" t="s">
        <v>926</v>
      </c>
    </row>
    <row r="1392" spans="1:16">
      <c r="A1392" s="63" t="s">
        <v>4282</v>
      </c>
      <c r="B1392" s="14" t="str">
        <f>VLOOKUP(P1392,'护理记录单文书字典(数据)'!B$4:C$99,2,0)</f>
        <v>CECCF7340CFAB211B59F8A108DB59D22</v>
      </c>
      <c r="C1392" s="75" t="s">
        <v>4015</v>
      </c>
      <c r="D1392" s="75" t="s">
        <v>4016</v>
      </c>
      <c r="E1392" s="92" t="s">
        <v>2048</v>
      </c>
      <c r="F1392" s="92">
        <v>1</v>
      </c>
      <c r="G1392" s="75">
        <v>1</v>
      </c>
      <c r="H1392" s="75"/>
      <c r="I1392" s="75"/>
      <c r="J1392" s="75"/>
      <c r="K1392" s="75" t="s">
        <v>162</v>
      </c>
      <c r="L1392" s="75" t="s">
        <v>509</v>
      </c>
      <c r="M1392" s="75" t="s">
        <v>535</v>
      </c>
      <c r="N1392" s="75" t="s">
        <v>509</v>
      </c>
      <c r="O1392" s="75" t="s">
        <v>535</v>
      </c>
      <c r="P1392" s="75" t="s">
        <v>926</v>
      </c>
    </row>
    <row r="1393" spans="1:16">
      <c r="A1393" s="63" t="s">
        <v>4282</v>
      </c>
      <c r="B1393" s="14" t="str">
        <f>VLOOKUP(P1393,'护理记录单文书字典(数据)'!B$4:C$99,2,0)</f>
        <v>CECCF7340CFAB211B59F8A108DB59D22</v>
      </c>
      <c r="C1393" s="75" t="s">
        <v>4017</v>
      </c>
      <c r="D1393" s="75" t="s">
        <v>4018</v>
      </c>
      <c r="E1393" s="92" t="s">
        <v>2048</v>
      </c>
      <c r="F1393" s="92">
        <v>1</v>
      </c>
      <c r="G1393" s="75">
        <v>1</v>
      </c>
      <c r="H1393" s="75"/>
      <c r="I1393" s="75"/>
      <c r="J1393" s="75"/>
      <c r="K1393" s="75" t="s">
        <v>162</v>
      </c>
      <c r="L1393" s="75" t="s">
        <v>509</v>
      </c>
      <c r="M1393" s="75" t="s">
        <v>535</v>
      </c>
      <c r="N1393" s="75" t="s">
        <v>509</v>
      </c>
      <c r="O1393" s="75" t="s">
        <v>535</v>
      </c>
      <c r="P1393" s="75" t="s">
        <v>926</v>
      </c>
    </row>
    <row r="1394" spans="1:16">
      <c r="A1394" s="63" t="s">
        <v>4282</v>
      </c>
      <c r="B1394" s="14" t="str">
        <f>VLOOKUP(P1394,'护理记录单文书字典(数据)'!B$4:C$99,2,0)</f>
        <v>CECCF7340CFAB211B59F8A108DB59D22</v>
      </c>
      <c r="C1394" s="75" t="s">
        <v>4019</v>
      </c>
      <c r="D1394" s="75" t="s">
        <v>4020</v>
      </c>
      <c r="E1394" s="92" t="s">
        <v>2048</v>
      </c>
      <c r="F1394" s="92">
        <v>1</v>
      </c>
      <c r="G1394" s="75">
        <v>1</v>
      </c>
      <c r="H1394" s="75"/>
      <c r="I1394" s="75"/>
      <c r="J1394" s="75"/>
      <c r="K1394" s="75" t="s">
        <v>162</v>
      </c>
      <c r="L1394" s="75" t="s">
        <v>509</v>
      </c>
      <c r="M1394" s="75" t="s">
        <v>535</v>
      </c>
      <c r="N1394" s="75" t="s">
        <v>509</v>
      </c>
      <c r="O1394" s="75" t="s">
        <v>535</v>
      </c>
      <c r="P1394" s="75" t="s">
        <v>926</v>
      </c>
    </row>
    <row r="1395" spans="1:16">
      <c r="A1395" s="63" t="s">
        <v>4282</v>
      </c>
      <c r="B1395" s="14" t="str">
        <f>VLOOKUP(P1395,'护理记录单文书字典(数据)'!B$4:C$99,2,0)</f>
        <v>CECCF7340CFAB211B59F8A108DB59D22</v>
      </c>
      <c r="C1395" s="75" t="s">
        <v>4021</v>
      </c>
      <c r="D1395" s="75" t="s">
        <v>4022</v>
      </c>
      <c r="E1395" s="92" t="s">
        <v>2048</v>
      </c>
      <c r="F1395" s="92">
        <v>1</v>
      </c>
      <c r="G1395" s="75">
        <v>1</v>
      </c>
      <c r="H1395" s="75"/>
      <c r="I1395" s="75"/>
      <c r="J1395" s="75"/>
      <c r="K1395" s="75" t="s">
        <v>162</v>
      </c>
      <c r="L1395" s="75" t="s">
        <v>509</v>
      </c>
      <c r="M1395" s="75" t="s">
        <v>535</v>
      </c>
      <c r="N1395" s="75" t="s">
        <v>509</v>
      </c>
      <c r="O1395" s="75" t="s">
        <v>535</v>
      </c>
      <c r="P1395" s="75" t="s">
        <v>926</v>
      </c>
    </row>
    <row r="1396" spans="1:16">
      <c r="A1396" s="63" t="s">
        <v>4282</v>
      </c>
      <c r="B1396" s="14" t="str">
        <f>VLOOKUP(P1396,'护理记录单文书字典(数据)'!B$4:C$99,2,0)</f>
        <v>CECCF7340CFAB211B59F8A108DB59D22</v>
      </c>
      <c r="C1396" s="75" t="s">
        <v>3992</v>
      </c>
      <c r="D1396" s="75" t="s">
        <v>1263</v>
      </c>
      <c r="E1396" s="92" t="s">
        <v>2052</v>
      </c>
      <c r="F1396" s="92">
        <v>1</v>
      </c>
      <c r="G1396" s="75">
        <v>1</v>
      </c>
      <c r="H1396" s="75" t="s">
        <v>1204</v>
      </c>
      <c r="I1396" s="75"/>
      <c r="J1396" s="75"/>
      <c r="K1396" s="75" t="s">
        <v>162</v>
      </c>
      <c r="L1396" s="75" t="s">
        <v>509</v>
      </c>
      <c r="M1396" s="75" t="s">
        <v>535</v>
      </c>
      <c r="N1396" s="75" t="s">
        <v>509</v>
      </c>
      <c r="O1396" s="75" t="s">
        <v>535</v>
      </c>
      <c r="P1396" s="75" t="s">
        <v>926</v>
      </c>
    </row>
    <row r="1397" spans="1:16">
      <c r="A1397" s="63" t="s">
        <v>4282</v>
      </c>
      <c r="B1397" s="14" t="str">
        <f>VLOOKUP(P1397,'护理记录单文书字典(数据)'!B$4:C$99,2,0)</f>
        <v>CECCF7340CFAB211B59F8A108DB59D22</v>
      </c>
      <c r="C1397" s="75" t="s">
        <v>3993</v>
      </c>
      <c r="D1397" s="75" t="s">
        <v>1267</v>
      </c>
      <c r="E1397" s="92" t="s">
        <v>2052</v>
      </c>
      <c r="F1397" s="92">
        <v>1</v>
      </c>
      <c r="G1397" s="75">
        <v>1</v>
      </c>
      <c r="H1397" s="75" t="s">
        <v>1194</v>
      </c>
      <c r="I1397" s="75"/>
      <c r="J1397" s="75"/>
      <c r="K1397" s="75" t="s">
        <v>162</v>
      </c>
      <c r="L1397" s="75" t="s">
        <v>509</v>
      </c>
      <c r="M1397" s="75" t="s">
        <v>535</v>
      </c>
      <c r="N1397" s="75" t="s">
        <v>509</v>
      </c>
      <c r="O1397" s="75" t="s">
        <v>535</v>
      </c>
      <c r="P1397" s="75" t="s">
        <v>926</v>
      </c>
    </row>
    <row r="1398" spans="1:16">
      <c r="A1398" s="63" t="s">
        <v>4282</v>
      </c>
      <c r="B1398" s="14" t="str">
        <f>VLOOKUP(P1398,'护理记录单文书字典(数据)'!B$4:C$99,2,0)</f>
        <v>CECCF7340CFAB211B59F8A108DB59D22</v>
      </c>
      <c r="C1398" s="75" t="s">
        <v>4023</v>
      </c>
      <c r="D1398" s="75" t="s">
        <v>4024</v>
      </c>
      <c r="E1398" s="92" t="s">
        <v>2052</v>
      </c>
      <c r="F1398" s="92">
        <v>1</v>
      </c>
      <c r="G1398" s="75">
        <v>1</v>
      </c>
      <c r="H1398" s="75" t="s">
        <v>1212</v>
      </c>
      <c r="I1398" s="75"/>
      <c r="J1398" s="75"/>
      <c r="K1398" s="75" t="s">
        <v>162</v>
      </c>
      <c r="L1398" s="75" t="s">
        <v>509</v>
      </c>
      <c r="M1398" s="75" t="s">
        <v>535</v>
      </c>
      <c r="N1398" s="75" t="s">
        <v>509</v>
      </c>
      <c r="O1398" s="75" t="s">
        <v>535</v>
      </c>
      <c r="P1398" s="75" t="s">
        <v>926</v>
      </c>
    </row>
    <row r="1399" spans="1:16">
      <c r="A1399" s="63" t="s">
        <v>4282</v>
      </c>
      <c r="B1399" s="14" t="str">
        <f>VLOOKUP(P1399,'护理记录单文书字典(数据)'!B$4:C$99,2,0)</f>
        <v>CECCF7340CFAB211B59F8A108DB59D22</v>
      </c>
      <c r="C1399" s="75" t="s">
        <v>4025</v>
      </c>
      <c r="D1399" s="75" t="s">
        <v>4026</v>
      </c>
      <c r="E1399" s="92" t="s">
        <v>2052</v>
      </c>
      <c r="F1399" s="92">
        <v>1</v>
      </c>
      <c r="G1399" s="75">
        <v>1</v>
      </c>
      <c r="H1399" s="75"/>
      <c r="I1399" s="75"/>
      <c r="J1399" s="75"/>
      <c r="K1399" s="75" t="s">
        <v>162</v>
      </c>
      <c r="L1399" s="75" t="s">
        <v>509</v>
      </c>
      <c r="M1399" s="75" t="s">
        <v>535</v>
      </c>
      <c r="N1399" s="75" t="s">
        <v>509</v>
      </c>
      <c r="O1399" s="75" t="s">
        <v>535</v>
      </c>
      <c r="P1399" s="75" t="s">
        <v>926</v>
      </c>
    </row>
    <row r="1400" spans="1:16">
      <c r="A1400" s="63" t="s">
        <v>4282</v>
      </c>
      <c r="B1400" s="14" t="str">
        <f>VLOOKUP(P1400,'护理记录单文书字典(数据)'!B$4:C$99,2,0)</f>
        <v>CECCF7340CFAB211B59F8A108DB59D22</v>
      </c>
      <c r="C1400" s="75" t="s">
        <v>3998</v>
      </c>
      <c r="D1400" s="75" t="s">
        <v>1217</v>
      </c>
      <c r="E1400" s="92" t="s">
        <v>2052</v>
      </c>
      <c r="F1400" s="92">
        <v>1</v>
      </c>
      <c r="G1400" s="75">
        <v>1</v>
      </c>
      <c r="H1400" s="75" t="s">
        <v>1216</v>
      </c>
      <c r="I1400" s="75"/>
      <c r="J1400" s="75"/>
      <c r="K1400" s="75" t="s">
        <v>162</v>
      </c>
      <c r="L1400" s="75" t="s">
        <v>509</v>
      </c>
      <c r="M1400" s="75" t="s">
        <v>535</v>
      </c>
      <c r="N1400" s="75" t="s">
        <v>509</v>
      </c>
      <c r="O1400" s="75" t="s">
        <v>535</v>
      </c>
      <c r="P1400" s="75" t="s">
        <v>926</v>
      </c>
    </row>
    <row r="1401" spans="1:16">
      <c r="A1401" s="63" t="s">
        <v>4282</v>
      </c>
      <c r="B1401" s="14" t="str">
        <f>VLOOKUP(P1401,'护理记录单文书字典(数据)'!B$4:C$99,2,0)</f>
        <v>CECCF7340CFAB211B59F8A108DB59D22</v>
      </c>
      <c r="C1401" s="75" t="s">
        <v>3999</v>
      </c>
      <c r="D1401" s="75" t="s">
        <v>1222</v>
      </c>
      <c r="E1401" s="92" t="s">
        <v>2052</v>
      </c>
      <c r="F1401" s="92">
        <v>1</v>
      </c>
      <c r="G1401" s="75">
        <v>1</v>
      </c>
      <c r="H1401" s="75" t="s">
        <v>1221</v>
      </c>
      <c r="I1401" s="75"/>
      <c r="J1401" s="75"/>
      <c r="K1401" s="75" t="s">
        <v>162</v>
      </c>
      <c r="L1401" s="75" t="s">
        <v>509</v>
      </c>
      <c r="M1401" s="75" t="s">
        <v>535</v>
      </c>
      <c r="N1401" s="75" t="s">
        <v>509</v>
      </c>
      <c r="O1401" s="75" t="s">
        <v>535</v>
      </c>
      <c r="P1401" s="75" t="s">
        <v>926</v>
      </c>
    </row>
    <row r="1402" spans="1:16">
      <c r="A1402" s="63" t="s">
        <v>4282</v>
      </c>
      <c r="B1402" s="14" t="str">
        <f>VLOOKUP(P1402,'护理记录单文书字典(数据)'!B$4:C$99,2,0)</f>
        <v>CECCF7340CFAB211B59F8A108DB59D22</v>
      </c>
      <c r="C1402" s="75" t="s">
        <v>4027</v>
      </c>
      <c r="D1402" s="75" t="s">
        <v>1225</v>
      </c>
      <c r="E1402" s="92" t="s">
        <v>2052</v>
      </c>
      <c r="F1402" s="92">
        <v>1</v>
      </c>
      <c r="G1402" s="75">
        <v>1</v>
      </c>
      <c r="H1402" s="75" t="s">
        <v>1224</v>
      </c>
      <c r="I1402" s="75"/>
      <c r="J1402" s="75"/>
      <c r="K1402" s="75" t="s">
        <v>162</v>
      </c>
      <c r="L1402" s="75" t="s">
        <v>509</v>
      </c>
      <c r="M1402" s="75" t="s">
        <v>535</v>
      </c>
      <c r="N1402" s="75" t="s">
        <v>509</v>
      </c>
      <c r="O1402" s="75" t="s">
        <v>535</v>
      </c>
      <c r="P1402" s="75" t="s">
        <v>926</v>
      </c>
    </row>
    <row r="1403" spans="1:16">
      <c r="A1403" s="63" t="s">
        <v>4282</v>
      </c>
      <c r="B1403" s="14" t="str">
        <f>VLOOKUP(P1403,'护理记录单文书字典(数据)'!B$4:C$99,2,0)</f>
        <v>CECCF7340CFAB211B59F8A108DB59D22</v>
      </c>
      <c r="C1403" s="75" t="s">
        <v>2886</v>
      </c>
      <c r="D1403" s="75" t="s">
        <v>2887</v>
      </c>
      <c r="E1403" s="92" t="s">
        <v>2048</v>
      </c>
      <c r="F1403" s="92">
        <v>1</v>
      </c>
      <c r="G1403" s="75">
        <v>1</v>
      </c>
      <c r="H1403" s="75"/>
      <c r="I1403" s="75"/>
      <c r="J1403" s="75"/>
      <c r="K1403" s="75" t="s">
        <v>162</v>
      </c>
      <c r="L1403" s="75" t="s">
        <v>509</v>
      </c>
      <c r="M1403" s="75" t="s">
        <v>535</v>
      </c>
      <c r="N1403" s="75" t="s">
        <v>509</v>
      </c>
      <c r="O1403" s="75" t="s">
        <v>535</v>
      </c>
      <c r="P1403" s="75" t="s">
        <v>926</v>
      </c>
    </row>
    <row r="1404" spans="1:16">
      <c r="A1404" s="63" t="s">
        <v>4282</v>
      </c>
      <c r="B1404" s="14" t="str">
        <f>VLOOKUP(P1404,'护理记录单文书字典(数据)'!B$4:C$99,2,0)</f>
        <v>CECCF7340CFAB211B59F8A108DB59D22</v>
      </c>
      <c r="C1404" s="75" t="s">
        <v>4028</v>
      </c>
      <c r="D1404" s="75" t="s">
        <v>1228</v>
      </c>
      <c r="E1404" s="92" t="s">
        <v>2052</v>
      </c>
      <c r="F1404" s="92">
        <v>1</v>
      </c>
      <c r="G1404" s="75">
        <v>1</v>
      </c>
      <c r="H1404" s="75" t="s">
        <v>1227</v>
      </c>
      <c r="I1404" s="75"/>
      <c r="J1404" s="75"/>
      <c r="K1404" s="75" t="s">
        <v>162</v>
      </c>
      <c r="L1404" s="75" t="s">
        <v>509</v>
      </c>
      <c r="M1404" s="75" t="s">
        <v>535</v>
      </c>
      <c r="N1404" s="75" t="s">
        <v>509</v>
      </c>
      <c r="O1404" s="75" t="s">
        <v>535</v>
      </c>
      <c r="P1404" s="75" t="s">
        <v>926</v>
      </c>
    </row>
    <row r="1405" spans="1:16">
      <c r="A1405" s="63" t="s">
        <v>4282</v>
      </c>
      <c r="B1405" s="14" t="str">
        <f>VLOOKUP(P1405,'护理记录单文书字典(数据)'!B$4:C$99,2,0)</f>
        <v>CECCF7340CFAB211B59F8A108DB59D22</v>
      </c>
      <c r="C1405" s="75" t="s">
        <v>4029</v>
      </c>
      <c r="D1405" s="75" t="s">
        <v>1233</v>
      </c>
      <c r="E1405" s="92" t="s">
        <v>2052</v>
      </c>
      <c r="F1405" s="92">
        <v>1</v>
      </c>
      <c r="G1405" s="75">
        <v>1</v>
      </c>
      <c r="H1405" s="75" t="s">
        <v>1232</v>
      </c>
      <c r="I1405" s="75"/>
      <c r="J1405" s="75"/>
      <c r="K1405" s="75" t="s">
        <v>162</v>
      </c>
      <c r="L1405" s="75" t="s">
        <v>509</v>
      </c>
      <c r="M1405" s="75" t="s">
        <v>535</v>
      </c>
      <c r="N1405" s="75" t="s">
        <v>509</v>
      </c>
      <c r="O1405" s="75" t="s">
        <v>535</v>
      </c>
      <c r="P1405" s="75" t="s">
        <v>926</v>
      </c>
    </row>
    <row r="1406" spans="1:16">
      <c r="A1406" s="63" t="s">
        <v>4282</v>
      </c>
      <c r="B1406" s="14" t="str">
        <f>VLOOKUP(P1406,'护理记录单文书字典(数据)'!B$4:C$99,2,0)</f>
        <v>CECCF7340CFAB211B59F8A108DB59D22</v>
      </c>
      <c r="C1406" s="75" t="s">
        <v>4030</v>
      </c>
      <c r="D1406" s="75" t="s">
        <v>1237</v>
      </c>
      <c r="E1406" s="92" t="s">
        <v>2052</v>
      </c>
      <c r="F1406" s="92">
        <v>1</v>
      </c>
      <c r="G1406" s="75">
        <v>1</v>
      </c>
      <c r="H1406" s="75" t="s">
        <v>1236</v>
      </c>
      <c r="I1406" s="75"/>
      <c r="J1406" s="75"/>
      <c r="K1406" s="75" t="s">
        <v>162</v>
      </c>
      <c r="L1406" s="75" t="s">
        <v>509</v>
      </c>
      <c r="M1406" s="75" t="s">
        <v>535</v>
      </c>
      <c r="N1406" s="75" t="s">
        <v>509</v>
      </c>
      <c r="O1406" s="75" t="s">
        <v>535</v>
      </c>
      <c r="P1406" s="75" t="s">
        <v>926</v>
      </c>
    </row>
    <row r="1407" spans="1:16">
      <c r="A1407" s="63" t="s">
        <v>4282</v>
      </c>
      <c r="B1407" s="14" t="str">
        <f>VLOOKUP(P1407,'护理记录单文书字典(数据)'!B$4:C$99,2,0)</f>
        <v>CECCF7340CFAB211B59F8A108DB59D22</v>
      </c>
      <c r="C1407" s="75" t="s">
        <v>4031</v>
      </c>
      <c r="D1407" s="75" t="s">
        <v>1242</v>
      </c>
      <c r="E1407" s="92" t="s">
        <v>2052</v>
      </c>
      <c r="F1407" s="92">
        <v>1</v>
      </c>
      <c r="G1407" s="75">
        <v>1</v>
      </c>
      <c r="H1407" s="75" t="s">
        <v>1241</v>
      </c>
      <c r="I1407" s="75"/>
      <c r="J1407" s="75"/>
      <c r="K1407" s="75" t="s">
        <v>162</v>
      </c>
      <c r="L1407" s="75" t="s">
        <v>509</v>
      </c>
      <c r="M1407" s="75" t="s">
        <v>535</v>
      </c>
      <c r="N1407" s="75" t="s">
        <v>509</v>
      </c>
      <c r="O1407" s="75" t="s">
        <v>535</v>
      </c>
      <c r="P1407" s="75" t="s">
        <v>926</v>
      </c>
    </row>
    <row r="1408" spans="1:16">
      <c r="A1408" s="63" t="s">
        <v>4282</v>
      </c>
      <c r="B1408" s="14" t="str">
        <f>VLOOKUP(P1408,'护理记录单文书字典(数据)'!B$4:C$99,2,0)</f>
        <v>CECCF7340CFAB211B59F8A108DB59D22</v>
      </c>
      <c r="C1408" s="75" t="s">
        <v>2105</v>
      </c>
      <c r="D1408" s="75" t="s">
        <v>2103</v>
      </c>
      <c r="E1408" s="92" t="s">
        <v>2104</v>
      </c>
      <c r="F1408" s="92">
        <v>1</v>
      </c>
      <c r="G1408" s="75">
        <v>1</v>
      </c>
      <c r="H1408" s="75"/>
      <c r="I1408" s="75"/>
      <c r="J1408" s="75"/>
      <c r="K1408" s="75" t="s">
        <v>162</v>
      </c>
      <c r="L1408" s="75" t="s">
        <v>509</v>
      </c>
      <c r="M1408" s="75" t="s">
        <v>535</v>
      </c>
      <c r="N1408" s="75" t="s">
        <v>509</v>
      </c>
      <c r="O1408" s="75" t="s">
        <v>535</v>
      </c>
      <c r="P1408" s="75" t="s">
        <v>926</v>
      </c>
    </row>
    <row r="1409" spans="1:16">
      <c r="A1409" s="63" t="s">
        <v>4282</v>
      </c>
      <c r="B1409" s="14" t="str">
        <f>VLOOKUP(P1409,'护理记录单文书字典(数据)'!B$4:C$99,2,0)</f>
        <v>20AFDB340CFAB211B39272ABF357F31C</v>
      </c>
      <c r="C1409" s="75" t="s">
        <v>2046</v>
      </c>
      <c r="D1409" s="75" t="s">
        <v>2047</v>
      </c>
      <c r="E1409" s="92" t="s">
        <v>2048</v>
      </c>
      <c r="F1409" s="92">
        <v>1</v>
      </c>
      <c r="G1409" s="75">
        <v>1</v>
      </c>
      <c r="H1409" s="75"/>
      <c r="I1409" s="75"/>
      <c r="J1409" s="75"/>
      <c r="K1409" s="75" t="s">
        <v>162</v>
      </c>
      <c r="L1409" s="75" t="s">
        <v>509</v>
      </c>
      <c r="M1409" s="75" t="s">
        <v>535</v>
      </c>
      <c r="N1409" s="75" t="s">
        <v>509</v>
      </c>
      <c r="O1409" s="75" t="s">
        <v>535</v>
      </c>
      <c r="P1409" s="75" t="s">
        <v>851</v>
      </c>
    </row>
    <row r="1410" spans="1:16">
      <c r="A1410" s="63" t="s">
        <v>4282</v>
      </c>
      <c r="B1410" s="14" t="str">
        <f>VLOOKUP(P1410,'护理记录单文书字典(数据)'!B$4:C$99,2,0)</f>
        <v>20AFDB340CFAB211B39272ABF357F31C</v>
      </c>
      <c r="C1410" s="75" t="s">
        <v>4032</v>
      </c>
      <c r="D1410" s="75" t="s">
        <v>1012</v>
      </c>
      <c r="E1410" s="92" t="s">
        <v>2052</v>
      </c>
      <c r="F1410" s="92">
        <v>1</v>
      </c>
      <c r="G1410" s="75">
        <v>1</v>
      </c>
      <c r="H1410" s="75" t="s">
        <v>1011</v>
      </c>
      <c r="I1410" s="75"/>
      <c r="J1410" s="75"/>
      <c r="K1410" s="75" t="s">
        <v>162</v>
      </c>
      <c r="L1410" s="75" t="s">
        <v>509</v>
      </c>
      <c r="M1410" s="75" t="s">
        <v>535</v>
      </c>
      <c r="N1410" s="75" t="s">
        <v>509</v>
      </c>
      <c r="O1410" s="75" t="s">
        <v>535</v>
      </c>
      <c r="P1410" s="75" t="s">
        <v>851</v>
      </c>
    </row>
    <row r="1411" spans="1:16">
      <c r="A1411" s="63" t="s">
        <v>4282</v>
      </c>
      <c r="B1411" s="14" t="str">
        <f>VLOOKUP(P1411,'护理记录单文书字典(数据)'!B$4:C$99,2,0)</f>
        <v>20AFDB340CFAB211B39272ABF357F31C</v>
      </c>
      <c r="C1411" s="75" t="s">
        <v>4033</v>
      </c>
      <c r="D1411" s="75" t="s">
        <v>4034</v>
      </c>
      <c r="E1411" s="92" t="s">
        <v>2052</v>
      </c>
      <c r="F1411" s="92">
        <v>1</v>
      </c>
      <c r="G1411" s="75">
        <v>1</v>
      </c>
      <c r="H1411" s="75" t="s">
        <v>1016</v>
      </c>
      <c r="I1411" s="75"/>
      <c r="J1411" s="75"/>
      <c r="K1411" s="75" t="s">
        <v>162</v>
      </c>
      <c r="L1411" s="75" t="s">
        <v>509</v>
      </c>
      <c r="M1411" s="75" t="s">
        <v>535</v>
      </c>
      <c r="N1411" s="75" t="s">
        <v>509</v>
      </c>
      <c r="O1411" s="75" t="s">
        <v>535</v>
      </c>
      <c r="P1411" s="75" t="s">
        <v>851</v>
      </c>
    </row>
    <row r="1412" spans="1:16">
      <c r="A1412" s="63" t="s">
        <v>4282</v>
      </c>
      <c r="B1412" s="14" t="str">
        <f>VLOOKUP(P1412,'护理记录单文书字典(数据)'!B$4:C$99,2,0)</f>
        <v>20AFDB340CFAB211B39272ABF357F31C</v>
      </c>
      <c r="C1412" s="75" t="s">
        <v>4035</v>
      </c>
      <c r="D1412" s="75" t="s">
        <v>4036</v>
      </c>
      <c r="E1412" s="92" t="s">
        <v>2052</v>
      </c>
      <c r="F1412" s="92">
        <v>1</v>
      </c>
      <c r="G1412" s="75">
        <v>1</v>
      </c>
      <c r="H1412" s="75" t="s">
        <v>1016</v>
      </c>
      <c r="I1412" s="75"/>
      <c r="J1412" s="75"/>
      <c r="K1412" s="75" t="s">
        <v>162</v>
      </c>
      <c r="L1412" s="75" t="s">
        <v>509</v>
      </c>
      <c r="M1412" s="75" t="s">
        <v>535</v>
      </c>
      <c r="N1412" s="75" t="s">
        <v>509</v>
      </c>
      <c r="O1412" s="75" t="s">
        <v>535</v>
      </c>
      <c r="P1412" s="75" t="s">
        <v>851</v>
      </c>
    </row>
    <row r="1413" spans="1:16">
      <c r="A1413" s="63" t="s">
        <v>4282</v>
      </c>
      <c r="B1413" s="14" t="str">
        <f>VLOOKUP(P1413,'护理记录单文书字典(数据)'!B$4:C$99,2,0)</f>
        <v>20AFDB340CFAB211B39272ABF357F31C</v>
      </c>
      <c r="C1413" s="159" t="s">
        <v>4664</v>
      </c>
      <c r="D1413" s="75" t="s">
        <v>4037</v>
      </c>
      <c r="E1413" s="92" t="s">
        <v>2052</v>
      </c>
      <c r="F1413" s="92">
        <v>1</v>
      </c>
      <c r="G1413" s="75">
        <v>1</v>
      </c>
      <c r="H1413" s="75" t="s">
        <v>1016</v>
      </c>
      <c r="I1413" s="75"/>
      <c r="J1413" s="75"/>
      <c r="K1413" s="75" t="s">
        <v>162</v>
      </c>
      <c r="L1413" s="75" t="s">
        <v>509</v>
      </c>
      <c r="M1413" s="75" t="s">
        <v>535</v>
      </c>
      <c r="N1413" s="75" t="s">
        <v>509</v>
      </c>
      <c r="O1413" s="75" t="s">
        <v>535</v>
      </c>
      <c r="P1413" s="75" t="s">
        <v>851</v>
      </c>
    </row>
    <row r="1414" spans="1:16">
      <c r="A1414" s="63" t="s">
        <v>4282</v>
      </c>
      <c r="B1414" s="14" t="str">
        <f>VLOOKUP(P1414,'护理记录单文书字典(数据)'!B$4:C$99,2,0)</f>
        <v>20AFDB340CFAB211B39272ABF357F31C</v>
      </c>
      <c r="C1414" s="75" t="s">
        <v>4038</v>
      </c>
      <c r="D1414" s="75" t="s">
        <v>4039</v>
      </c>
      <c r="E1414" s="92" t="s">
        <v>2052</v>
      </c>
      <c r="F1414" s="92">
        <v>1</v>
      </c>
      <c r="G1414" s="75">
        <v>1</v>
      </c>
      <c r="H1414" s="75" t="s">
        <v>1021</v>
      </c>
      <c r="I1414" s="75"/>
      <c r="J1414" s="75"/>
      <c r="K1414" s="75" t="s">
        <v>162</v>
      </c>
      <c r="L1414" s="75" t="s">
        <v>509</v>
      </c>
      <c r="M1414" s="75" t="s">
        <v>535</v>
      </c>
      <c r="N1414" s="75" t="s">
        <v>509</v>
      </c>
      <c r="O1414" s="75" t="s">
        <v>535</v>
      </c>
      <c r="P1414" s="75" t="s">
        <v>851</v>
      </c>
    </row>
    <row r="1415" spans="1:16">
      <c r="A1415" s="63" t="s">
        <v>4282</v>
      </c>
      <c r="B1415" s="14" t="str">
        <f>VLOOKUP(P1415,'护理记录单文书字典(数据)'!B$4:C$99,2,0)</f>
        <v>20AFDB340CFAB211B39272ABF357F31C</v>
      </c>
      <c r="C1415" s="75" t="s">
        <v>4040</v>
      </c>
      <c r="D1415" s="75" t="s">
        <v>1042</v>
      </c>
      <c r="E1415" s="92" t="s">
        <v>2052</v>
      </c>
      <c r="F1415" s="92">
        <v>1</v>
      </c>
      <c r="G1415" s="75">
        <v>1</v>
      </c>
      <c r="H1415" s="75" t="s">
        <v>1041</v>
      </c>
      <c r="I1415" s="75"/>
      <c r="J1415" s="75"/>
      <c r="K1415" s="75" t="s">
        <v>162</v>
      </c>
      <c r="L1415" s="75" t="s">
        <v>509</v>
      </c>
      <c r="M1415" s="75" t="s">
        <v>535</v>
      </c>
      <c r="N1415" s="75" t="s">
        <v>509</v>
      </c>
      <c r="O1415" s="75" t="s">
        <v>535</v>
      </c>
      <c r="P1415" s="75" t="s">
        <v>851</v>
      </c>
    </row>
    <row r="1416" spans="1:16">
      <c r="A1416" s="63" t="s">
        <v>4282</v>
      </c>
      <c r="B1416" s="14" t="str">
        <f>VLOOKUP(P1416,'护理记录单文书字典(数据)'!B$4:C$99,2,0)</f>
        <v>20AFDB340CFAB211B39272ABF357F31C</v>
      </c>
      <c r="C1416" s="75" t="s">
        <v>4041</v>
      </c>
      <c r="D1416" s="75" t="s">
        <v>1047</v>
      </c>
      <c r="E1416" s="92" t="s">
        <v>2052</v>
      </c>
      <c r="F1416" s="92">
        <v>1</v>
      </c>
      <c r="G1416" s="75">
        <v>1</v>
      </c>
      <c r="H1416" s="75" t="s">
        <v>1046</v>
      </c>
      <c r="I1416" s="75"/>
      <c r="J1416" s="75"/>
      <c r="K1416" s="75" t="s">
        <v>162</v>
      </c>
      <c r="L1416" s="75" t="s">
        <v>509</v>
      </c>
      <c r="M1416" s="75" t="s">
        <v>535</v>
      </c>
      <c r="N1416" s="75" t="s">
        <v>509</v>
      </c>
      <c r="O1416" s="75" t="s">
        <v>535</v>
      </c>
      <c r="P1416" s="75" t="s">
        <v>851</v>
      </c>
    </row>
    <row r="1417" spans="1:16">
      <c r="A1417" s="63" t="s">
        <v>4282</v>
      </c>
      <c r="B1417" s="14" t="str">
        <f>VLOOKUP(P1417,'护理记录单文书字典(数据)'!B$4:C$99,2,0)</f>
        <v>20AFDB340CFAB211B39272ABF357F31C</v>
      </c>
      <c r="C1417" s="75" t="s">
        <v>2100</v>
      </c>
      <c r="D1417" s="75" t="s">
        <v>1052</v>
      </c>
      <c r="E1417" s="92" t="s">
        <v>2052</v>
      </c>
      <c r="F1417" s="92">
        <v>1</v>
      </c>
      <c r="G1417" s="75">
        <v>1</v>
      </c>
      <c r="H1417" s="75" t="s">
        <v>1051</v>
      </c>
      <c r="I1417" s="75"/>
      <c r="J1417" s="75"/>
      <c r="K1417" s="75" t="s">
        <v>162</v>
      </c>
      <c r="L1417" s="75" t="s">
        <v>509</v>
      </c>
      <c r="M1417" s="75" t="s">
        <v>535</v>
      </c>
      <c r="N1417" s="75" t="s">
        <v>509</v>
      </c>
      <c r="O1417" s="75" t="s">
        <v>535</v>
      </c>
      <c r="P1417" s="75" t="s">
        <v>851</v>
      </c>
    </row>
    <row r="1418" spans="1:16">
      <c r="A1418" s="63" t="s">
        <v>4282</v>
      </c>
      <c r="B1418" s="14" t="str">
        <f>VLOOKUP(P1418,'护理记录单文书字典(数据)'!B$4:C$99,2,0)</f>
        <v>20AFDB340CFAB211B39272ABF357F31C</v>
      </c>
      <c r="C1418" s="75" t="s">
        <v>4042</v>
      </c>
      <c r="D1418" s="75" t="s">
        <v>1054</v>
      </c>
      <c r="E1418" s="92" t="s">
        <v>2052</v>
      </c>
      <c r="F1418" s="92">
        <v>1</v>
      </c>
      <c r="G1418" s="75">
        <v>1</v>
      </c>
      <c r="H1418" s="75" t="s">
        <v>1053</v>
      </c>
      <c r="I1418" s="75"/>
      <c r="J1418" s="75"/>
      <c r="K1418" s="75" t="s">
        <v>162</v>
      </c>
      <c r="L1418" s="75" t="s">
        <v>509</v>
      </c>
      <c r="M1418" s="75" t="s">
        <v>535</v>
      </c>
      <c r="N1418" s="75" t="s">
        <v>509</v>
      </c>
      <c r="O1418" s="75" t="s">
        <v>535</v>
      </c>
      <c r="P1418" s="75" t="s">
        <v>851</v>
      </c>
    </row>
    <row r="1419" spans="1:16">
      <c r="A1419" s="63" t="s">
        <v>4282</v>
      </c>
      <c r="B1419" s="14" t="str">
        <f>VLOOKUP(P1419,'护理记录单文书字典(数据)'!B$4:C$99,2,0)</f>
        <v>20AFDB340CFAB211B39272ABF357F31C</v>
      </c>
      <c r="C1419" s="75" t="s">
        <v>4043</v>
      </c>
      <c r="D1419" s="75" t="s">
        <v>1059</v>
      </c>
      <c r="E1419" s="92" t="s">
        <v>2052</v>
      </c>
      <c r="F1419" s="92">
        <v>1</v>
      </c>
      <c r="G1419" s="75">
        <v>1</v>
      </c>
      <c r="H1419" s="75" t="s">
        <v>1058</v>
      </c>
      <c r="I1419" s="75"/>
      <c r="J1419" s="75"/>
      <c r="K1419" s="75" t="s">
        <v>162</v>
      </c>
      <c r="L1419" s="75" t="s">
        <v>509</v>
      </c>
      <c r="M1419" s="75" t="s">
        <v>535</v>
      </c>
      <c r="N1419" s="75" t="s">
        <v>509</v>
      </c>
      <c r="O1419" s="75" t="s">
        <v>535</v>
      </c>
      <c r="P1419" s="75" t="s">
        <v>851</v>
      </c>
    </row>
    <row r="1420" spans="1:16">
      <c r="A1420" s="63" t="s">
        <v>4282</v>
      </c>
      <c r="B1420" s="14" t="str">
        <f>VLOOKUP(P1420,'护理记录单文书字典(数据)'!B$4:C$99,2,0)</f>
        <v>20AFDB340CFAB211B39272ABF357F31C</v>
      </c>
      <c r="C1420" s="75" t="s">
        <v>2055</v>
      </c>
      <c r="D1420" s="75" t="s">
        <v>1063</v>
      </c>
      <c r="E1420" s="92" t="s">
        <v>2052</v>
      </c>
      <c r="F1420" s="92">
        <v>1</v>
      </c>
      <c r="G1420" s="75">
        <v>1</v>
      </c>
      <c r="H1420" s="75" t="s">
        <v>1062</v>
      </c>
      <c r="I1420" s="75"/>
      <c r="J1420" s="75"/>
      <c r="K1420" s="75" t="s">
        <v>162</v>
      </c>
      <c r="L1420" s="75" t="s">
        <v>509</v>
      </c>
      <c r="M1420" s="75" t="s">
        <v>535</v>
      </c>
      <c r="N1420" s="75" t="s">
        <v>509</v>
      </c>
      <c r="O1420" s="75" t="s">
        <v>535</v>
      </c>
      <c r="P1420" s="75" t="s">
        <v>851</v>
      </c>
    </row>
    <row r="1421" spans="1:16">
      <c r="A1421" s="63" t="s">
        <v>4282</v>
      </c>
      <c r="B1421" s="14" t="str">
        <f>VLOOKUP(P1421,'护理记录单文书字典(数据)'!B$4:C$99,2,0)</f>
        <v>20AFDB340CFAB211B39272ABF357F31C</v>
      </c>
      <c r="C1421" s="75" t="s">
        <v>4044</v>
      </c>
      <c r="D1421" s="75" t="s">
        <v>4045</v>
      </c>
      <c r="E1421" s="92" t="s">
        <v>2052</v>
      </c>
      <c r="F1421" s="92">
        <v>1</v>
      </c>
      <c r="G1421" s="75">
        <v>1</v>
      </c>
      <c r="H1421" s="75" t="s">
        <v>1066</v>
      </c>
      <c r="I1421" s="75"/>
      <c r="J1421" s="75"/>
      <c r="K1421" s="75" t="s">
        <v>162</v>
      </c>
      <c r="L1421" s="75" t="s">
        <v>509</v>
      </c>
      <c r="M1421" s="75" t="s">
        <v>535</v>
      </c>
      <c r="N1421" s="75" t="s">
        <v>509</v>
      </c>
      <c r="O1421" s="75" t="s">
        <v>535</v>
      </c>
      <c r="P1421" s="75" t="s">
        <v>851</v>
      </c>
    </row>
    <row r="1422" spans="1:16">
      <c r="A1422" s="63" t="s">
        <v>4282</v>
      </c>
      <c r="B1422" s="14" t="str">
        <f>VLOOKUP(P1422,'护理记录单文书字典(数据)'!B$4:C$99,2,0)</f>
        <v>20AFDB340CFAB211B39272ABF357F31C</v>
      </c>
      <c r="C1422" s="75" t="s">
        <v>2057</v>
      </c>
      <c r="D1422" s="75" t="s">
        <v>1070</v>
      </c>
      <c r="E1422" s="92" t="s">
        <v>2052</v>
      </c>
      <c r="F1422" s="92">
        <v>1</v>
      </c>
      <c r="G1422" s="75">
        <v>1</v>
      </c>
      <c r="H1422" s="75" t="s">
        <v>1069</v>
      </c>
      <c r="I1422" s="75"/>
      <c r="J1422" s="75"/>
      <c r="K1422" s="75" t="s">
        <v>162</v>
      </c>
      <c r="L1422" s="75" t="s">
        <v>509</v>
      </c>
      <c r="M1422" s="75" t="s">
        <v>535</v>
      </c>
      <c r="N1422" s="75" t="s">
        <v>509</v>
      </c>
      <c r="O1422" s="75" t="s">
        <v>535</v>
      </c>
      <c r="P1422" s="75" t="s">
        <v>851</v>
      </c>
    </row>
    <row r="1423" spans="1:16">
      <c r="A1423" s="63" t="s">
        <v>4282</v>
      </c>
      <c r="B1423" s="14" t="str">
        <f>VLOOKUP(P1423,'护理记录单文书字典(数据)'!B$4:C$99,2,0)</f>
        <v>20AFDB340CFAB211B39272ABF357F31C</v>
      </c>
      <c r="C1423" s="75" t="s">
        <v>4046</v>
      </c>
      <c r="D1423" s="75" t="s">
        <v>1026</v>
      </c>
      <c r="E1423" s="92" t="s">
        <v>2052</v>
      </c>
      <c r="F1423" s="92">
        <v>1</v>
      </c>
      <c r="G1423" s="75">
        <v>1</v>
      </c>
      <c r="H1423" s="75" t="s">
        <v>1025</v>
      </c>
      <c r="I1423" s="75"/>
      <c r="J1423" s="75"/>
      <c r="K1423" s="75" t="s">
        <v>162</v>
      </c>
      <c r="L1423" s="75" t="s">
        <v>509</v>
      </c>
      <c r="M1423" s="75" t="s">
        <v>535</v>
      </c>
      <c r="N1423" s="75" t="s">
        <v>509</v>
      </c>
      <c r="O1423" s="75" t="s">
        <v>535</v>
      </c>
      <c r="P1423" s="75" t="s">
        <v>851</v>
      </c>
    </row>
    <row r="1424" spans="1:16">
      <c r="A1424" s="63" t="s">
        <v>4282</v>
      </c>
      <c r="B1424" s="14" t="str">
        <f>VLOOKUP(P1424,'护理记录单文书字典(数据)'!B$4:C$99,2,0)</f>
        <v>20AFDB340CFAB211B39272ABF357F31C</v>
      </c>
      <c r="C1424" s="75" t="s">
        <v>4047</v>
      </c>
      <c r="D1424" s="159" t="s">
        <v>1031</v>
      </c>
      <c r="E1424" s="92" t="s">
        <v>2052</v>
      </c>
      <c r="F1424" s="92">
        <v>1</v>
      </c>
      <c r="G1424" s="75">
        <v>1</v>
      </c>
      <c r="H1424" s="159" t="s">
        <v>4648</v>
      </c>
      <c r="I1424" s="75"/>
      <c r="J1424" s="75"/>
      <c r="K1424" s="75" t="s">
        <v>162</v>
      </c>
      <c r="L1424" s="75" t="s">
        <v>509</v>
      </c>
      <c r="M1424" s="75" t="s">
        <v>535</v>
      </c>
      <c r="N1424" s="75" t="s">
        <v>509</v>
      </c>
      <c r="O1424" s="75" t="s">
        <v>535</v>
      </c>
      <c r="P1424" s="75" t="s">
        <v>851</v>
      </c>
    </row>
    <row r="1425" spans="1:16">
      <c r="A1425" s="63" t="s">
        <v>4282</v>
      </c>
      <c r="B1425" s="14" t="str">
        <f>VLOOKUP(P1425,'护理记录单文书字典(数据)'!B$4:C$99,2,0)</f>
        <v>20AFDB340CFAB211B39272ABF357F31C</v>
      </c>
      <c r="C1425" s="75" t="s">
        <v>4048</v>
      </c>
      <c r="D1425" s="75" t="s">
        <v>1036</v>
      </c>
      <c r="E1425" s="92" t="s">
        <v>2052</v>
      </c>
      <c r="F1425" s="92">
        <v>1</v>
      </c>
      <c r="G1425" s="75">
        <v>1</v>
      </c>
      <c r="H1425" s="75" t="s">
        <v>1035</v>
      </c>
      <c r="I1425" s="75"/>
      <c r="J1425" s="75"/>
      <c r="K1425" s="75" t="s">
        <v>162</v>
      </c>
      <c r="L1425" s="75" t="s">
        <v>509</v>
      </c>
      <c r="M1425" s="75" t="s">
        <v>535</v>
      </c>
      <c r="N1425" s="75" t="s">
        <v>509</v>
      </c>
      <c r="O1425" s="75" t="s">
        <v>535</v>
      </c>
      <c r="P1425" s="75" t="s">
        <v>851</v>
      </c>
    </row>
    <row r="1426" spans="1:16">
      <c r="A1426" s="63" t="s">
        <v>4282</v>
      </c>
      <c r="B1426" s="14" t="str">
        <f>VLOOKUP(P1426,'护理记录单文书字典(数据)'!B$4:C$99,2,0)</f>
        <v>20AFDB340CFAB211B39272ABF357F31C</v>
      </c>
      <c r="C1426" s="75" t="s">
        <v>4049</v>
      </c>
      <c r="D1426" s="75" t="s">
        <v>1072</v>
      </c>
      <c r="E1426" s="92" t="s">
        <v>2052</v>
      </c>
      <c r="F1426" s="92">
        <v>1</v>
      </c>
      <c r="G1426" s="75">
        <v>1</v>
      </c>
      <c r="H1426" s="75" t="s">
        <v>1071</v>
      </c>
      <c r="I1426" s="75"/>
      <c r="J1426" s="75"/>
      <c r="K1426" s="75" t="s">
        <v>162</v>
      </c>
      <c r="L1426" s="75" t="s">
        <v>509</v>
      </c>
      <c r="M1426" s="75" t="s">
        <v>535</v>
      </c>
      <c r="N1426" s="75" t="s">
        <v>509</v>
      </c>
      <c r="O1426" s="75" t="s">
        <v>535</v>
      </c>
      <c r="P1426" s="75" t="s">
        <v>851</v>
      </c>
    </row>
    <row r="1427" spans="1:16">
      <c r="A1427" s="63" t="s">
        <v>4282</v>
      </c>
      <c r="B1427" s="14" t="str">
        <f>VLOOKUP(P1427,'护理记录单文书字典(数据)'!B$4:C$99,2,0)</f>
        <v>20AFDB340CFAB211B39272ABF357F31C</v>
      </c>
      <c r="C1427" s="75" t="s">
        <v>4050</v>
      </c>
      <c r="D1427" s="75" t="s">
        <v>4051</v>
      </c>
      <c r="E1427" s="92" t="s">
        <v>2052</v>
      </c>
      <c r="F1427" s="92">
        <v>1</v>
      </c>
      <c r="G1427" s="75">
        <v>1</v>
      </c>
      <c r="H1427" s="75" t="s">
        <v>1075</v>
      </c>
      <c r="I1427" s="75"/>
      <c r="J1427" s="75"/>
      <c r="K1427" s="75" t="s">
        <v>162</v>
      </c>
      <c r="L1427" s="75" t="s">
        <v>509</v>
      </c>
      <c r="M1427" s="75" t="s">
        <v>535</v>
      </c>
      <c r="N1427" s="75" t="s">
        <v>509</v>
      </c>
      <c r="O1427" s="75" t="s">
        <v>535</v>
      </c>
      <c r="P1427" s="75" t="s">
        <v>851</v>
      </c>
    </row>
    <row r="1428" spans="1:16">
      <c r="A1428" s="63" t="s">
        <v>4282</v>
      </c>
      <c r="B1428" s="14" t="str">
        <f>VLOOKUP(P1428,'护理记录单文书字典(数据)'!B$4:C$99,2,0)</f>
        <v>20AFDB340CFAB211B39272ABF357F31C</v>
      </c>
      <c r="C1428" s="75" t="s">
        <v>4052</v>
      </c>
      <c r="D1428" s="75" t="s">
        <v>4053</v>
      </c>
      <c r="E1428" s="92" t="s">
        <v>2052</v>
      </c>
      <c r="F1428" s="92">
        <v>1</v>
      </c>
      <c r="G1428" s="75">
        <v>1</v>
      </c>
      <c r="H1428" s="75" t="s">
        <v>1081</v>
      </c>
      <c r="I1428" s="75"/>
      <c r="J1428" s="75"/>
      <c r="K1428" s="75" t="s">
        <v>162</v>
      </c>
      <c r="L1428" s="75" t="s">
        <v>509</v>
      </c>
      <c r="M1428" s="75" t="s">
        <v>535</v>
      </c>
      <c r="N1428" s="75" t="s">
        <v>509</v>
      </c>
      <c r="O1428" s="75" t="s">
        <v>535</v>
      </c>
      <c r="P1428" s="75" t="s">
        <v>851</v>
      </c>
    </row>
    <row r="1429" spans="1:16">
      <c r="A1429" s="63" t="s">
        <v>4282</v>
      </c>
      <c r="B1429" s="14" t="str">
        <f>VLOOKUP(P1429,'护理记录单文书字典(数据)'!B$4:C$99,2,0)</f>
        <v>20AFDB340CFAB211B39272ABF357F31C</v>
      </c>
      <c r="C1429" s="75" t="s">
        <v>2105</v>
      </c>
      <c r="D1429" s="75" t="s">
        <v>2103</v>
      </c>
      <c r="E1429" s="92" t="s">
        <v>2104</v>
      </c>
      <c r="F1429" s="92">
        <v>1</v>
      </c>
      <c r="G1429" s="75">
        <v>1</v>
      </c>
      <c r="H1429" s="75"/>
      <c r="I1429" s="75"/>
      <c r="J1429" s="75"/>
      <c r="K1429" s="75" t="s">
        <v>162</v>
      </c>
      <c r="L1429" s="75" t="s">
        <v>509</v>
      </c>
      <c r="M1429" s="75" t="s">
        <v>535</v>
      </c>
      <c r="N1429" s="75" t="s">
        <v>509</v>
      </c>
      <c r="O1429" s="75" t="s">
        <v>535</v>
      </c>
      <c r="P1429" s="75" t="s">
        <v>851</v>
      </c>
    </row>
    <row r="1430" spans="1:16">
      <c r="A1430" s="63"/>
      <c r="B1430" s="75"/>
      <c r="C1430" s="75"/>
      <c r="D1430" s="75"/>
      <c r="E1430" s="92"/>
      <c r="F1430" s="92"/>
      <c r="G1430" s="75"/>
      <c r="H1430" s="75"/>
      <c r="I1430" s="75"/>
      <c r="J1430" s="75"/>
      <c r="K1430" s="75"/>
      <c r="L1430" s="75"/>
      <c r="M1430" s="75"/>
      <c r="N1430" s="75"/>
      <c r="O1430" s="75"/>
      <c r="P1430" s="75"/>
    </row>
    <row r="1431" spans="1:16">
      <c r="A1431" s="63"/>
      <c r="B1431" s="75"/>
      <c r="C1431" s="75"/>
      <c r="D1431" s="75"/>
      <c r="E1431" s="92"/>
      <c r="F1431" s="92"/>
      <c r="G1431" s="75"/>
      <c r="H1431" s="75"/>
      <c r="I1431" s="75"/>
      <c r="J1431" s="75"/>
      <c r="K1431" s="75"/>
      <c r="L1431" s="75"/>
      <c r="M1431" s="75"/>
      <c r="N1431" s="75"/>
      <c r="O1431" s="75"/>
      <c r="P1431" s="75"/>
    </row>
    <row r="1432" spans="1:16">
      <c r="A1432" s="63"/>
      <c r="B1432" s="75"/>
      <c r="C1432" s="75"/>
      <c r="D1432" s="75"/>
      <c r="E1432" s="92"/>
      <c r="F1432" s="92"/>
      <c r="G1432" s="75"/>
      <c r="H1432" s="75"/>
      <c r="I1432" s="75"/>
      <c r="J1432" s="75"/>
      <c r="K1432" s="75"/>
      <c r="L1432" s="75"/>
      <c r="M1432" s="75"/>
      <c r="N1432" s="75"/>
      <c r="O1432" s="75"/>
      <c r="P1432" s="75"/>
    </row>
    <row r="1433" spans="1:16">
      <c r="A1433" s="63"/>
      <c r="B1433" s="75"/>
      <c r="C1433" s="75"/>
      <c r="D1433" s="75"/>
      <c r="E1433" s="92"/>
      <c r="F1433" s="92"/>
      <c r="G1433" s="75"/>
      <c r="H1433" s="75"/>
      <c r="I1433" s="75"/>
      <c r="J1433" s="75"/>
      <c r="K1433" s="75"/>
      <c r="L1433" s="75"/>
      <c r="M1433" s="75"/>
      <c r="N1433" s="75"/>
      <c r="O1433" s="75"/>
      <c r="P1433" s="75"/>
    </row>
    <row r="1434" spans="1:16">
      <c r="A1434" s="63"/>
      <c r="B1434" s="75"/>
      <c r="C1434" s="75"/>
      <c r="D1434" s="75"/>
      <c r="E1434" s="92"/>
      <c r="F1434" s="92"/>
      <c r="G1434" s="75"/>
      <c r="H1434" s="75"/>
      <c r="I1434" s="75"/>
      <c r="J1434" s="75"/>
      <c r="K1434" s="75"/>
      <c r="L1434" s="75"/>
      <c r="M1434" s="75"/>
      <c r="N1434" s="75"/>
      <c r="O1434" s="75"/>
      <c r="P1434" s="75"/>
    </row>
    <row r="1435" spans="1:16">
      <c r="A1435" s="63"/>
      <c r="B1435" s="75"/>
      <c r="C1435" s="75"/>
      <c r="D1435" s="75"/>
      <c r="E1435" s="92"/>
      <c r="F1435" s="92"/>
      <c r="G1435" s="75"/>
      <c r="H1435" s="75"/>
      <c r="I1435" s="75"/>
      <c r="J1435" s="75"/>
      <c r="K1435" s="75"/>
      <c r="L1435" s="75"/>
      <c r="M1435" s="75"/>
      <c r="N1435" s="75"/>
      <c r="O1435" s="75"/>
      <c r="P1435" s="75"/>
    </row>
    <row r="1436" spans="1:16">
      <c r="A1436" s="63"/>
      <c r="B1436" s="75"/>
      <c r="C1436" s="75"/>
      <c r="D1436" s="75"/>
      <c r="E1436" s="92"/>
      <c r="F1436" s="92"/>
      <c r="G1436" s="75"/>
      <c r="H1436" s="75"/>
      <c r="I1436" s="75"/>
      <c r="J1436" s="75"/>
      <c r="K1436" s="75"/>
      <c r="L1436" s="75"/>
      <c r="M1436" s="75"/>
      <c r="N1436" s="75"/>
      <c r="O1436" s="75"/>
      <c r="P1436" s="75"/>
    </row>
    <row r="1437" spans="1:16">
      <c r="A1437" s="63"/>
      <c r="B1437" s="75"/>
      <c r="C1437" s="75"/>
      <c r="D1437" s="75"/>
      <c r="E1437" s="92"/>
      <c r="F1437" s="92"/>
      <c r="G1437" s="75"/>
      <c r="H1437" s="75"/>
      <c r="I1437" s="75"/>
      <c r="J1437" s="75"/>
      <c r="K1437" s="75"/>
      <c r="L1437" s="75"/>
      <c r="M1437" s="75"/>
      <c r="N1437" s="75"/>
      <c r="O1437" s="75"/>
      <c r="P1437" s="75"/>
    </row>
    <row r="1438" spans="1:16">
      <c r="A1438" s="63"/>
      <c r="B1438" s="75"/>
      <c r="C1438" s="75"/>
      <c r="D1438" s="75"/>
      <c r="E1438" s="92"/>
      <c r="F1438" s="92"/>
      <c r="G1438" s="75"/>
      <c r="H1438" s="75"/>
      <c r="I1438" s="75"/>
      <c r="J1438" s="75"/>
      <c r="K1438" s="75"/>
      <c r="L1438" s="75"/>
      <c r="M1438" s="75"/>
      <c r="N1438" s="75"/>
      <c r="O1438" s="75"/>
      <c r="P1438" s="75"/>
    </row>
    <row r="1439" spans="1:16">
      <c r="A1439" s="63"/>
      <c r="B1439" s="75"/>
      <c r="C1439" s="75"/>
      <c r="D1439" s="75"/>
      <c r="E1439" s="92"/>
      <c r="F1439" s="92"/>
      <c r="G1439" s="75"/>
      <c r="H1439" s="75"/>
      <c r="I1439" s="75"/>
      <c r="J1439" s="75"/>
      <c r="K1439" s="75"/>
      <c r="L1439" s="75"/>
      <c r="M1439" s="75"/>
      <c r="N1439" s="75"/>
      <c r="O1439" s="75"/>
      <c r="P1439" s="75"/>
    </row>
    <row r="1440" spans="1:16">
      <c r="A1440" s="63"/>
      <c r="B1440" s="75"/>
      <c r="C1440" s="75"/>
      <c r="D1440" s="75"/>
      <c r="E1440" s="92"/>
      <c r="F1440" s="92"/>
      <c r="G1440" s="75"/>
      <c r="H1440" s="75"/>
      <c r="I1440" s="75"/>
      <c r="J1440" s="75"/>
      <c r="K1440" s="75"/>
      <c r="L1440" s="75"/>
      <c r="M1440" s="75"/>
      <c r="N1440" s="75"/>
      <c r="O1440" s="75"/>
      <c r="P1440" s="75"/>
    </row>
  </sheetData>
  <autoFilter ref="A3:P3"/>
  <phoneticPr fontId="41" type="noConversion"/>
  <hyperlinks>
    <hyperlink ref="B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2433" r:id="rId4" name="Button 1">
              <controlPr defaultSize="0" print="0" autoFill="0" autoPict="0" macro="[0]!insertSql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H20"/>
  <sheetViews>
    <sheetView zoomScale="85" zoomScaleNormal="85" workbookViewId="0">
      <pane ySplit="5" topLeftCell="A6" activePane="bottomLeft" state="frozen"/>
      <selection activeCell="G23" sqref="G23"/>
      <selection pane="bottomLeft" activeCell="G6" sqref="G6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193" t="s">
        <v>0</v>
      </c>
      <c r="C2" s="197"/>
      <c r="E2" s="3"/>
      <c r="F2" s="3" t="s">
        <v>356</v>
      </c>
      <c r="G2" s="3" t="s">
        <v>357</v>
      </c>
      <c r="H2" s="3"/>
    </row>
    <row r="3" spans="1:8">
      <c r="B3" s="5" t="s">
        <v>579</v>
      </c>
      <c r="C3" s="5" t="s">
        <v>577</v>
      </c>
      <c r="D3" s="2" t="s">
        <v>2</v>
      </c>
      <c r="E3" s="3"/>
      <c r="F3" s="3">
        <v>95</v>
      </c>
      <c r="G3" s="2" t="s">
        <v>581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144" t="s">
        <v>317</v>
      </c>
      <c r="E6" s="69" t="s">
        <v>318</v>
      </c>
      <c r="F6" s="25" t="s">
        <v>8</v>
      </c>
      <c r="G6" s="65" t="s">
        <v>2018</v>
      </c>
      <c r="H6" s="68" t="s">
        <v>86</v>
      </c>
    </row>
    <row r="7" spans="1:8" s="15" customFormat="1">
      <c r="A7" s="27">
        <v>2</v>
      </c>
      <c r="B7" s="27" t="s">
        <v>476</v>
      </c>
      <c r="C7" s="28" t="s">
        <v>477</v>
      </c>
      <c r="D7" s="144" t="s">
        <v>317</v>
      </c>
      <c r="E7" s="25" t="s">
        <v>925</v>
      </c>
      <c r="F7" s="25" t="s">
        <v>8</v>
      </c>
      <c r="G7" s="25"/>
      <c r="H7" s="28" t="s">
        <v>489</v>
      </c>
    </row>
    <row r="8" spans="1:8" s="15" customFormat="1">
      <c r="A8" s="63">
        <v>3</v>
      </c>
      <c r="B8" s="27" t="s">
        <v>478</v>
      </c>
      <c r="C8" s="83" t="s">
        <v>479</v>
      </c>
      <c r="D8" s="144" t="s">
        <v>480</v>
      </c>
      <c r="E8" s="25"/>
      <c r="F8" s="25" t="s">
        <v>8</v>
      </c>
      <c r="G8" s="25"/>
      <c r="H8" s="28"/>
    </row>
    <row r="9" spans="1:8" s="15" customFormat="1">
      <c r="A9" s="63">
        <v>3</v>
      </c>
      <c r="B9" s="27" t="s">
        <v>481</v>
      </c>
      <c r="C9" s="83" t="s">
        <v>827</v>
      </c>
      <c r="D9" s="78" t="s">
        <v>146</v>
      </c>
      <c r="E9" s="25"/>
      <c r="F9" s="25"/>
      <c r="G9" s="25"/>
      <c r="H9" s="28"/>
    </row>
    <row r="10" spans="1:8" s="15" customFormat="1">
      <c r="A10" s="63">
        <v>4</v>
      </c>
      <c r="B10" s="27" t="s">
        <v>482</v>
      </c>
      <c r="C10" s="64" t="s">
        <v>483</v>
      </c>
      <c r="D10" s="144" t="s">
        <v>113</v>
      </c>
      <c r="E10" s="25"/>
      <c r="F10" s="25" t="s">
        <v>8</v>
      </c>
      <c r="G10" s="25"/>
      <c r="H10" s="28" t="s">
        <v>828</v>
      </c>
    </row>
    <row r="11" spans="1:8" s="62" customFormat="1">
      <c r="A11" s="63">
        <v>4.7</v>
      </c>
      <c r="B11" s="63" t="s">
        <v>484</v>
      </c>
      <c r="C11" s="64" t="s">
        <v>116</v>
      </c>
      <c r="D11" s="145" t="s">
        <v>443</v>
      </c>
      <c r="E11" s="65"/>
      <c r="F11" s="65" t="s">
        <v>8</v>
      </c>
      <c r="G11" s="65"/>
      <c r="H11" s="64"/>
    </row>
    <row r="12" spans="1:8" s="62" customFormat="1">
      <c r="A12" s="27">
        <v>5.4</v>
      </c>
      <c r="B12" s="63" t="s">
        <v>109</v>
      </c>
      <c r="C12" s="64" t="s">
        <v>115</v>
      </c>
      <c r="D12" s="145" t="s">
        <v>406</v>
      </c>
      <c r="E12" s="65"/>
      <c r="F12" s="65" t="s">
        <v>8</v>
      </c>
      <c r="G12" s="65"/>
      <c r="H12" s="64"/>
    </row>
    <row r="13" spans="1:8" s="62" customFormat="1">
      <c r="A13" s="63">
        <v>6.1</v>
      </c>
      <c r="B13" s="63" t="s">
        <v>411</v>
      </c>
      <c r="C13" s="64" t="s">
        <v>485</v>
      </c>
      <c r="D13" s="144" t="s">
        <v>368</v>
      </c>
      <c r="E13" s="65"/>
      <c r="F13" s="65"/>
      <c r="G13" s="65"/>
      <c r="H13" s="64"/>
    </row>
    <row r="14" spans="1:8" s="147" customFormat="1">
      <c r="A14" s="63">
        <v>6.8</v>
      </c>
      <c r="B14" s="70" t="s">
        <v>486</v>
      </c>
      <c r="C14" s="71" t="s">
        <v>487</v>
      </c>
      <c r="D14" s="146" t="s">
        <v>488</v>
      </c>
      <c r="E14" s="72"/>
      <c r="F14" s="72"/>
      <c r="G14" s="19"/>
      <c r="H14" s="30"/>
    </row>
    <row r="15" spans="1:8" ht="28">
      <c r="A15" s="63">
        <v>7.5</v>
      </c>
      <c r="B15" s="84" t="s">
        <v>384</v>
      </c>
      <c r="C15" s="75" t="s">
        <v>117</v>
      </c>
      <c r="D15" s="80" t="s">
        <v>108</v>
      </c>
      <c r="E15" s="75"/>
      <c r="F15" s="25" t="s">
        <v>8</v>
      </c>
      <c r="G15" s="85" t="s">
        <v>379</v>
      </c>
      <c r="H15" s="76" t="s">
        <v>385</v>
      </c>
    </row>
    <row r="16" spans="1:8">
      <c r="A16" s="63">
        <v>8.1999999999999993</v>
      </c>
      <c r="B16" s="84" t="s">
        <v>129</v>
      </c>
      <c r="C16" s="75" t="s">
        <v>118</v>
      </c>
      <c r="D16" s="80" t="s">
        <v>317</v>
      </c>
      <c r="E16" s="75"/>
      <c r="F16" s="75"/>
      <c r="G16" s="75"/>
      <c r="H16" s="56" t="s">
        <v>386</v>
      </c>
    </row>
    <row r="17" spans="1:8">
      <c r="A17" s="27">
        <v>8.9</v>
      </c>
      <c r="B17" s="84" t="s">
        <v>346</v>
      </c>
      <c r="C17" s="84" t="s">
        <v>921</v>
      </c>
      <c r="D17" s="80" t="s">
        <v>110</v>
      </c>
      <c r="E17" s="75"/>
      <c r="F17" s="25" t="s">
        <v>8</v>
      </c>
      <c r="G17" s="84" t="s">
        <v>387</v>
      </c>
      <c r="H17" s="75"/>
    </row>
    <row r="18" spans="1:8">
      <c r="A18" s="63">
        <v>9.6</v>
      </c>
      <c r="B18" s="84" t="s">
        <v>131</v>
      </c>
      <c r="C18" s="75" t="s">
        <v>119</v>
      </c>
      <c r="D18" s="80" t="s">
        <v>317</v>
      </c>
      <c r="E18" s="75"/>
      <c r="F18" s="75"/>
      <c r="G18" s="75"/>
      <c r="H18" s="56" t="s">
        <v>386</v>
      </c>
    </row>
    <row r="19" spans="1:8">
      <c r="A19" s="63">
        <v>10.3</v>
      </c>
      <c r="B19" s="84" t="s">
        <v>351</v>
      </c>
      <c r="C19" s="75" t="s">
        <v>11</v>
      </c>
      <c r="D19" s="80" t="s">
        <v>110</v>
      </c>
      <c r="E19" s="75"/>
      <c r="F19" s="25" t="s">
        <v>8</v>
      </c>
      <c r="G19" s="84" t="s">
        <v>387</v>
      </c>
      <c r="H19" s="75"/>
    </row>
    <row r="20" spans="1:8">
      <c r="A20" s="63">
        <v>11</v>
      </c>
      <c r="B20" s="75" t="s">
        <v>120</v>
      </c>
      <c r="C20" s="75" t="s">
        <v>94</v>
      </c>
      <c r="D20" s="148" t="s">
        <v>388</v>
      </c>
      <c r="E20" s="75"/>
      <c r="F20" s="75"/>
      <c r="G20" s="75"/>
      <c r="H20" s="75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O1422"/>
  <sheetViews>
    <sheetView tabSelected="1" zoomScale="70" zoomScaleNormal="70" workbookViewId="0">
      <pane ySplit="3" topLeftCell="A4" activePane="bottomLeft" state="frozen"/>
      <selection pane="bottomLeft" activeCell="E24" sqref="E24"/>
    </sheetView>
  </sheetViews>
  <sheetFormatPr defaultColWidth="8.90625" defaultRowHeight="14"/>
  <cols>
    <col min="1" max="1" width="21.08984375" customWidth="1"/>
    <col min="2" max="2" width="38.453125" customWidth="1"/>
    <col min="3" max="3" width="23.90625" customWidth="1"/>
    <col min="4" max="4" width="30.08984375" style="93" customWidth="1"/>
    <col min="5" max="5" width="22" customWidth="1"/>
    <col min="6" max="6" width="14.90625" customWidth="1"/>
    <col min="7" max="7" width="25.08984375" customWidth="1"/>
    <col min="8" max="8" width="11.7265625" bestFit="1" customWidth="1"/>
    <col min="9" max="9" width="11.81640625" customWidth="1"/>
    <col min="10" max="10" width="18.54296875" customWidth="1"/>
    <col min="11" max="11" width="8.26953125" customWidth="1"/>
    <col min="12" max="12" width="22.81640625" customWidth="1"/>
    <col min="13" max="13" width="9.7265625" customWidth="1"/>
    <col min="14" max="14" width="20.54296875" customWidth="1"/>
    <col min="15" max="15" width="25.08984375" customWidth="1"/>
  </cols>
  <sheetData>
    <row r="1" spans="1:15" ht="20.5" customHeight="1">
      <c r="A1" s="74" t="s">
        <v>580</v>
      </c>
      <c r="B1" s="2" t="s">
        <v>2</v>
      </c>
    </row>
    <row r="2" spans="1:15">
      <c r="B2" s="59" t="s">
        <v>510</v>
      </c>
      <c r="C2" s="59" t="s">
        <v>511</v>
      </c>
      <c r="D2" s="59" t="s">
        <v>512</v>
      </c>
      <c r="E2" s="59" t="s">
        <v>513</v>
      </c>
      <c r="F2" s="59" t="s">
        <v>514</v>
      </c>
      <c r="G2" s="59" t="s">
        <v>515</v>
      </c>
      <c r="H2" s="59" t="s">
        <v>516</v>
      </c>
      <c r="I2" s="59" t="s">
        <v>517</v>
      </c>
      <c r="J2" s="59" t="s">
        <v>518</v>
      </c>
      <c r="K2" s="59" t="s">
        <v>519</v>
      </c>
      <c r="L2" s="59" t="s">
        <v>520</v>
      </c>
      <c r="M2" s="59" t="s">
        <v>521</v>
      </c>
      <c r="N2" s="59" t="s">
        <v>522</v>
      </c>
      <c r="O2" s="59" t="s">
        <v>415</v>
      </c>
    </row>
    <row r="3" spans="1:15" s="62" customFormat="1">
      <c r="A3" s="63">
        <v>1</v>
      </c>
      <c r="B3" s="88" t="s">
        <v>523</v>
      </c>
      <c r="C3" s="88" t="s">
        <v>4055</v>
      </c>
      <c r="D3" s="88" t="s">
        <v>524</v>
      </c>
      <c r="E3" s="88" t="s">
        <v>525</v>
      </c>
      <c r="F3" s="88" t="s">
        <v>526</v>
      </c>
      <c r="G3" s="88" t="s">
        <v>527</v>
      </c>
      <c r="H3" s="88" t="s">
        <v>528</v>
      </c>
      <c r="I3" s="88" t="s">
        <v>529</v>
      </c>
      <c r="J3" s="88" t="s">
        <v>530</v>
      </c>
      <c r="K3" s="88" t="s">
        <v>344</v>
      </c>
      <c r="L3" s="88" t="s">
        <v>531</v>
      </c>
      <c r="M3" s="88" t="s">
        <v>532</v>
      </c>
      <c r="N3" s="88" t="s">
        <v>533</v>
      </c>
      <c r="O3" s="88" t="s">
        <v>534</v>
      </c>
    </row>
    <row r="4" spans="1:15">
      <c r="A4" s="63" t="s">
        <v>849</v>
      </c>
      <c r="B4" s="14" t="str">
        <f>VLOOKUP(O4,'护理记录单文书字典(数据)'!B$4:C$99,2,0)</f>
        <v>9ED0AC340CFAB21103BD9E7A16119653</v>
      </c>
      <c r="C4" s="87" t="s">
        <v>2053</v>
      </c>
      <c r="D4" s="14" t="s">
        <v>159</v>
      </c>
      <c r="E4" s="87" t="s">
        <v>160</v>
      </c>
      <c r="F4" s="87">
        <v>1</v>
      </c>
      <c r="G4" s="14" t="s">
        <v>943</v>
      </c>
      <c r="H4" s="14"/>
      <c r="I4" s="75" t="s">
        <v>164</v>
      </c>
      <c r="J4" s="75" t="s">
        <v>162</v>
      </c>
      <c r="K4" s="75" t="s">
        <v>509</v>
      </c>
      <c r="L4" s="75" t="s">
        <v>535</v>
      </c>
      <c r="M4" s="75" t="s">
        <v>509</v>
      </c>
      <c r="N4" s="75" t="s">
        <v>535</v>
      </c>
      <c r="O4" s="84" t="s">
        <v>1984</v>
      </c>
    </row>
    <row r="5" spans="1:15">
      <c r="A5" s="63" t="s">
        <v>849</v>
      </c>
      <c r="B5" s="14" t="str">
        <f>VLOOKUP(O5,'护理记录单文书字典(数据)'!B$4:C$99,2,0)</f>
        <v>9ED0AC340CFAB21103BD9E7A16119653</v>
      </c>
      <c r="C5" s="87" t="s">
        <v>942</v>
      </c>
      <c r="D5" s="14" t="s">
        <v>159</v>
      </c>
      <c r="E5" s="87">
        <v>2</v>
      </c>
      <c r="F5" s="87">
        <v>2</v>
      </c>
      <c r="G5" s="14" t="s">
        <v>944</v>
      </c>
      <c r="H5" s="14"/>
      <c r="I5" s="75"/>
      <c r="J5" s="75" t="s">
        <v>162</v>
      </c>
      <c r="K5" s="75" t="s">
        <v>509</v>
      </c>
      <c r="L5" s="75" t="s">
        <v>535</v>
      </c>
      <c r="M5" s="75" t="s">
        <v>509</v>
      </c>
      <c r="N5" s="75" t="s">
        <v>535</v>
      </c>
      <c r="O5" s="75" t="s">
        <v>538</v>
      </c>
    </row>
    <row r="6" spans="1:15">
      <c r="A6" s="63" t="s">
        <v>849</v>
      </c>
      <c r="B6" s="14" t="str">
        <f>VLOOKUP(O6,'护理记录单文书字典(数据)'!B$4:C$99,2,0)</f>
        <v>9ED0AC340CFAB21103BD9E7A16119653</v>
      </c>
      <c r="C6" s="87" t="s">
        <v>942</v>
      </c>
      <c r="D6" s="14" t="s">
        <v>159</v>
      </c>
      <c r="E6" s="87">
        <v>3</v>
      </c>
      <c r="F6" s="87">
        <v>3</v>
      </c>
      <c r="G6" s="14" t="s">
        <v>945</v>
      </c>
      <c r="H6" s="14"/>
      <c r="I6" s="75"/>
      <c r="J6" s="75" t="s">
        <v>162</v>
      </c>
      <c r="K6" s="75" t="s">
        <v>509</v>
      </c>
      <c r="L6" s="75" t="s">
        <v>535</v>
      </c>
      <c r="M6" s="75" t="s">
        <v>509</v>
      </c>
      <c r="N6" s="75" t="s">
        <v>535</v>
      </c>
      <c r="O6" s="75" t="s">
        <v>538</v>
      </c>
    </row>
    <row r="7" spans="1:15">
      <c r="A7" s="63" t="s">
        <v>849</v>
      </c>
      <c r="B7" s="14" t="str">
        <f>VLOOKUP(O7,'护理记录单文书字典(数据)'!B$4:C$99,2,0)</f>
        <v>9ED0AC340CFAB21103BD9E7A16119653</v>
      </c>
      <c r="C7" s="87" t="s">
        <v>2059</v>
      </c>
      <c r="D7" s="14" t="s">
        <v>947</v>
      </c>
      <c r="E7" s="87">
        <v>1</v>
      </c>
      <c r="F7" s="87">
        <v>1</v>
      </c>
      <c r="G7" s="14" t="s">
        <v>948</v>
      </c>
      <c r="H7" s="14"/>
      <c r="I7" s="75"/>
      <c r="J7" s="75" t="s">
        <v>162</v>
      </c>
      <c r="K7" s="75" t="s">
        <v>509</v>
      </c>
      <c r="L7" s="75" t="s">
        <v>535</v>
      </c>
      <c r="M7" s="75" t="s">
        <v>509</v>
      </c>
      <c r="N7" s="75" t="s">
        <v>535</v>
      </c>
      <c r="O7" s="75" t="s">
        <v>538</v>
      </c>
    </row>
    <row r="8" spans="1:15">
      <c r="A8" s="63" t="s">
        <v>849</v>
      </c>
      <c r="B8" s="14" t="str">
        <f>VLOOKUP(O8,'护理记录单文书字典(数据)'!B$4:C$99,2,0)</f>
        <v>9ED0AC340CFAB21103BD9E7A16119653</v>
      </c>
      <c r="C8" s="87" t="s">
        <v>946</v>
      </c>
      <c r="D8" s="14" t="s">
        <v>947</v>
      </c>
      <c r="E8" s="87">
        <v>2</v>
      </c>
      <c r="F8" s="87">
        <v>2</v>
      </c>
      <c r="G8" s="14" t="s">
        <v>949</v>
      </c>
      <c r="H8" s="14"/>
      <c r="I8" s="75"/>
      <c r="J8" s="75" t="s">
        <v>162</v>
      </c>
      <c r="K8" s="75" t="s">
        <v>509</v>
      </c>
      <c r="L8" s="75" t="s">
        <v>535</v>
      </c>
      <c r="M8" s="75" t="s">
        <v>509</v>
      </c>
      <c r="N8" s="75" t="s">
        <v>535</v>
      </c>
      <c r="O8" s="75" t="s">
        <v>538</v>
      </c>
    </row>
    <row r="9" spans="1:15">
      <c r="A9" s="63" t="s">
        <v>849</v>
      </c>
      <c r="B9" s="14" t="str">
        <f>VLOOKUP(O9,'护理记录单文书字典(数据)'!B$4:C$99,2,0)</f>
        <v>9ED0AC340CFAB21103BD9E7A16119653</v>
      </c>
      <c r="C9" s="87" t="s">
        <v>946</v>
      </c>
      <c r="D9" s="14" t="s">
        <v>947</v>
      </c>
      <c r="E9" s="87">
        <v>3</v>
      </c>
      <c r="F9" s="87">
        <v>3</v>
      </c>
      <c r="G9" s="14" t="s">
        <v>950</v>
      </c>
      <c r="H9" s="14"/>
      <c r="I9" s="75"/>
      <c r="J9" s="75" t="s">
        <v>162</v>
      </c>
      <c r="K9" s="75" t="s">
        <v>509</v>
      </c>
      <c r="L9" s="75" t="s">
        <v>535</v>
      </c>
      <c r="M9" s="75" t="s">
        <v>509</v>
      </c>
      <c r="N9" s="75" t="s">
        <v>535</v>
      </c>
      <c r="O9" s="75" t="s">
        <v>538</v>
      </c>
    </row>
    <row r="10" spans="1:15">
      <c r="A10" s="63" t="s">
        <v>849</v>
      </c>
      <c r="B10" s="14" t="str">
        <f>VLOOKUP(O10,'护理记录单文书字典(数据)'!B$4:C$99,2,0)</f>
        <v>9ED0AC340CFAB21103BD9E7A16119653</v>
      </c>
      <c r="C10" s="87" t="s">
        <v>2064</v>
      </c>
      <c r="D10" s="14" t="s">
        <v>952</v>
      </c>
      <c r="E10" s="87">
        <v>1</v>
      </c>
      <c r="F10" s="87">
        <v>1</v>
      </c>
      <c r="G10" s="14" t="s">
        <v>953</v>
      </c>
      <c r="H10" s="14"/>
      <c r="I10" s="75"/>
      <c r="J10" s="75" t="s">
        <v>162</v>
      </c>
      <c r="K10" s="75" t="s">
        <v>509</v>
      </c>
      <c r="L10" s="75" t="s">
        <v>535</v>
      </c>
      <c r="M10" s="75" t="s">
        <v>509</v>
      </c>
      <c r="N10" s="75" t="s">
        <v>535</v>
      </c>
      <c r="O10" s="75" t="s">
        <v>538</v>
      </c>
    </row>
    <row r="11" spans="1:15">
      <c r="A11" s="63" t="s">
        <v>849</v>
      </c>
      <c r="B11" s="14" t="str">
        <f>VLOOKUP(O11,'护理记录单文书字典(数据)'!B$4:C$99,2,0)</f>
        <v>9ED0AC340CFAB21103BD9E7A16119653</v>
      </c>
      <c r="C11" s="87" t="s">
        <v>951</v>
      </c>
      <c r="D11" s="14" t="s">
        <v>952</v>
      </c>
      <c r="E11" s="87">
        <v>2</v>
      </c>
      <c r="F11" s="87">
        <v>2</v>
      </c>
      <c r="G11" s="14" t="s">
        <v>954</v>
      </c>
      <c r="H11" s="14"/>
      <c r="I11" s="75"/>
      <c r="J11" s="75" t="s">
        <v>162</v>
      </c>
      <c r="K11" s="75" t="s">
        <v>509</v>
      </c>
      <c r="L11" s="75" t="s">
        <v>535</v>
      </c>
      <c r="M11" s="75" t="s">
        <v>509</v>
      </c>
      <c r="N11" s="75" t="s">
        <v>535</v>
      </c>
      <c r="O11" s="75" t="s">
        <v>538</v>
      </c>
    </row>
    <row r="12" spans="1:15">
      <c r="A12" s="63" t="s">
        <v>849</v>
      </c>
      <c r="B12" s="14" t="str">
        <f>VLOOKUP(O12,'护理记录单文书字典(数据)'!B$4:C$99,2,0)</f>
        <v>9ED0AC340CFAB21103BD9E7A16119653</v>
      </c>
      <c r="C12" s="87" t="s">
        <v>951</v>
      </c>
      <c r="D12" s="14" t="s">
        <v>952</v>
      </c>
      <c r="E12" s="87">
        <v>3</v>
      </c>
      <c r="F12" s="87">
        <v>3</v>
      </c>
      <c r="G12" s="14" t="s">
        <v>955</v>
      </c>
      <c r="H12" s="14"/>
      <c r="I12" s="75"/>
      <c r="J12" s="75" t="s">
        <v>162</v>
      </c>
      <c r="K12" s="75" t="s">
        <v>509</v>
      </c>
      <c r="L12" s="75" t="s">
        <v>535</v>
      </c>
      <c r="M12" s="75" t="s">
        <v>509</v>
      </c>
      <c r="N12" s="75" t="s">
        <v>535</v>
      </c>
      <c r="O12" s="75" t="s">
        <v>538</v>
      </c>
    </row>
    <row r="13" spans="1:15">
      <c r="A13" s="63" t="s">
        <v>849</v>
      </c>
      <c r="B13" s="14" t="str">
        <f>VLOOKUP(O13,'护理记录单文书字典(数据)'!B$4:C$99,2,0)</f>
        <v>9ED0AC340CFAB21103BD9E7A16119653</v>
      </c>
      <c r="C13" s="87" t="s">
        <v>951</v>
      </c>
      <c r="D13" s="14" t="s">
        <v>952</v>
      </c>
      <c r="E13" s="87">
        <v>4</v>
      </c>
      <c r="F13" s="87">
        <v>4</v>
      </c>
      <c r="G13" s="14" t="s">
        <v>956</v>
      </c>
      <c r="H13" s="14"/>
      <c r="I13" s="75"/>
      <c r="J13" s="75" t="s">
        <v>162</v>
      </c>
      <c r="K13" s="75" t="s">
        <v>509</v>
      </c>
      <c r="L13" s="75" t="s">
        <v>535</v>
      </c>
      <c r="M13" s="75" t="s">
        <v>509</v>
      </c>
      <c r="N13" s="75" t="s">
        <v>535</v>
      </c>
      <c r="O13" s="75" t="s">
        <v>538</v>
      </c>
    </row>
    <row r="14" spans="1:15">
      <c r="A14" s="63" t="s">
        <v>849</v>
      </c>
      <c r="B14" s="14" t="str">
        <f>VLOOKUP(O14,'护理记录单文书字典(数据)'!B$4:C$99,2,0)</f>
        <v>9ED0AC340CFAB21103BD9E7A16119653</v>
      </c>
      <c r="C14" s="87" t="s">
        <v>951</v>
      </c>
      <c r="D14" s="14" t="s">
        <v>952</v>
      </c>
      <c r="E14" s="87">
        <v>5</v>
      </c>
      <c r="F14" s="87">
        <v>5</v>
      </c>
      <c r="G14" s="14" t="s">
        <v>957</v>
      </c>
      <c r="H14" s="14"/>
      <c r="I14" s="75"/>
      <c r="J14" s="75" t="s">
        <v>162</v>
      </c>
      <c r="K14" s="75" t="s">
        <v>509</v>
      </c>
      <c r="L14" s="75" t="s">
        <v>535</v>
      </c>
      <c r="M14" s="75" t="s">
        <v>509</v>
      </c>
      <c r="N14" s="75" t="s">
        <v>535</v>
      </c>
      <c r="O14" s="75" t="s">
        <v>538</v>
      </c>
    </row>
    <row r="15" spans="1:15">
      <c r="A15" s="63" t="s">
        <v>849</v>
      </c>
      <c r="B15" s="14" t="str">
        <f>VLOOKUP(O15,'护理记录单文书字典(数据)'!B$4:C$99,2,0)</f>
        <v>9ED0AC340CFAB21103BD9E7A16119653</v>
      </c>
      <c r="C15" s="87" t="s">
        <v>951</v>
      </c>
      <c r="D15" s="14" t="s">
        <v>952</v>
      </c>
      <c r="E15" s="87">
        <v>6</v>
      </c>
      <c r="F15" s="87">
        <v>6</v>
      </c>
      <c r="G15" s="14" t="s">
        <v>958</v>
      </c>
      <c r="H15" s="14"/>
      <c r="I15" s="75"/>
      <c r="J15" s="75" t="s">
        <v>162</v>
      </c>
      <c r="K15" s="75" t="s">
        <v>509</v>
      </c>
      <c r="L15" s="75" t="s">
        <v>535</v>
      </c>
      <c r="M15" s="75" t="s">
        <v>509</v>
      </c>
      <c r="N15" s="75" t="s">
        <v>535</v>
      </c>
      <c r="O15" s="75" t="s">
        <v>538</v>
      </c>
    </row>
    <row r="16" spans="1:15">
      <c r="A16" s="63" t="s">
        <v>849</v>
      </c>
      <c r="B16" s="14" t="str">
        <f>VLOOKUP(O16,'护理记录单文书字典(数据)'!B$4:C$99,2,0)</f>
        <v>9ED0AC340CFAB21103BD9E7A16119653</v>
      </c>
      <c r="C16" s="87" t="s">
        <v>951</v>
      </c>
      <c r="D16" s="14" t="s">
        <v>952</v>
      </c>
      <c r="E16" s="87">
        <v>7</v>
      </c>
      <c r="F16" s="87">
        <v>7</v>
      </c>
      <c r="G16" s="14" t="s">
        <v>959</v>
      </c>
      <c r="H16" s="14"/>
      <c r="I16" s="75"/>
      <c r="J16" s="75" t="s">
        <v>162</v>
      </c>
      <c r="K16" s="75" t="s">
        <v>509</v>
      </c>
      <c r="L16" s="75" t="s">
        <v>535</v>
      </c>
      <c r="M16" s="75" t="s">
        <v>509</v>
      </c>
      <c r="N16" s="75" t="s">
        <v>535</v>
      </c>
      <c r="O16" s="75" t="s">
        <v>538</v>
      </c>
    </row>
    <row r="17" spans="1:15">
      <c r="A17" s="63" t="s">
        <v>849</v>
      </c>
      <c r="B17" s="14" t="str">
        <f>VLOOKUP(O17,'护理记录单文书字典(数据)'!B$4:C$99,2,0)</f>
        <v>9ED0AC340CFAB21103BD9E7A16119653</v>
      </c>
      <c r="C17" s="87" t="s">
        <v>951</v>
      </c>
      <c r="D17" s="14" t="s">
        <v>952</v>
      </c>
      <c r="E17" s="87">
        <v>8</v>
      </c>
      <c r="F17" s="87">
        <v>8</v>
      </c>
      <c r="G17" s="14" t="s">
        <v>960</v>
      </c>
      <c r="H17" s="14"/>
      <c r="I17" s="75"/>
      <c r="J17" s="75" t="s">
        <v>162</v>
      </c>
      <c r="K17" s="75" t="s">
        <v>509</v>
      </c>
      <c r="L17" s="75" t="s">
        <v>535</v>
      </c>
      <c r="M17" s="75" t="s">
        <v>509</v>
      </c>
      <c r="N17" s="75" t="s">
        <v>535</v>
      </c>
      <c r="O17" s="75" t="s">
        <v>538</v>
      </c>
    </row>
    <row r="18" spans="1:15" s="164" customFormat="1">
      <c r="A18" s="63" t="s">
        <v>849</v>
      </c>
      <c r="B18" s="162" t="str">
        <f>VLOOKUP(O18,'护理记录单文书字典(数据)'!B$4:C$99,2,0)</f>
        <v>9ED0AC340CFAB21103BD9E7A16119653</v>
      </c>
      <c r="C18" s="163" t="s">
        <v>2067</v>
      </c>
      <c r="D18" s="162" t="s">
        <v>2072</v>
      </c>
      <c r="E18" s="163">
        <v>1</v>
      </c>
      <c r="F18" s="163">
        <v>1</v>
      </c>
      <c r="G18" s="162" t="s">
        <v>2068</v>
      </c>
      <c r="H18" s="162"/>
      <c r="I18" s="162"/>
      <c r="J18" s="162" t="s">
        <v>162</v>
      </c>
      <c r="K18" s="162" t="s">
        <v>509</v>
      </c>
      <c r="L18" s="162" t="s">
        <v>535</v>
      </c>
      <c r="M18" s="162" t="s">
        <v>509</v>
      </c>
      <c r="N18" s="162" t="s">
        <v>535</v>
      </c>
      <c r="O18" s="162" t="s">
        <v>538</v>
      </c>
    </row>
    <row r="19" spans="1:15" s="164" customFormat="1">
      <c r="A19" s="63" t="s">
        <v>849</v>
      </c>
      <c r="B19" s="162" t="str">
        <f>VLOOKUP(O19,'护理记录单文书字典(数据)'!B$4:C$99,2,0)</f>
        <v>9ED0AC340CFAB21103BD9E7A16119653</v>
      </c>
      <c r="C19" s="163" t="s">
        <v>2067</v>
      </c>
      <c r="D19" s="162" t="s">
        <v>2072</v>
      </c>
      <c r="E19" s="163">
        <v>2</v>
      </c>
      <c r="F19" s="163">
        <v>2</v>
      </c>
      <c r="G19" s="162" t="s">
        <v>2069</v>
      </c>
      <c r="H19" s="162"/>
      <c r="I19" s="162"/>
      <c r="J19" s="162" t="s">
        <v>162</v>
      </c>
      <c r="K19" s="162" t="s">
        <v>509</v>
      </c>
      <c r="L19" s="162" t="s">
        <v>535</v>
      </c>
      <c r="M19" s="162" t="s">
        <v>509</v>
      </c>
      <c r="N19" s="162" t="s">
        <v>535</v>
      </c>
      <c r="O19" s="162" t="s">
        <v>538</v>
      </c>
    </row>
    <row r="20" spans="1:15" s="164" customFormat="1">
      <c r="A20" s="63" t="s">
        <v>849</v>
      </c>
      <c r="B20" s="162" t="str">
        <f>VLOOKUP(O20,'护理记录单文书字典(数据)'!B$4:C$99,2,0)</f>
        <v>9ED0AC340CFAB21103BD9E7A16119653</v>
      </c>
      <c r="C20" s="163" t="s">
        <v>2067</v>
      </c>
      <c r="D20" s="162" t="s">
        <v>2072</v>
      </c>
      <c r="E20" s="163">
        <v>3</v>
      </c>
      <c r="F20" s="163">
        <v>3</v>
      </c>
      <c r="G20" s="162" t="s">
        <v>2070</v>
      </c>
      <c r="H20" s="162"/>
      <c r="I20" s="162"/>
      <c r="J20" s="162" t="s">
        <v>162</v>
      </c>
      <c r="K20" s="162" t="s">
        <v>509</v>
      </c>
      <c r="L20" s="162" t="s">
        <v>535</v>
      </c>
      <c r="M20" s="162" t="s">
        <v>509</v>
      </c>
      <c r="N20" s="162" t="s">
        <v>535</v>
      </c>
      <c r="O20" s="162" t="s">
        <v>538</v>
      </c>
    </row>
    <row r="21" spans="1:15" s="164" customFormat="1">
      <c r="A21" s="63" t="s">
        <v>849</v>
      </c>
      <c r="B21" s="162" t="str">
        <f>VLOOKUP(O21,'护理记录单文书字典(数据)'!B$4:C$99,2,0)</f>
        <v>9ED0AC340CFAB21103BD9E7A16119653</v>
      </c>
      <c r="C21" s="163" t="s">
        <v>2074</v>
      </c>
      <c r="D21" s="162" t="s">
        <v>2073</v>
      </c>
      <c r="E21" s="163">
        <v>4</v>
      </c>
      <c r="F21" s="163">
        <v>4</v>
      </c>
      <c r="G21" s="162" t="s">
        <v>2071</v>
      </c>
      <c r="H21" s="162"/>
      <c r="I21" s="162"/>
      <c r="J21" s="162" t="s">
        <v>162</v>
      </c>
      <c r="K21" s="162" t="s">
        <v>509</v>
      </c>
      <c r="L21" s="162" t="s">
        <v>535</v>
      </c>
      <c r="M21" s="162" t="s">
        <v>509</v>
      </c>
      <c r="N21" s="162" t="s">
        <v>535</v>
      </c>
      <c r="O21" s="162" t="s">
        <v>538</v>
      </c>
    </row>
    <row r="22" spans="1:15" s="164" customFormat="1">
      <c r="A22" s="63" t="s">
        <v>849</v>
      </c>
      <c r="B22" s="162" t="str">
        <f>VLOOKUP(O22,'护理记录单文书字典(数据)'!B$4:C$99,2,0)</f>
        <v>9ED0AC340CFAB21103BD9E7A16119653</v>
      </c>
      <c r="C22" s="163" t="s">
        <v>2076</v>
      </c>
      <c r="D22" s="162" t="s">
        <v>2077</v>
      </c>
      <c r="E22" s="163">
        <v>1</v>
      </c>
      <c r="F22" s="163">
        <v>1</v>
      </c>
      <c r="G22" s="162" t="s">
        <v>2078</v>
      </c>
      <c r="H22" s="162"/>
      <c r="I22" s="162"/>
      <c r="J22" s="162" t="s">
        <v>162</v>
      </c>
      <c r="K22" s="162" t="s">
        <v>509</v>
      </c>
      <c r="L22" s="162" t="s">
        <v>535</v>
      </c>
      <c r="M22" s="162" t="s">
        <v>509</v>
      </c>
      <c r="N22" s="162" t="s">
        <v>535</v>
      </c>
      <c r="O22" s="162" t="s">
        <v>538</v>
      </c>
    </row>
    <row r="23" spans="1:15" s="164" customFormat="1">
      <c r="A23" s="63" t="s">
        <v>849</v>
      </c>
      <c r="B23" s="162" t="str">
        <f>VLOOKUP(O23,'护理记录单文书字典(数据)'!B$4:C$99,2,0)</f>
        <v>9ED0AC340CFAB21103BD9E7A16119653</v>
      </c>
      <c r="C23" s="163" t="s">
        <v>2076</v>
      </c>
      <c r="D23" s="162" t="s">
        <v>2077</v>
      </c>
      <c r="E23" s="163">
        <v>2</v>
      </c>
      <c r="F23" s="163">
        <v>2</v>
      </c>
      <c r="G23" s="162" t="s">
        <v>2081</v>
      </c>
      <c r="H23" s="162"/>
      <c r="I23" s="162"/>
      <c r="J23" s="162" t="s">
        <v>162</v>
      </c>
      <c r="K23" s="162" t="s">
        <v>509</v>
      </c>
      <c r="L23" s="162" t="s">
        <v>535</v>
      </c>
      <c r="M23" s="162" t="s">
        <v>509</v>
      </c>
      <c r="N23" s="162" t="s">
        <v>535</v>
      </c>
      <c r="O23" s="162" t="s">
        <v>538</v>
      </c>
    </row>
    <row r="24" spans="1:15" s="164" customFormat="1">
      <c r="A24" s="63" t="s">
        <v>849</v>
      </c>
      <c r="B24" s="162" t="str">
        <f>VLOOKUP(O24,'护理记录单文书字典(数据)'!B$4:C$99,2,0)</f>
        <v>9ED0AC340CFAB21103BD9E7A16119653</v>
      </c>
      <c r="C24" s="163" t="s">
        <v>2076</v>
      </c>
      <c r="D24" s="162" t="s">
        <v>2077</v>
      </c>
      <c r="E24" s="163">
        <v>3</v>
      </c>
      <c r="F24" s="163">
        <v>3</v>
      </c>
      <c r="G24" s="162" t="s">
        <v>2079</v>
      </c>
      <c r="H24" s="162"/>
      <c r="I24" s="162"/>
      <c r="J24" s="162" t="s">
        <v>162</v>
      </c>
      <c r="K24" s="162" t="s">
        <v>509</v>
      </c>
      <c r="L24" s="162" t="s">
        <v>535</v>
      </c>
      <c r="M24" s="162" t="s">
        <v>509</v>
      </c>
      <c r="N24" s="162" t="s">
        <v>535</v>
      </c>
      <c r="O24" s="162" t="s">
        <v>538</v>
      </c>
    </row>
    <row r="25" spans="1:15" s="164" customFormat="1">
      <c r="A25" s="63" t="s">
        <v>849</v>
      </c>
      <c r="B25" s="162" t="str">
        <f>VLOOKUP(O25,'护理记录单文书字典(数据)'!B$4:C$99,2,0)</f>
        <v>9ED0AC340CFAB21103BD9E7A16119653</v>
      </c>
      <c r="C25" s="163" t="s">
        <v>2076</v>
      </c>
      <c r="D25" s="162" t="s">
        <v>2077</v>
      </c>
      <c r="E25" s="163">
        <v>4</v>
      </c>
      <c r="F25" s="163">
        <v>4</v>
      </c>
      <c r="G25" s="162" t="s">
        <v>2080</v>
      </c>
      <c r="H25" s="162"/>
      <c r="I25" s="162"/>
      <c r="J25" s="162" t="s">
        <v>162</v>
      </c>
      <c r="K25" s="162" t="s">
        <v>509</v>
      </c>
      <c r="L25" s="162" t="s">
        <v>535</v>
      </c>
      <c r="M25" s="162" t="s">
        <v>509</v>
      </c>
      <c r="N25" s="162" t="s">
        <v>535</v>
      </c>
      <c r="O25" s="162" t="s">
        <v>538</v>
      </c>
    </row>
    <row r="26" spans="1:15" s="164" customFormat="1">
      <c r="A26" s="63" t="s">
        <v>849</v>
      </c>
      <c r="B26" s="162" t="str">
        <f>VLOOKUP(O26,'护理记录单文书字典(数据)'!B$4:C$99,2,0)</f>
        <v>9ED0AC340CFAB21103BD9E7A16119653</v>
      </c>
      <c r="C26" s="163" t="s">
        <v>2086</v>
      </c>
      <c r="D26" s="162" t="s">
        <v>2077</v>
      </c>
      <c r="E26" s="163">
        <v>5</v>
      </c>
      <c r="F26" s="163">
        <v>5</v>
      </c>
      <c r="G26" s="162" t="s">
        <v>2082</v>
      </c>
      <c r="H26" s="162"/>
      <c r="I26" s="162"/>
      <c r="J26" s="162" t="s">
        <v>162</v>
      </c>
      <c r="K26" s="162" t="s">
        <v>509</v>
      </c>
      <c r="L26" s="162" t="s">
        <v>535</v>
      </c>
      <c r="M26" s="162" t="s">
        <v>509</v>
      </c>
      <c r="N26" s="162" t="s">
        <v>535</v>
      </c>
      <c r="O26" s="162" t="s">
        <v>538</v>
      </c>
    </row>
    <row r="27" spans="1:15" s="164" customFormat="1">
      <c r="A27" s="63" t="s">
        <v>849</v>
      </c>
      <c r="B27" s="162" t="str">
        <f>VLOOKUP(O27,'护理记录单文书字典(数据)'!B$4:C$99,2,0)</f>
        <v>9ED0AC340CFAB21103BD9E7A16119653</v>
      </c>
      <c r="C27" s="163" t="s">
        <v>2076</v>
      </c>
      <c r="D27" s="162" t="s">
        <v>2077</v>
      </c>
      <c r="E27" s="163">
        <v>6</v>
      </c>
      <c r="F27" s="163">
        <v>6</v>
      </c>
      <c r="G27" s="162" t="s">
        <v>2083</v>
      </c>
      <c r="H27" s="162"/>
      <c r="I27" s="162"/>
      <c r="J27" s="162" t="s">
        <v>162</v>
      </c>
      <c r="K27" s="162" t="s">
        <v>509</v>
      </c>
      <c r="L27" s="162" t="s">
        <v>535</v>
      </c>
      <c r="M27" s="162" t="s">
        <v>509</v>
      </c>
      <c r="N27" s="162" t="s">
        <v>535</v>
      </c>
      <c r="O27" s="162" t="s">
        <v>538</v>
      </c>
    </row>
    <row r="28" spans="1:15" s="164" customFormat="1">
      <c r="A28" s="63" t="s">
        <v>849</v>
      </c>
      <c r="B28" s="162" t="str">
        <f>VLOOKUP(O28,'护理记录单文书字典(数据)'!B$4:C$99,2,0)</f>
        <v>9ED0AC340CFAB21103BD9E7A16119653</v>
      </c>
      <c r="C28" s="163" t="s">
        <v>2076</v>
      </c>
      <c r="D28" s="162" t="s">
        <v>2077</v>
      </c>
      <c r="E28" s="163">
        <v>7</v>
      </c>
      <c r="F28" s="163">
        <v>7</v>
      </c>
      <c r="G28" s="162" t="s">
        <v>2084</v>
      </c>
      <c r="H28" s="162"/>
      <c r="I28" s="162"/>
      <c r="J28" s="162" t="s">
        <v>162</v>
      </c>
      <c r="K28" s="162" t="s">
        <v>509</v>
      </c>
      <c r="L28" s="162" t="s">
        <v>535</v>
      </c>
      <c r="M28" s="162" t="s">
        <v>509</v>
      </c>
      <c r="N28" s="162" t="s">
        <v>535</v>
      </c>
      <c r="O28" s="162" t="s">
        <v>538</v>
      </c>
    </row>
    <row r="29" spans="1:15" s="164" customFormat="1">
      <c r="A29" s="63" t="s">
        <v>849</v>
      </c>
      <c r="B29" s="162" t="str">
        <f>VLOOKUP(O29,'护理记录单文书字典(数据)'!B$4:C$99,2,0)</f>
        <v>9ED0AC340CFAB21103BD9E7A16119653</v>
      </c>
      <c r="C29" s="163" t="s">
        <v>2076</v>
      </c>
      <c r="D29" s="162" t="s">
        <v>2077</v>
      </c>
      <c r="E29" s="163">
        <v>8</v>
      </c>
      <c r="F29" s="163">
        <v>8</v>
      </c>
      <c r="G29" s="162" t="s">
        <v>2085</v>
      </c>
      <c r="H29" s="162"/>
      <c r="I29" s="162"/>
      <c r="J29" s="162" t="s">
        <v>162</v>
      </c>
      <c r="K29" s="162" t="s">
        <v>509</v>
      </c>
      <c r="L29" s="162" t="s">
        <v>535</v>
      </c>
      <c r="M29" s="162" t="s">
        <v>509</v>
      </c>
      <c r="N29" s="162" t="s">
        <v>535</v>
      </c>
      <c r="O29" s="162" t="s">
        <v>538</v>
      </c>
    </row>
    <row r="30" spans="1:15">
      <c r="A30" s="63" t="s">
        <v>849</v>
      </c>
      <c r="B30" s="14" t="str">
        <f>VLOOKUP(O30,'护理记录单文书字典(数据)'!B$4:C$99,2,0)</f>
        <v>9ED0AC340CFAB21103BD9E7A16119653</v>
      </c>
      <c r="C30" s="87" t="s">
        <v>2099</v>
      </c>
      <c r="D30" s="14" t="s">
        <v>2093</v>
      </c>
      <c r="E30" s="87">
        <v>1</v>
      </c>
      <c r="F30" s="87">
        <v>0</v>
      </c>
      <c r="G30" s="14" t="s">
        <v>2092</v>
      </c>
      <c r="H30" s="14"/>
      <c r="I30" s="75"/>
      <c r="J30" s="75" t="s">
        <v>162</v>
      </c>
      <c r="K30" s="75" t="s">
        <v>509</v>
      </c>
      <c r="L30" s="75" t="s">
        <v>535</v>
      </c>
      <c r="M30" s="75" t="s">
        <v>509</v>
      </c>
      <c r="N30" s="75" t="s">
        <v>535</v>
      </c>
      <c r="O30" s="75" t="s">
        <v>538</v>
      </c>
    </row>
    <row r="31" spans="1:15">
      <c r="A31" s="63" t="s">
        <v>849</v>
      </c>
      <c r="B31" s="14" t="str">
        <f>VLOOKUP(O31,'护理记录单文书字典(数据)'!B$4:C$99,2,0)</f>
        <v>9ED0AC340CFAB21103BD9E7A16119653</v>
      </c>
      <c r="C31" s="87" t="s">
        <v>2091</v>
      </c>
      <c r="D31" s="14" t="s">
        <v>2093</v>
      </c>
      <c r="E31" s="87">
        <v>1</v>
      </c>
      <c r="F31" s="87">
        <v>1</v>
      </c>
      <c r="G31" s="14" t="s">
        <v>962</v>
      </c>
      <c r="H31" s="14"/>
      <c r="I31" s="75"/>
      <c r="J31" s="75" t="s">
        <v>162</v>
      </c>
      <c r="K31" s="75" t="s">
        <v>509</v>
      </c>
      <c r="L31" s="75" t="s">
        <v>535</v>
      </c>
      <c r="M31" s="75" t="s">
        <v>509</v>
      </c>
      <c r="N31" s="75" t="s">
        <v>535</v>
      </c>
      <c r="O31" s="75" t="s">
        <v>538</v>
      </c>
    </row>
    <row r="32" spans="1:15">
      <c r="A32" s="63" t="s">
        <v>849</v>
      </c>
      <c r="B32" s="14" t="str">
        <f>VLOOKUP(O32,'护理记录单文书字典(数据)'!B$4:C$99,2,0)</f>
        <v>9ED0AC340CFAB21103BD9E7A16119653</v>
      </c>
      <c r="C32" s="87" t="s">
        <v>2098</v>
      </c>
      <c r="D32" s="14" t="s">
        <v>2096</v>
      </c>
      <c r="E32" s="87">
        <v>1</v>
      </c>
      <c r="F32" s="87">
        <v>0</v>
      </c>
      <c r="G32" s="14" t="s">
        <v>2065</v>
      </c>
      <c r="H32" s="14"/>
      <c r="I32" s="75"/>
      <c r="J32" s="75" t="s">
        <v>162</v>
      </c>
      <c r="K32" s="75" t="s">
        <v>509</v>
      </c>
      <c r="L32" s="75" t="s">
        <v>535</v>
      </c>
      <c r="M32" s="75" t="s">
        <v>509</v>
      </c>
      <c r="N32" s="75" t="s">
        <v>535</v>
      </c>
      <c r="O32" s="75" t="s">
        <v>538</v>
      </c>
    </row>
    <row r="33" spans="1:15">
      <c r="A33" s="63" t="s">
        <v>849</v>
      </c>
      <c r="B33" s="14" t="str">
        <f>VLOOKUP(O33,'护理记录单文书字典(数据)'!B$4:C$99,2,0)</f>
        <v>9ED0AC340CFAB21103BD9E7A16119653</v>
      </c>
      <c r="C33" s="87" t="s">
        <v>2095</v>
      </c>
      <c r="D33" s="14" t="s">
        <v>2097</v>
      </c>
      <c r="E33" s="87">
        <v>1</v>
      </c>
      <c r="F33" s="87">
        <v>1</v>
      </c>
      <c r="G33" s="14" t="s">
        <v>2066</v>
      </c>
      <c r="H33" s="14"/>
      <c r="I33" s="75"/>
      <c r="J33" s="75" t="s">
        <v>162</v>
      </c>
      <c r="K33" s="75" t="s">
        <v>509</v>
      </c>
      <c r="L33" s="75" t="s">
        <v>535</v>
      </c>
      <c r="M33" s="75" t="s">
        <v>509</v>
      </c>
      <c r="N33" s="75" t="s">
        <v>535</v>
      </c>
      <c r="O33" s="75" t="s">
        <v>538</v>
      </c>
    </row>
    <row r="34" spans="1:15">
      <c r="A34" s="63" t="s">
        <v>176</v>
      </c>
      <c r="B34" s="14" t="str">
        <f>VLOOKUP(O34,'护理记录单文书字典(数据)'!B$4:C$99,2,0)</f>
        <v>9ED0AC340CFAB21103BD9E7A16119653</v>
      </c>
      <c r="C34" s="87" t="s">
        <v>4275</v>
      </c>
      <c r="D34" s="14" t="s">
        <v>4269</v>
      </c>
      <c r="E34" s="87">
        <v>1</v>
      </c>
      <c r="F34" s="87">
        <v>1</v>
      </c>
      <c r="G34" s="14" t="s">
        <v>4270</v>
      </c>
      <c r="H34" s="14"/>
      <c r="I34" s="75"/>
      <c r="J34" s="75" t="s">
        <v>162</v>
      </c>
      <c r="K34" s="75" t="s">
        <v>509</v>
      </c>
      <c r="L34" s="75" t="s">
        <v>535</v>
      </c>
      <c r="M34" s="75" t="s">
        <v>509</v>
      </c>
      <c r="N34" s="75" t="s">
        <v>535</v>
      </c>
      <c r="O34" s="75" t="s">
        <v>538</v>
      </c>
    </row>
    <row r="35" spans="1:15">
      <c r="A35" s="63" t="s">
        <v>176</v>
      </c>
      <c r="B35" s="14" t="str">
        <f>VLOOKUP(O35,'护理记录单文书字典(数据)'!B$4:C$99,2,0)</f>
        <v>9ED0AC340CFAB21103BD9E7A16119653</v>
      </c>
      <c r="C35" s="87" t="s">
        <v>4268</v>
      </c>
      <c r="D35" s="14" t="s">
        <v>4269</v>
      </c>
      <c r="E35" s="87">
        <v>2</v>
      </c>
      <c r="F35" s="87">
        <v>2</v>
      </c>
      <c r="G35" s="14" t="s">
        <v>4271</v>
      </c>
      <c r="H35" s="14"/>
      <c r="I35" s="75"/>
      <c r="J35" s="75" t="s">
        <v>162</v>
      </c>
      <c r="K35" s="75" t="s">
        <v>509</v>
      </c>
      <c r="L35" s="75" t="s">
        <v>535</v>
      </c>
      <c r="M35" s="75" t="s">
        <v>509</v>
      </c>
      <c r="N35" s="75" t="s">
        <v>535</v>
      </c>
      <c r="O35" s="75" t="s">
        <v>538</v>
      </c>
    </row>
    <row r="36" spans="1:15">
      <c r="A36" s="63" t="s">
        <v>176</v>
      </c>
      <c r="B36" s="14" t="str">
        <f>VLOOKUP(O36,'护理记录单文书字典(数据)'!B$4:C$99,2,0)</f>
        <v>9ED0AC340CFAB21103BD9E7A16119653</v>
      </c>
      <c r="C36" s="87" t="s">
        <v>4268</v>
      </c>
      <c r="D36" s="14" t="s">
        <v>4269</v>
      </c>
      <c r="E36" s="87">
        <v>3</v>
      </c>
      <c r="F36" s="87">
        <v>3</v>
      </c>
      <c r="G36" s="14" t="s">
        <v>4272</v>
      </c>
      <c r="H36" s="14"/>
      <c r="I36" s="75"/>
      <c r="J36" s="75" t="s">
        <v>162</v>
      </c>
      <c r="K36" s="75" t="s">
        <v>509</v>
      </c>
      <c r="L36" s="75" t="s">
        <v>535</v>
      </c>
      <c r="M36" s="75" t="s">
        <v>509</v>
      </c>
      <c r="N36" s="75" t="s">
        <v>535</v>
      </c>
      <c r="O36" s="75" t="s">
        <v>538</v>
      </c>
    </row>
    <row r="37" spans="1:15">
      <c r="A37" s="63" t="s">
        <v>176</v>
      </c>
      <c r="B37" s="14" t="str">
        <f>VLOOKUP(O37,'护理记录单文书字典(数据)'!B$4:C$99,2,0)</f>
        <v>9ED0AC340CFAB21103BD9E7A16119653</v>
      </c>
      <c r="C37" s="87" t="s">
        <v>4268</v>
      </c>
      <c r="D37" s="14" t="s">
        <v>4269</v>
      </c>
      <c r="E37" s="87">
        <v>4</v>
      </c>
      <c r="F37" s="87">
        <v>4</v>
      </c>
      <c r="G37" s="14" t="s">
        <v>4273</v>
      </c>
      <c r="H37" s="14"/>
      <c r="I37" s="75"/>
      <c r="J37" s="75" t="s">
        <v>162</v>
      </c>
      <c r="K37" s="75" t="s">
        <v>509</v>
      </c>
      <c r="L37" s="75" t="s">
        <v>535</v>
      </c>
      <c r="M37" s="75" t="s">
        <v>509</v>
      </c>
      <c r="N37" s="75" t="s">
        <v>535</v>
      </c>
      <c r="O37" s="75" t="s">
        <v>538</v>
      </c>
    </row>
    <row r="38" spans="1:15">
      <c r="A38" s="63" t="s">
        <v>176</v>
      </c>
      <c r="B38" s="14" t="str">
        <f>VLOOKUP(O38,'护理记录单文书字典(数据)'!B$4:C$99,2,0)</f>
        <v>9ED0AC340CFAB21103BD9E7A16119653</v>
      </c>
      <c r="C38" s="87" t="s">
        <v>4268</v>
      </c>
      <c r="D38" s="14" t="s">
        <v>4269</v>
      </c>
      <c r="E38" s="87">
        <v>5</v>
      </c>
      <c r="F38" s="87">
        <v>5</v>
      </c>
      <c r="G38" s="14" t="s">
        <v>4274</v>
      </c>
      <c r="H38" s="14"/>
      <c r="I38" s="75"/>
      <c r="J38" s="75" t="s">
        <v>162</v>
      </c>
      <c r="K38" s="75" t="s">
        <v>509</v>
      </c>
      <c r="L38" s="75" t="s">
        <v>535</v>
      </c>
      <c r="M38" s="75" t="s">
        <v>509</v>
      </c>
      <c r="N38" s="75" t="s">
        <v>535</v>
      </c>
      <c r="O38" s="75" t="s">
        <v>538</v>
      </c>
    </row>
    <row r="39" spans="1:15">
      <c r="A39" s="63" t="s">
        <v>849</v>
      </c>
      <c r="B39" s="14" t="str">
        <f>VLOOKUP(O39,'护理记录单文书字典(数据)'!B$4:C$99,2,0)</f>
        <v>7874B2340CFAB21153BBE70252E9371F</v>
      </c>
      <c r="C39" s="87" t="s">
        <v>2107</v>
      </c>
      <c r="D39" s="14" t="s">
        <v>964</v>
      </c>
      <c r="E39" s="87">
        <v>1</v>
      </c>
      <c r="F39" s="87">
        <v>1</v>
      </c>
      <c r="G39" s="14" t="s">
        <v>965</v>
      </c>
      <c r="H39" s="14"/>
      <c r="I39" s="75"/>
      <c r="J39" s="75" t="s">
        <v>162</v>
      </c>
      <c r="K39" s="75" t="s">
        <v>509</v>
      </c>
      <c r="L39" s="75" t="s">
        <v>535</v>
      </c>
      <c r="M39" s="75" t="s">
        <v>509</v>
      </c>
      <c r="N39" s="75" t="s">
        <v>535</v>
      </c>
      <c r="O39" s="75" t="s">
        <v>850</v>
      </c>
    </row>
    <row r="40" spans="1:15">
      <c r="A40" s="63" t="s">
        <v>849</v>
      </c>
      <c r="B40" s="14" t="str">
        <f>VLOOKUP(O40,'护理记录单文书字典(数据)'!B$4:C$99,2,0)</f>
        <v>7874B2340CFAB21153BBE70252E9371F</v>
      </c>
      <c r="C40" s="87" t="s">
        <v>963</v>
      </c>
      <c r="D40" s="14" t="s">
        <v>964</v>
      </c>
      <c r="E40" s="87">
        <v>1</v>
      </c>
      <c r="F40" s="87">
        <v>2</v>
      </c>
      <c r="G40" s="14" t="s">
        <v>966</v>
      </c>
      <c r="H40" s="14"/>
      <c r="I40" s="75"/>
      <c r="J40" s="75" t="s">
        <v>162</v>
      </c>
      <c r="K40" s="75" t="s">
        <v>509</v>
      </c>
      <c r="L40" s="75" t="s">
        <v>535</v>
      </c>
      <c r="M40" s="75" t="s">
        <v>509</v>
      </c>
      <c r="N40" s="75" t="s">
        <v>535</v>
      </c>
      <c r="O40" s="75" t="s">
        <v>850</v>
      </c>
    </row>
    <row r="41" spans="1:15">
      <c r="A41" s="63" t="s">
        <v>849</v>
      </c>
      <c r="B41" s="14" t="str">
        <f>VLOOKUP(O41,'护理记录单文书字典(数据)'!B$4:C$99,2,0)</f>
        <v>7874B2340CFAB21153BBE70252E9371F</v>
      </c>
      <c r="C41" s="87" t="s">
        <v>963</v>
      </c>
      <c r="D41" s="14" t="s">
        <v>964</v>
      </c>
      <c r="E41" s="87">
        <v>1</v>
      </c>
      <c r="F41" s="87">
        <v>3</v>
      </c>
      <c r="G41" s="14" t="s">
        <v>967</v>
      </c>
      <c r="H41" s="14"/>
      <c r="I41" s="75"/>
      <c r="J41" s="75" t="s">
        <v>162</v>
      </c>
      <c r="K41" s="75" t="s">
        <v>509</v>
      </c>
      <c r="L41" s="75" t="s">
        <v>535</v>
      </c>
      <c r="M41" s="75" t="s">
        <v>509</v>
      </c>
      <c r="N41" s="75" t="s">
        <v>535</v>
      </c>
      <c r="O41" s="75" t="s">
        <v>850</v>
      </c>
    </row>
    <row r="42" spans="1:15" s="164" customFormat="1">
      <c r="A42" s="63" t="s">
        <v>849</v>
      </c>
      <c r="B42" s="162" t="str">
        <f>VLOOKUP(O42,'护理记录单文书字典(数据)'!B$4:C$99,2,0)</f>
        <v>7874B2340CFAB21153BBE70252E9371F</v>
      </c>
      <c r="C42" s="163" t="s">
        <v>2108</v>
      </c>
      <c r="D42" s="162" t="s">
        <v>964</v>
      </c>
      <c r="E42" s="163">
        <v>1</v>
      </c>
      <c r="F42" s="163">
        <v>4</v>
      </c>
      <c r="G42" s="162" t="s">
        <v>2109</v>
      </c>
      <c r="H42" s="162"/>
      <c r="I42" s="162"/>
      <c r="J42" s="162" t="s">
        <v>162</v>
      </c>
      <c r="K42" s="162" t="s">
        <v>509</v>
      </c>
      <c r="L42" s="162" t="s">
        <v>535</v>
      </c>
      <c r="M42" s="162" t="s">
        <v>509</v>
      </c>
      <c r="N42" s="162" t="s">
        <v>535</v>
      </c>
      <c r="O42" s="162" t="s">
        <v>850</v>
      </c>
    </row>
    <row r="43" spans="1:15">
      <c r="A43" s="63" t="s">
        <v>849</v>
      </c>
      <c r="B43" s="14" t="str">
        <f>VLOOKUP(O43,'护理记录单文书字典(数据)'!B$4:C$99,2,0)</f>
        <v>7874B2340CFAB21153BBE70252E9371F</v>
      </c>
      <c r="C43" s="87" t="s">
        <v>2110</v>
      </c>
      <c r="D43" s="14" t="s">
        <v>969</v>
      </c>
      <c r="E43" s="87">
        <v>1</v>
      </c>
      <c r="F43" s="87">
        <v>1</v>
      </c>
      <c r="G43" s="14" t="s">
        <v>970</v>
      </c>
      <c r="H43" s="14"/>
      <c r="I43" s="75"/>
      <c r="J43" s="75" t="s">
        <v>162</v>
      </c>
      <c r="K43" s="75" t="s">
        <v>509</v>
      </c>
      <c r="L43" s="75" t="s">
        <v>535</v>
      </c>
      <c r="M43" s="75" t="s">
        <v>509</v>
      </c>
      <c r="N43" s="75" t="s">
        <v>535</v>
      </c>
      <c r="O43" s="75" t="s">
        <v>850</v>
      </c>
    </row>
    <row r="44" spans="1:15">
      <c r="A44" s="63" t="s">
        <v>849</v>
      </c>
      <c r="B44" s="14" t="str">
        <f>VLOOKUP(O44,'护理记录单文书字典(数据)'!B$4:C$99,2,0)</f>
        <v>7874B2340CFAB21153BBE70252E9371F</v>
      </c>
      <c r="C44" s="87" t="s">
        <v>968</v>
      </c>
      <c r="D44" s="14" t="s">
        <v>969</v>
      </c>
      <c r="E44" s="87">
        <v>1</v>
      </c>
      <c r="F44" s="87">
        <v>2</v>
      </c>
      <c r="G44" s="14" t="s">
        <v>971</v>
      </c>
      <c r="H44" s="14"/>
      <c r="I44" s="75"/>
      <c r="J44" s="75" t="s">
        <v>162</v>
      </c>
      <c r="K44" s="75" t="s">
        <v>509</v>
      </c>
      <c r="L44" s="75" t="s">
        <v>535</v>
      </c>
      <c r="M44" s="75" t="s">
        <v>509</v>
      </c>
      <c r="N44" s="75" t="s">
        <v>535</v>
      </c>
      <c r="O44" s="75" t="s">
        <v>850</v>
      </c>
    </row>
    <row r="45" spans="1:15">
      <c r="A45" s="63" t="s">
        <v>849</v>
      </c>
      <c r="B45" s="14" t="str">
        <f>VLOOKUP(O45,'护理记录单文书字典(数据)'!B$4:C$99,2,0)</f>
        <v>7874B2340CFAB21153BBE70252E9371F</v>
      </c>
      <c r="C45" s="87" t="s">
        <v>968</v>
      </c>
      <c r="D45" s="14" t="s">
        <v>969</v>
      </c>
      <c r="E45" s="87">
        <v>1</v>
      </c>
      <c r="F45" s="87">
        <v>3</v>
      </c>
      <c r="G45" s="14" t="s">
        <v>972</v>
      </c>
      <c r="H45" s="14"/>
      <c r="I45" s="75"/>
      <c r="J45" s="75" t="s">
        <v>162</v>
      </c>
      <c r="K45" s="75" t="s">
        <v>509</v>
      </c>
      <c r="L45" s="75" t="s">
        <v>535</v>
      </c>
      <c r="M45" s="75" t="s">
        <v>509</v>
      </c>
      <c r="N45" s="75" t="s">
        <v>535</v>
      </c>
      <c r="O45" s="75" t="s">
        <v>850</v>
      </c>
    </row>
    <row r="46" spans="1:15">
      <c r="A46" s="63" t="s">
        <v>849</v>
      </c>
      <c r="B46" s="14" t="str">
        <f>VLOOKUP(O46,'护理记录单文书字典(数据)'!B$4:C$99,2,0)</f>
        <v>7874B2340CFAB21153BBE70252E9371F</v>
      </c>
      <c r="C46" s="87" t="s">
        <v>968</v>
      </c>
      <c r="D46" s="14" t="s">
        <v>969</v>
      </c>
      <c r="E46" s="87">
        <v>1</v>
      </c>
      <c r="F46" s="87">
        <v>4</v>
      </c>
      <c r="G46" s="159" t="s">
        <v>973</v>
      </c>
      <c r="H46" s="75"/>
      <c r="I46" s="75"/>
      <c r="J46" s="75" t="s">
        <v>162</v>
      </c>
      <c r="K46" s="75" t="s">
        <v>509</v>
      </c>
      <c r="L46" s="75" t="s">
        <v>535</v>
      </c>
      <c r="M46" s="75" t="s">
        <v>509</v>
      </c>
      <c r="N46" s="75" t="s">
        <v>535</v>
      </c>
      <c r="O46" s="75" t="s">
        <v>850</v>
      </c>
    </row>
    <row r="47" spans="1:15">
      <c r="A47" s="63" t="s">
        <v>849</v>
      </c>
      <c r="B47" s="14" t="str">
        <f>VLOOKUP(O47,'护理记录单文书字典(数据)'!B$4:C$99,2,0)</f>
        <v>7874B2340CFAB21153BBE70252E9371F</v>
      </c>
      <c r="C47" s="87" t="s">
        <v>968</v>
      </c>
      <c r="D47" s="14" t="s">
        <v>969</v>
      </c>
      <c r="E47" s="87">
        <v>1</v>
      </c>
      <c r="F47" s="87">
        <v>5</v>
      </c>
      <c r="G47" s="159" t="s">
        <v>974</v>
      </c>
      <c r="H47" s="75"/>
      <c r="I47" s="75"/>
      <c r="J47" s="75" t="s">
        <v>162</v>
      </c>
      <c r="K47" s="75" t="s">
        <v>509</v>
      </c>
      <c r="L47" s="75" t="s">
        <v>535</v>
      </c>
      <c r="M47" s="75" t="s">
        <v>509</v>
      </c>
      <c r="N47" s="75" t="s">
        <v>535</v>
      </c>
      <c r="O47" s="75" t="s">
        <v>850</v>
      </c>
    </row>
    <row r="48" spans="1:15">
      <c r="A48" s="63" t="s">
        <v>849</v>
      </c>
      <c r="B48" s="14" t="str">
        <f>VLOOKUP(O48,'护理记录单文书字典(数据)'!B$4:C$99,2,0)</f>
        <v>7874B2340CFAB21153BBE70252E9371F</v>
      </c>
      <c r="C48" s="87" t="s">
        <v>968</v>
      </c>
      <c r="D48" s="14" t="s">
        <v>969</v>
      </c>
      <c r="E48" s="87">
        <v>1</v>
      </c>
      <c r="F48" s="87">
        <v>6</v>
      </c>
      <c r="G48" s="159" t="s">
        <v>975</v>
      </c>
      <c r="H48" s="75"/>
      <c r="I48" s="75"/>
      <c r="J48" s="75" t="s">
        <v>162</v>
      </c>
      <c r="K48" s="75" t="s">
        <v>509</v>
      </c>
      <c r="L48" s="75" t="s">
        <v>535</v>
      </c>
      <c r="M48" s="75" t="s">
        <v>509</v>
      </c>
      <c r="N48" s="75" t="s">
        <v>535</v>
      </c>
      <c r="O48" s="75" t="s">
        <v>850</v>
      </c>
    </row>
    <row r="49" spans="1:15">
      <c r="A49" s="63" t="s">
        <v>849</v>
      </c>
      <c r="B49" s="14" t="str">
        <f>VLOOKUP(O49,'护理记录单文书字典(数据)'!B$4:C$99,2,0)</f>
        <v>7874B2340CFAB21153BBE70252E9371F</v>
      </c>
      <c r="C49" s="87" t="s">
        <v>968</v>
      </c>
      <c r="D49" s="14" t="s">
        <v>969</v>
      </c>
      <c r="E49" s="87">
        <v>1</v>
      </c>
      <c r="F49" s="87">
        <v>7</v>
      </c>
      <c r="G49" s="159" t="s">
        <v>976</v>
      </c>
      <c r="H49" s="75"/>
      <c r="I49" s="75"/>
      <c r="J49" s="75" t="s">
        <v>162</v>
      </c>
      <c r="K49" s="75" t="s">
        <v>509</v>
      </c>
      <c r="L49" s="75" t="s">
        <v>535</v>
      </c>
      <c r="M49" s="75" t="s">
        <v>509</v>
      </c>
      <c r="N49" s="75" t="s">
        <v>535</v>
      </c>
      <c r="O49" s="75" t="s">
        <v>850</v>
      </c>
    </row>
    <row r="50" spans="1:15">
      <c r="A50" s="63" t="s">
        <v>849</v>
      </c>
      <c r="B50" s="14" t="str">
        <f>VLOOKUP(O50,'护理记录单文书字典(数据)'!B$4:C$99,2,0)</f>
        <v>7874B2340CFAB21153BBE70252E9371F</v>
      </c>
      <c r="C50" s="87" t="s">
        <v>968</v>
      </c>
      <c r="D50" s="14" t="s">
        <v>969</v>
      </c>
      <c r="E50" s="87">
        <v>1</v>
      </c>
      <c r="F50" s="87">
        <v>8</v>
      </c>
      <c r="G50" s="159" t="s">
        <v>977</v>
      </c>
      <c r="H50" s="75"/>
      <c r="I50" s="75"/>
      <c r="J50" s="75" t="s">
        <v>162</v>
      </c>
      <c r="K50" s="75" t="s">
        <v>509</v>
      </c>
      <c r="L50" s="75" t="s">
        <v>535</v>
      </c>
      <c r="M50" s="75" t="s">
        <v>509</v>
      </c>
      <c r="N50" s="75" t="s">
        <v>535</v>
      </c>
      <c r="O50" s="75" t="s">
        <v>850</v>
      </c>
    </row>
    <row r="51" spans="1:15">
      <c r="A51" s="63" t="s">
        <v>849</v>
      </c>
      <c r="B51" s="14" t="str">
        <f>VLOOKUP(O51,'护理记录单文书字典(数据)'!B$4:C$99,2,0)</f>
        <v>7874B2340CFAB21153BBE70252E9371F</v>
      </c>
      <c r="C51" s="87" t="s">
        <v>968</v>
      </c>
      <c r="D51" s="14" t="s">
        <v>969</v>
      </c>
      <c r="E51" s="87">
        <v>1</v>
      </c>
      <c r="F51" s="87">
        <v>9</v>
      </c>
      <c r="G51" s="159" t="s">
        <v>973</v>
      </c>
      <c r="H51" s="75"/>
      <c r="I51" s="75"/>
      <c r="J51" s="75" t="s">
        <v>162</v>
      </c>
      <c r="K51" s="75" t="s">
        <v>509</v>
      </c>
      <c r="L51" s="75" t="s">
        <v>535</v>
      </c>
      <c r="M51" s="75" t="s">
        <v>509</v>
      </c>
      <c r="N51" s="75" t="s">
        <v>535</v>
      </c>
      <c r="O51" s="75" t="s">
        <v>850</v>
      </c>
    </row>
    <row r="52" spans="1:15">
      <c r="A52" s="63" t="s">
        <v>849</v>
      </c>
      <c r="B52" s="14" t="str">
        <f>VLOOKUP(O52,'护理记录单文书字典(数据)'!B$4:C$99,2,0)</f>
        <v>7874B2340CFAB21153BBE70252E9371F</v>
      </c>
      <c r="C52" s="87" t="s">
        <v>968</v>
      </c>
      <c r="D52" s="14" t="s">
        <v>969</v>
      </c>
      <c r="E52" s="87">
        <v>1</v>
      </c>
      <c r="F52" s="87">
        <v>10</v>
      </c>
      <c r="G52" s="159" t="s">
        <v>978</v>
      </c>
      <c r="H52" s="75"/>
      <c r="I52" s="75"/>
      <c r="J52" s="75" t="s">
        <v>162</v>
      </c>
      <c r="K52" s="75" t="s">
        <v>509</v>
      </c>
      <c r="L52" s="75" t="s">
        <v>535</v>
      </c>
      <c r="M52" s="75" t="s">
        <v>509</v>
      </c>
      <c r="N52" s="75" t="s">
        <v>535</v>
      </c>
      <c r="O52" s="75" t="s">
        <v>850</v>
      </c>
    </row>
    <row r="53" spans="1:15">
      <c r="A53" s="63" t="s">
        <v>849</v>
      </c>
      <c r="B53" s="14" t="str">
        <f>VLOOKUP(O53,'护理记录单文书字典(数据)'!B$4:C$99,2,0)</f>
        <v>7874B2340CFAB21153BBE70252E9371F</v>
      </c>
      <c r="C53" s="87" t="s">
        <v>2113</v>
      </c>
      <c r="D53" s="14" t="s">
        <v>980</v>
      </c>
      <c r="E53" s="87">
        <v>1</v>
      </c>
      <c r="F53" s="87">
        <v>1</v>
      </c>
      <c r="G53" s="159" t="s">
        <v>981</v>
      </c>
      <c r="H53" s="75"/>
      <c r="I53" s="75"/>
      <c r="J53" s="75" t="s">
        <v>162</v>
      </c>
      <c r="K53" s="75" t="s">
        <v>509</v>
      </c>
      <c r="L53" s="75" t="s">
        <v>535</v>
      </c>
      <c r="M53" s="75" t="s">
        <v>509</v>
      </c>
      <c r="N53" s="75" t="s">
        <v>535</v>
      </c>
      <c r="O53" s="75" t="s">
        <v>850</v>
      </c>
    </row>
    <row r="54" spans="1:15">
      <c r="A54" s="63" t="s">
        <v>849</v>
      </c>
      <c r="B54" s="14" t="str">
        <f>VLOOKUP(O54,'护理记录单文书字典(数据)'!B$4:C$99,2,0)</f>
        <v>7874B2340CFAB21153BBE70252E9371F</v>
      </c>
      <c r="C54" s="87" t="s">
        <v>979</v>
      </c>
      <c r="D54" s="14" t="s">
        <v>980</v>
      </c>
      <c r="E54" s="87">
        <v>2</v>
      </c>
      <c r="F54" s="87">
        <v>2</v>
      </c>
      <c r="G54" s="159" t="s">
        <v>982</v>
      </c>
      <c r="H54" s="75"/>
      <c r="I54" s="75"/>
      <c r="J54" s="75" t="s">
        <v>162</v>
      </c>
      <c r="K54" s="75" t="s">
        <v>509</v>
      </c>
      <c r="L54" s="75" t="s">
        <v>535</v>
      </c>
      <c r="M54" s="75" t="s">
        <v>509</v>
      </c>
      <c r="N54" s="75" t="s">
        <v>535</v>
      </c>
      <c r="O54" s="75" t="s">
        <v>850</v>
      </c>
    </row>
    <row r="55" spans="1:15">
      <c r="A55" s="63" t="s">
        <v>849</v>
      </c>
      <c r="B55" s="14" t="str">
        <f>VLOOKUP(O55,'护理记录单文书字典(数据)'!B$4:C$99,2,0)</f>
        <v>7874B2340CFAB21153BBE70252E9371F</v>
      </c>
      <c r="C55" s="87" t="s">
        <v>979</v>
      </c>
      <c r="D55" s="14" t="s">
        <v>980</v>
      </c>
      <c r="E55" s="87">
        <v>3</v>
      </c>
      <c r="F55" s="87">
        <v>3</v>
      </c>
      <c r="G55" s="159" t="s">
        <v>983</v>
      </c>
      <c r="H55" s="75"/>
      <c r="I55" s="75"/>
      <c r="J55" s="75" t="s">
        <v>162</v>
      </c>
      <c r="K55" s="75" t="s">
        <v>509</v>
      </c>
      <c r="L55" s="75" t="s">
        <v>535</v>
      </c>
      <c r="M55" s="75" t="s">
        <v>509</v>
      </c>
      <c r="N55" s="75" t="s">
        <v>535</v>
      </c>
      <c r="O55" s="75" t="s">
        <v>850</v>
      </c>
    </row>
    <row r="56" spans="1:15">
      <c r="A56" s="63" t="s">
        <v>849</v>
      </c>
      <c r="B56" s="14" t="str">
        <f>VLOOKUP(O56,'护理记录单文书字典(数据)'!B$4:C$99,2,0)</f>
        <v>7874B2340CFAB21153BBE70252E9371F</v>
      </c>
      <c r="C56" s="87" t="s">
        <v>2114</v>
      </c>
      <c r="D56" s="14" t="s">
        <v>985</v>
      </c>
      <c r="E56" s="87">
        <v>1</v>
      </c>
      <c r="F56" s="87">
        <v>1</v>
      </c>
      <c r="G56" s="159" t="s">
        <v>981</v>
      </c>
      <c r="H56" s="75"/>
      <c r="I56" s="75"/>
      <c r="J56" s="75" t="s">
        <v>162</v>
      </c>
      <c r="K56" s="75" t="s">
        <v>509</v>
      </c>
      <c r="L56" s="75" t="s">
        <v>535</v>
      </c>
      <c r="M56" s="75" t="s">
        <v>509</v>
      </c>
      <c r="N56" s="75" t="s">
        <v>535</v>
      </c>
      <c r="O56" s="75" t="s">
        <v>850</v>
      </c>
    </row>
    <row r="57" spans="1:15">
      <c r="A57" s="63" t="s">
        <v>849</v>
      </c>
      <c r="B57" s="14" t="str">
        <f>VLOOKUP(O57,'护理记录单文书字典(数据)'!B$4:C$99,2,0)</f>
        <v>7874B2340CFAB21153BBE70252E9371F</v>
      </c>
      <c r="C57" s="87" t="s">
        <v>984</v>
      </c>
      <c r="D57" s="14" t="s">
        <v>985</v>
      </c>
      <c r="E57" s="87">
        <v>2</v>
      </c>
      <c r="F57" s="87">
        <v>2</v>
      </c>
      <c r="G57" s="159" t="s">
        <v>982</v>
      </c>
      <c r="H57" s="75"/>
      <c r="I57" s="75"/>
      <c r="J57" s="75" t="s">
        <v>162</v>
      </c>
      <c r="K57" s="75" t="s">
        <v>509</v>
      </c>
      <c r="L57" s="75" t="s">
        <v>535</v>
      </c>
      <c r="M57" s="75" t="s">
        <v>509</v>
      </c>
      <c r="N57" s="75" t="s">
        <v>535</v>
      </c>
      <c r="O57" s="75" t="s">
        <v>850</v>
      </c>
    </row>
    <row r="58" spans="1:15">
      <c r="A58" s="63" t="s">
        <v>849</v>
      </c>
      <c r="B58" s="14" t="str">
        <f>VLOOKUP(O58,'护理记录单文书字典(数据)'!B$4:C$99,2,0)</f>
        <v>7874B2340CFAB21153BBE70252E9371F</v>
      </c>
      <c r="C58" s="87" t="s">
        <v>984</v>
      </c>
      <c r="D58" s="14" t="s">
        <v>985</v>
      </c>
      <c r="E58" s="87">
        <v>3</v>
      </c>
      <c r="F58" s="87">
        <v>3</v>
      </c>
      <c r="G58" s="159" t="s">
        <v>983</v>
      </c>
      <c r="H58" s="75"/>
      <c r="I58" s="75"/>
      <c r="J58" s="75" t="s">
        <v>162</v>
      </c>
      <c r="K58" s="75" t="s">
        <v>509</v>
      </c>
      <c r="L58" s="75" t="s">
        <v>535</v>
      </c>
      <c r="M58" s="75" t="s">
        <v>509</v>
      </c>
      <c r="N58" s="75" t="s">
        <v>535</v>
      </c>
      <c r="O58" s="75" t="s">
        <v>850</v>
      </c>
    </row>
    <row r="59" spans="1:15">
      <c r="A59" s="63" t="s">
        <v>849</v>
      </c>
      <c r="B59" s="14" t="str">
        <f>VLOOKUP(O59,'护理记录单文书字典(数据)'!B$4:C$99,2,0)</f>
        <v>7874B2340CFAB21153BBE70252E9371F</v>
      </c>
      <c r="C59" s="87" t="s">
        <v>2115</v>
      </c>
      <c r="D59" s="14" t="s">
        <v>987</v>
      </c>
      <c r="E59" s="87">
        <v>1</v>
      </c>
      <c r="F59" s="87">
        <v>1</v>
      </c>
      <c r="G59" s="159" t="s">
        <v>988</v>
      </c>
      <c r="H59" s="75"/>
      <c r="I59" s="75"/>
      <c r="J59" s="75" t="s">
        <v>162</v>
      </c>
      <c r="K59" s="75" t="s">
        <v>509</v>
      </c>
      <c r="L59" s="75" t="s">
        <v>535</v>
      </c>
      <c r="M59" s="75" t="s">
        <v>509</v>
      </c>
      <c r="N59" s="75" t="s">
        <v>535</v>
      </c>
      <c r="O59" s="75" t="s">
        <v>850</v>
      </c>
    </row>
    <row r="60" spans="1:15">
      <c r="A60" s="63" t="s">
        <v>849</v>
      </c>
      <c r="B60" s="14" t="str">
        <f>VLOOKUP(O60,'护理记录单文书字典(数据)'!B$4:C$99,2,0)</f>
        <v>7874B2340CFAB21153BBE70252E9371F</v>
      </c>
      <c r="C60" s="87" t="s">
        <v>986</v>
      </c>
      <c r="D60" s="14" t="s">
        <v>987</v>
      </c>
      <c r="E60" s="87">
        <v>2</v>
      </c>
      <c r="F60" s="87">
        <v>2</v>
      </c>
      <c r="G60" s="159" t="s">
        <v>989</v>
      </c>
      <c r="H60" s="75"/>
      <c r="I60" s="75"/>
      <c r="J60" s="75" t="s">
        <v>162</v>
      </c>
      <c r="K60" s="75" t="s">
        <v>509</v>
      </c>
      <c r="L60" s="75" t="s">
        <v>535</v>
      </c>
      <c r="M60" s="75" t="s">
        <v>509</v>
      </c>
      <c r="N60" s="75" t="s">
        <v>535</v>
      </c>
      <c r="O60" s="75" t="s">
        <v>850</v>
      </c>
    </row>
    <row r="61" spans="1:15">
      <c r="A61" s="63" t="s">
        <v>849</v>
      </c>
      <c r="B61" s="14" t="str">
        <f>VLOOKUP(O61,'护理记录单文书字典(数据)'!B$4:C$99,2,0)</f>
        <v>7874B2340CFAB21153BBE70252E9371F</v>
      </c>
      <c r="C61" s="87" t="s">
        <v>986</v>
      </c>
      <c r="D61" s="14" t="s">
        <v>987</v>
      </c>
      <c r="E61" s="87">
        <v>3</v>
      </c>
      <c r="F61" s="87">
        <v>3</v>
      </c>
      <c r="G61" s="159" t="s">
        <v>990</v>
      </c>
      <c r="H61" s="75"/>
      <c r="I61" s="75"/>
      <c r="J61" s="75" t="s">
        <v>162</v>
      </c>
      <c r="K61" s="75" t="s">
        <v>509</v>
      </c>
      <c r="L61" s="75" t="s">
        <v>535</v>
      </c>
      <c r="M61" s="75" t="s">
        <v>509</v>
      </c>
      <c r="N61" s="75" t="s">
        <v>535</v>
      </c>
      <c r="O61" s="75" t="s">
        <v>850</v>
      </c>
    </row>
    <row r="62" spans="1:15">
      <c r="A62" s="63" t="s">
        <v>849</v>
      </c>
      <c r="B62" s="14" t="str">
        <f>VLOOKUP(O62,'护理记录单文书字典(数据)'!B$4:C$99,2,0)</f>
        <v>7874B2340CFAB21153BBE70252E9371F</v>
      </c>
      <c r="C62" s="87" t="s">
        <v>2116</v>
      </c>
      <c r="D62" s="14" t="s">
        <v>992</v>
      </c>
      <c r="E62" s="87">
        <v>1</v>
      </c>
      <c r="F62" s="87">
        <v>0</v>
      </c>
      <c r="G62" s="14" t="s">
        <v>961</v>
      </c>
      <c r="H62" s="75"/>
      <c r="I62" s="75"/>
      <c r="J62" s="75" t="s">
        <v>162</v>
      </c>
      <c r="K62" s="75" t="s">
        <v>509</v>
      </c>
      <c r="L62" s="75" t="s">
        <v>535</v>
      </c>
      <c r="M62" s="75" t="s">
        <v>509</v>
      </c>
      <c r="N62" s="75" t="s">
        <v>535</v>
      </c>
      <c r="O62" s="75" t="s">
        <v>850</v>
      </c>
    </row>
    <row r="63" spans="1:15">
      <c r="A63" s="63" t="s">
        <v>849</v>
      </c>
      <c r="B63" s="14" t="str">
        <f>VLOOKUP(O63,'护理记录单文书字典(数据)'!B$4:C$99,2,0)</f>
        <v>7874B2340CFAB21153BBE70252E9371F</v>
      </c>
      <c r="C63" s="87" t="s">
        <v>991</v>
      </c>
      <c r="D63" s="14" t="s">
        <v>992</v>
      </c>
      <c r="E63" s="87">
        <v>2</v>
      </c>
      <c r="F63" s="87">
        <v>1</v>
      </c>
      <c r="G63" s="14" t="s">
        <v>962</v>
      </c>
      <c r="H63" s="75"/>
      <c r="I63" s="75"/>
      <c r="J63" s="75" t="s">
        <v>162</v>
      </c>
      <c r="K63" s="75" t="s">
        <v>509</v>
      </c>
      <c r="L63" s="75" t="s">
        <v>535</v>
      </c>
      <c r="M63" s="75" t="s">
        <v>509</v>
      </c>
      <c r="N63" s="75" t="s">
        <v>535</v>
      </c>
      <c r="O63" s="75" t="s">
        <v>850</v>
      </c>
    </row>
    <row r="64" spans="1:15">
      <c r="A64" s="63" t="s">
        <v>849</v>
      </c>
      <c r="B64" s="14" t="str">
        <f>VLOOKUP(O64,'护理记录单文书字典(数据)'!B$4:C$99,2,0)</f>
        <v>7874B2340CFAB21153BBE70252E9371F</v>
      </c>
      <c r="C64" s="87" t="s">
        <v>2117</v>
      </c>
      <c r="D64" s="14" t="s">
        <v>994</v>
      </c>
      <c r="E64" s="87">
        <v>1</v>
      </c>
      <c r="F64" s="87">
        <v>1</v>
      </c>
      <c r="G64" s="14" t="s">
        <v>962</v>
      </c>
      <c r="H64" s="75"/>
      <c r="I64" s="75"/>
      <c r="J64" s="75" t="s">
        <v>162</v>
      </c>
      <c r="K64" s="75" t="s">
        <v>509</v>
      </c>
      <c r="L64" s="75" t="s">
        <v>535</v>
      </c>
      <c r="M64" s="75" t="s">
        <v>509</v>
      </c>
      <c r="N64" s="75" t="s">
        <v>535</v>
      </c>
      <c r="O64" s="75" t="s">
        <v>850</v>
      </c>
    </row>
    <row r="65" spans="1:15">
      <c r="A65" s="63" t="s">
        <v>849</v>
      </c>
      <c r="B65" s="14" t="str">
        <f>VLOOKUP(O65,'护理记录单文书字典(数据)'!B$4:C$99,2,0)</f>
        <v>7874B2340CFAB21153BBE70252E9371F</v>
      </c>
      <c r="C65" s="87" t="s">
        <v>993</v>
      </c>
      <c r="D65" s="14" t="s">
        <v>994</v>
      </c>
      <c r="E65" s="87">
        <v>2</v>
      </c>
      <c r="F65" s="87">
        <v>2</v>
      </c>
      <c r="G65" s="14" t="s">
        <v>995</v>
      </c>
      <c r="H65" s="75"/>
      <c r="I65" s="75"/>
      <c r="J65" s="75" t="s">
        <v>162</v>
      </c>
      <c r="K65" s="75" t="s">
        <v>509</v>
      </c>
      <c r="L65" s="75" t="s">
        <v>535</v>
      </c>
      <c r="M65" s="75" t="s">
        <v>509</v>
      </c>
      <c r="N65" s="75" t="s">
        <v>535</v>
      </c>
      <c r="O65" s="75" t="s">
        <v>850</v>
      </c>
    </row>
    <row r="66" spans="1:15">
      <c r="A66" s="63" t="s">
        <v>849</v>
      </c>
      <c r="B66" s="14" t="str">
        <f>VLOOKUP(O66,'护理记录单文书字典(数据)'!B$4:C$99,2,0)</f>
        <v>7874B2340CFAB21153BBE70252E9371F</v>
      </c>
      <c r="C66" s="87" t="s">
        <v>993</v>
      </c>
      <c r="D66" s="14" t="s">
        <v>994</v>
      </c>
      <c r="E66" s="87">
        <v>3</v>
      </c>
      <c r="F66" s="87">
        <v>3</v>
      </c>
      <c r="G66" s="14" t="s">
        <v>996</v>
      </c>
      <c r="H66" s="75"/>
      <c r="I66" s="75"/>
      <c r="J66" s="75" t="s">
        <v>162</v>
      </c>
      <c r="K66" s="75" t="s">
        <v>509</v>
      </c>
      <c r="L66" s="75" t="s">
        <v>535</v>
      </c>
      <c r="M66" s="75" t="s">
        <v>509</v>
      </c>
      <c r="N66" s="75" t="s">
        <v>535</v>
      </c>
      <c r="O66" s="75" t="s">
        <v>850</v>
      </c>
    </row>
    <row r="67" spans="1:15">
      <c r="A67" s="63" t="s">
        <v>849</v>
      </c>
      <c r="B67" s="14" t="str">
        <f>VLOOKUP(O67,'护理记录单文书字典(数据)'!B$4:C$99,2,0)</f>
        <v>7874B2340CFAB21153BBE70252E9371F</v>
      </c>
      <c r="C67" s="87" t="s">
        <v>2118</v>
      </c>
      <c r="D67" s="14" t="s">
        <v>998</v>
      </c>
      <c r="E67" s="87">
        <v>1</v>
      </c>
      <c r="F67" s="87">
        <v>1</v>
      </c>
      <c r="G67" s="14" t="s">
        <v>999</v>
      </c>
      <c r="H67" s="75"/>
      <c r="I67" s="75"/>
      <c r="J67" s="75" t="s">
        <v>162</v>
      </c>
      <c r="K67" s="75" t="s">
        <v>509</v>
      </c>
      <c r="L67" s="75" t="s">
        <v>535</v>
      </c>
      <c r="M67" s="75" t="s">
        <v>509</v>
      </c>
      <c r="N67" s="75" t="s">
        <v>535</v>
      </c>
      <c r="O67" s="75" t="s">
        <v>850</v>
      </c>
    </row>
    <row r="68" spans="1:15">
      <c r="A68" s="63" t="s">
        <v>849</v>
      </c>
      <c r="B68" s="14" t="str">
        <f>VLOOKUP(O68,'护理记录单文书字典(数据)'!B$4:C$99,2,0)</f>
        <v>7874B2340CFAB21153BBE70252E9371F</v>
      </c>
      <c r="C68" s="87" t="s">
        <v>997</v>
      </c>
      <c r="D68" s="14" t="s">
        <v>998</v>
      </c>
      <c r="E68" s="87">
        <v>2</v>
      </c>
      <c r="F68" s="87">
        <v>2</v>
      </c>
      <c r="G68" s="14" t="s">
        <v>1000</v>
      </c>
      <c r="H68" s="75"/>
      <c r="I68" s="75"/>
      <c r="J68" s="75" t="s">
        <v>162</v>
      </c>
      <c r="K68" s="75" t="s">
        <v>509</v>
      </c>
      <c r="L68" s="75" t="s">
        <v>535</v>
      </c>
      <c r="M68" s="75" t="s">
        <v>509</v>
      </c>
      <c r="N68" s="75" t="s">
        <v>535</v>
      </c>
      <c r="O68" s="75" t="s">
        <v>850</v>
      </c>
    </row>
    <row r="69" spans="1:15">
      <c r="A69" s="63" t="s">
        <v>849</v>
      </c>
      <c r="B69" s="14" t="str">
        <f>VLOOKUP(O69,'护理记录单文书字典(数据)'!B$4:C$99,2,0)</f>
        <v>7874B2340CFAB21153BBE70252E9371F</v>
      </c>
      <c r="C69" s="87" t="s">
        <v>997</v>
      </c>
      <c r="D69" s="14" t="s">
        <v>998</v>
      </c>
      <c r="E69" s="87">
        <v>3</v>
      </c>
      <c r="F69" s="87">
        <v>3</v>
      </c>
      <c r="G69" s="14" t="s">
        <v>1001</v>
      </c>
      <c r="H69" s="75"/>
      <c r="I69" s="75"/>
      <c r="J69" s="75" t="s">
        <v>162</v>
      </c>
      <c r="K69" s="75" t="s">
        <v>509</v>
      </c>
      <c r="L69" s="75" t="s">
        <v>535</v>
      </c>
      <c r="M69" s="75" t="s">
        <v>509</v>
      </c>
      <c r="N69" s="75" t="s">
        <v>535</v>
      </c>
      <c r="O69" s="75" t="s">
        <v>850</v>
      </c>
    </row>
    <row r="70" spans="1:15">
      <c r="A70" s="63" t="s">
        <v>849</v>
      </c>
      <c r="B70" s="14" t="str">
        <f>VLOOKUP(O70,'护理记录单文书字典(数据)'!B$4:C$99,2,0)</f>
        <v>7874B2340CFAB21153BBE70252E9371F</v>
      </c>
      <c r="C70" s="87" t="s">
        <v>997</v>
      </c>
      <c r="D70" s="14" t="s">
        <v>4214</v>
      </c>
      <c r="E70" s="87">
        <v>4</v>
      </c>
      <c r="F70" s="87">
        <v>4</v>
      </c>
      <c r="G70" s="14" t="s">
        <v>1002</v>
      </c>
      <c r="H70" s="75"/>
      <c r="I70" s="75"/>
      <c r="J70" s="75" t="s">
        <v>162</v>
      </c>
      <c r="K70" s="75" t="s">
        <v>509</v>
      </c>
      <c r="L70" s="75" t="s">
        <v>535</v>
      </c>
      <c r="M70" s="75" t="s">
        <v>509</v>
      </c>
      <c r="N70" s="75" t="s">
        <v>535</v>
      </c>
      <c r="O70" s="75" t="s">
        <v>850</v>
      </c>
    </row>
    <row r="71" spans="1:15">
      <c r="A71" s="63" t="s">
        <v>849</v>
      </c>
      <c r="B71" s="14" t="str">
        <f>VLOOKUP(O71,'护理记录单文书字典(数据)'!B$4:C$99,2,0)</f>
        <v>B750B8340CFAB2112E84DCC7EA528475</v>
      </c>
      <c r="C71" s="87" t="s">
        <v>4226</v>
      </c>
      <c r="D71" s="14" t="s">
        <v>4215</v>
      </c>
      <c r="E71" s="87">
        <v>1</v>
      </c>
      <c r="F71" s="87">
        <v>1</v>
      </c>
      <c r="G71" s="14" t="s">
        <v>1004</v>
      </c>
      <c r="H71" s="75"/>
      <c r="I71" s="75"/>
      <c r="J71" s="75" t="s">
        <v>162</v>
      </c>
      <c r="K71" s="75" t="s">
        <v>509</v>
      </c>
      <c r="L71" s="75" t="s">
        <v>535</v>
      </c>
      <c r="M71" s="75" t="s">
        <v>509</v>
      </c>
      <c r="N71" s="75" t="s">
        <v>535</v>
      </c>
      <c r="O71" s="159" t="s">
        <v>1005</v>
      </c>
    </row>
    <row r="72" spans="1:15">
      <c r="A72" s="63" t="s">
        <v>849</v>
      </c>
      <c r="B72" s="14" t="str">
        <f>VLOOKUP(O72,'护理记录单文书字典(数据)'!B$4:C$99,2,0)</f>
        <v>B750B8340CFAB2112E84DCC7EA528475</v>
      </c>
      <c r="C72" s="87" t="s">
        <v>4224</v>
      </c>
      <c r="D72" s="14" t="s">
        <v>4215</v>
      </c>
      <c r="E72" s="87">
        <v>2</v>
      </c>
      <c r="F72" s="87">
        <v>2</v>
      </c>
      <c r="G72" s="14" t="s">
        <v>1006</v>
      </c>
      <c r="H72" s="75"/>
      <c r="I72" s="75"/>
      <c r="J72" s="75" t="s">
        <v>162</v>
      </c>
      <c r="K72" s="75" t="s">
        <v>509</v>
      </c>
      <c r="L72" s="75" t="s">
        <v>535</v>
      </c>
      <c r="M72" s="75" t="s">
        <v>509</v>
      </c>
      <c r="N72" s="75" t="s">
        <v>535</v>
      </c>
      <c r="O72" s="159" t="s">
        <v>1005</v>
      </c>
    </row>
    <row r="73" spans="1:15">
      <c r="A73" s="63" t="s">
        <v>849</v>
      </c>
      <c r="B73" s="14" t="str">
        <f>VLOOKUP(O73,'护理记录单文书字典(数据)'!B$4:C$99,2,0)</f>
        <v>B750B8340CFAB2112E84DCC7EA528475</v>
      </c>
      <c r="C73" s="87" t="s">
        <v>4224</v>
      </c>
      <c r="D73" s="14" t="s">
        <v>4215</v>
      </c>
      <c r="E73" s="87">
        <v>3</v>
      </c>
      <c r="F73" s="87">
        <v>3</v>
      </c>
      <c r="G73" s="14" t="s">
        <v>1007</v>
      </c>
      <c r="H73" s="75"/>
      <c r="I73" s="75"/>
      <c r="J73" s="75" t="s">
        <v>162</v>
      </c>
      <c r="K73" s="75" t="s">
        <v>509</v>
      </c>
      <c r="L73" s="75" t="s">
        <v>535</v>
      </c>
      <c r="M73" s="75" t="s">
        <v>509</v>
      </c>
      <c r="N73" s="75" t="s">
        <v>535</v>
      </c>
      <c r="O73" s="159" t="s">
        <v>1005</v>
      </c>
    </row>
    <row r="74" spans="1:15">
      <c r="A74" s="63" t="s">
        <v>849</v>
      </c>
      <c r="B74" s="14" t="str">
        <f>VLOOKUP(O74,'护理记录单文书字典(数据)'!B$4:C$99,2,0)</f>
        <v>B750B8340CFAB2112E84DCC7EA528475</v>
      </c>
      <c r="C74" s="87" t="s">
        <v>4224</v>
      </c>
      <c r="D74" s="14" t="s">
        <v>4215</v>
      </c>
      <c r="E74" s="87">
        <v>4</v>
      </c>
      <c r="F74" s="87">
        <v>4</v>
      </c>
      <c r="G74" s="158" t="s">
        <v>4218</v>
      </c>
      <c r="H74" s="75"/>
      <c r="I74" s="75"/>
      <c r="J74" s="75" t="s">
        <v>162</v>
      </c>
      <c r="K74" s="75" t="s">
        <v>509</v>
      </c>
      <c r="L74" s="75" t="s">
        <v>535</v>
      </c>
      <c r="M74" s="75" t="s">
        <v>509</v>
      </c>
      <c r="N74" s="75" t="s">
        <v>535</v>
      </c>
      <c r="O74" s="159" t="s">
        <v>1005</v>
      </c>
    </row>
    <row r="75" spans="1:15">
      <c r="A75" s="63" t="s">
        <v>849</v>
      </c>
      <c r="B75" s="14" t="str">
        <f>VLOOKUP(O75,'护理记录单文书字典(数据)'!B$4:C$99,2,0)</f>
        <v>B750B8340CFAB2112E84DCC7EA528475</v>
      </c>
      <c r="C75" s="87" t="s">
        <v>4224</v>
      </c>
      <c r="D75" s="14" t="s">
        <v>4215</v>
      </c>
      <c r="E75" s="87">
        <v>5</v>
      </c>
      <c r="F75" s="87">
        <v>5</v>
      </c>
      <c r="G75" s="14" t="s">
        <v>1008</v>
      </c>
      <c r="H75" s="75"/>
      <c r="I75" s="75"/>
      <c r="J75" s="75" t="s">
        <v>162</v>
      </c>
      <c r="K75" s="75" t="s">
        <v>509</v>
      </c>
      <c r="L75" s="75" t="s">
        <v>535</v>
      </c>
      <c r="M75" s="75" t="s">
        <v>509</v>
      </c>
      <c r="N75" s="75" t="s">
        <v>535</v>
      </c>
      <c r="O75" s="159" t="s">
        <v>1005</v>
      </c>
    </row>
    <row r="76" spans="1:15">
      <c r="A76" s="63" t="s">
        <v>849</v>
      </c>
      <c r="B76" s="14" t="str">
        <f>VLOOKUP(O76,'护理记录单文书字典(数据)'!B$4:C$99,2,0)</f>
        <v>B750B8340CFAB2112E84DCC7EA528475</v>
      </c>
      <c r="C76" s="87" t="s">
        <v>4224</v>
      </c>
      <c r="D76" s="14" t="s">
        <v>4215</v>
      </c>
      <c r="E76" s="87">
        <v>6</v>
      </c>
      <c r="F76" s="87">
        <v>6</v>
      </c>
      <c r="G76" s="158" t="s">
        <v>1009</v>
      </c>
      <c r="H76" s="75"/>
      <c r="I76" s="75"/>
      <c r="J76" s="75" t="s">
        <v>162</v>
      </c>
      <c r="K76" s="75" t="s">
        <v>509</v>
      </c>
      <c r="L76" s="75" t="s">
        <v>535</v>
      </c>
      <c r="M76" s="75" t="s">
        <v>509</v>
      </c>
      <c r="N76" s="75" t="s">
        <v>535</v>
      </c>
      <c r="O76" s="159" t="s">
        <v>1005</v>
      </c>
    </row>
    <row r="77" spans="1:15">
      <c r="A77" s="63" t="s">
        <v>849</v>
      </c>
      <c r="B77" s="14" t="str">
        <f>VLOOKUP(O77,'护理记录单文书字典(数据)'!B$4:C$99,2,0)</f>
        <v>B750B8340CFAB2112E84DCC7EA528475</v>
      </c>
      <c r="C77" s="87" t="s">
        <v>4224</v>
      </c>
      <c r="D77" s="14" t="s">
        <v>4216</v>
      </c>
      <c r="E77" s="87">
        <v>7</v>
      </c>
      <c r="F77" s="87">
        <v>7</v>
      </c>
      <c r="G77" s="14" t="s">
        <v>4219</v>
      </c>
      <c r="H77" s="75"/>
      <c r="I77" s="75"/>
      <c r="J77" s="75" t="s">
        <v>162</v>
      </c>
      <c r="K77" s="75" t="s">
        <v>509</v>
      </c>
      <c r="L77" s="75" t="s">
        <v>535</v>
      </c>
      <c r="M77" s="75" t="s">
        <v>509</v>
      </c>
      <c r="N77" s="75" t="s">
        <v>535</v>
      </c>
      <c r="O77" s="159" t="s">
        <v>1005</v>
      </c>
    </row>
    <row r="78" spans="1:15">
      <c r="A78" s="63" t="s">
        <v>849</v>
      </c>
      <c r="B78" s="14" t="str">
        <f>VLOOKUP(O78,'护理记录单文书字典(数据)'!B$4:C$99,2,0)</f>
        <v>B750B8340CFAB2112E84DCC7EA528475</v>
      </c>
      <c r="C78" s="87" t="s">
        <v>4227</v>
      </c>
      <c r="D78" s="14" t="s">
        <v>4217</v>
      </c>
      <c r="E78" s="87">
        <v>1</v>
      </c>
      <c r="F78" s="87">
        <v>1</v>
      </c>
      <c r="G78" s="14" t="s">
        <v>4220</v>
      </c>
      <c r="H78" s="75"/>
      <c r="I78" s="75"/>
      <c r="J78" s="75" t="s">
        <v>162</v>
      </c>
      <c r="K78" s="75" t="s">
        <v>509</v>
      </c>
      <c r="L78" s="75" t="s">
        <v>535</v>
      </c>
      <c r="M78" s="75" t="s">
        <v>509</v>
      </c>
      <c r="N78" s="75" t="s">
        <v>535</v>
      </c>
      <c r="O78" s="159" t="s">
        <v>1005</v>
      </c>
    </row>
    <row r="79" spans="1:15">
      <c r="A79" s="63" t="s">
        <v>849</v>
      </c>
      <c r="B79" s="14" t="str">
        <f>VLOOKUP(O79,'护理记录单文书字典(数据)'!B$4:C$99,2,0)</f>
        <v>B750B8340CFAB2112E84DCC7EA528475</v>
      </c>
      <c r="C79" s="87" t="s">
        <v>4225</v>
      </c>
      <c r="D79" s="14" t="s">
        <v>4217</v>
      </c>
      <c r="E79" s="87">
        <v>2</v>
      </c>
      <c r="F79" s="87">
        <v>2</v>
      </c>
      <c r="G79" s="14" t="s">
        <v>4221</v>
      </c>
      <c r="H79" s="75"/>
      <c r="I79" s="75"/>
      <c r="J79" s="75" t="s">
        <v>162</v>
      </c>
      <c r="K79" s="75" t="s">
        <v>509</v>
      </c>
      <c r="L79" s="75" t="s">
        <v>535</v>
      </c>
      <c r="M79" s="75" t="s">
        <v>509</v>
      </c>
      <c r="N79" s="75" t="s">
        <v>535</v>
      </c>
      <c r="O79" s="159" t="s">
        <v>1005</v>
      </c>
    </row>
    <row r="80" spans="1:15">
      <c r="A80" s="63" t="s">
        <v>849</v>
      </c>
      <c r="B80" s="14" t="str">
        <f>VLOOKUP(O80,'护理记录单文书字典(数据)'!B$4:C$99,2,0)</f>
        <v>B750B8340CFAB2112E84DCC7EA528475</v>
      </c>
      <c r="C80" s="87" t="s">
        <v>4225</v>
      </c>
      <c r="D80" s="14" t="s">
        <v>4217</v>
      </c>
      <c r="E80" s="87">
        <v>3</v>
      </c>
      <c r="F80" s="87">
        <v>3</v>
      </c>
      <c r="G80" s="14" t="s">
        <v>4222</v>
      </c>
      <c r="H80" s="75"/>
      <c r="I80" s="75"/>
      <c r="J80" s="75" t="s">
        <v>162</v>
      </c>
      <c r="K80" s="75" t="s">
        <v>509</v>
      </c>
      <c r="L80" s="75" t="s">
        <v>535</v>
      </c>
      <c r="M80" s="75" t="s">
        <v>509</v>
      </c>
      <c r="N80" s="75" t="s">
        <v>535</v>
      </c>
      <c r="O80" s="159" t="s">
        <v>1005</v>
      </c>
    </row>
    <row r="81" spans="1:15">
      <c r="A81" s="63" t="s">
        <v>176</v>
      </c>
      <c r="B81" s="14" t="str">
        <f>VLOOKUP(O81,'护理记录单文书字典(数据)'!B$4:C$99,2,0)</f>
        <v>B750B8340CFAB2112E84DCC7EA528475</v>
      </c>
      <c r="C81" s="87" t="s">
        <v>4225</v>
      </c>
      <c r="D81" s="14" t="s">
        <v>4217</v>
      </c>
      <c r="E81" s="87">
        <v>4</v>
      </c>
      <c r="F81" s="87">
        <v>4</v>
      </c>
      <c r="G81" s="14" t="s">
        <v>4223</v>
      </c>
      <c r="H81" s="75"/>
      <c r="I81" s="75"/>
      <c r="J81" s="75" t="s">
        <v>162</v>
      </c>
      <c r="K81" s="75" t="s">
        <v>509</v>
      </c>
      <c r="L81" s="75" t="s">
        <v>535</v>
      </c>
      <c r="M81" s="75" t="s">
        <v>509</v>
      </c>
      <c r="N81" s="75" t="s">
        <v>535</v>
      </c>
      <c r="O81" s="159" t="s">
        <v>1005</v>
      </c>
    </row>
    <row r="82" spans="1:15" s="164" customFormat="1">
      <c r="A82" s="63" t="s">
        <v>849</v>
      </c>
      <c r="B82" s="162" t="str">
        <f>VLOOKUP(O82,'护理记录单文书字典(数据)'!B$4:C$99,2,0)</f>
        <v>B750B8340CFAB2112E84DCC7EA528475</v>
      </c>
      <c r="C82" s="163" t="s">
        <v>2130</v>
      </c>
      <c r="D82" s="162" t="s">
        <v>2096</v>
      </c>
      <c r="E82" s="163">
        <v>1</v>
      </c>
      <c r="F82" s="163">
        <v>0</v>
      </c>
      <c r="G82" s="162" t="s">
        <v>2065</v>
      </c>
      <c r="H82" s="162"/>
      <c r="I82" s="162"/>
      <c r="J82" s="162" t="s">
        <v>162</v>
      </c>
      <c r="K82" s="162" t="s">
        <v>509</v>
      </c>
      <c r="L82" s="162" t="s">
        <v>535</v>
      </c>
      <c r="M82" s="162" t="s">
        <v>509</v>
      </c>
      <c r="N82" s="162" t="s">
        <v>535</v>
      </c>
      <c r="O82" s="159" t="s">
        <v>1005</v>
      </c>
    </row>
    <row r="83" spans="1:15" s="164" customFormat="1">
      <c r="A83" s="63" t="s">
        <v>849</v>
      </c>
      <c r="B83" s="162" t="str">
        <f>VLOOKUP(O83,'护理记录单文书字典(数据)'!B$4:C$99,2,0)</f>
        <v>B750B8340CFAB2112E84DCC7EA528475</v>
      </c>
      <c r="C83" s="163" t="s">
        <v>2095</v>
      </c>
      <c r="D83" s="162" t="s">
        <v>2097</v>
      </c>
      <c r="E83" s="163">
        <v>1</v>
      </c>
      <c r="F83" s="163">
        <v>1</v>
      </c>
      <c r="G83" s="162" t="s">
        <v>2066</v>
      </c>
      <c r="H83" s="162"/>
      <c r="I83" s="162"/>
      <c r="J83" s="162" t="s">
        <v>162</v>
      </c>
      <c r="K83" s="162" t="s">
        <v>509</v>
      </c>
      <c r="L83" s="162" t="s">
        <v>535</v>
      </c>
      <c r="M83" s="162" t="s">
        <v>509</v>
      </c>
      <c r="N83" s="162" t="s">
        <v>535</v>
      </c>
      <c r="O83" s="159" t="s">
        <v>1005</v>
      </c>
    </row>
    <row r="84" spans="1:15">
      <c r="A84" s="63" t="s">
        <v>849</v>
      </c>
      <c r="B84" s="14" t="str">
        <f>VLOOKUP(O84,'护理记录单文书字典(数据)'!B$4:C$99,2,0)</f>
        <v>20AFDB340CFAB211B39272ABF357F31C</v>
      </c>
      <c r="C84" s="87" t="s">
        <v>1011</v>
      </c>
      <c r="D84" s="14" t="s">
        <v>1012</v>
      </c>
      <c r="E84" s="87">
        <v>1</v>
      </c>
      <c r="F84" s="87">
        <v>1</v>
      </c>
      <c r="G84" s="14" t="s">
        <v>1013</v>
      </c>
      <c r="H84" s="75"/>
      <c r="I84" s="75"/>
      <c r="J84" s="75" t="s">
        <v>162</v>
      </c>
      <c r="K84" s="75" t="s">
        <v>509</v>
      </c>
      <c r="L84" s="75" t="s">
        <v>535</v>
      </c>
      <c r="M84" s="75" t="s">
        <v>509</v>
      </c>
      <c r="N84" s="75" t="s">
        <v>535</v>
      </c>
      <c r="O84" s="75" t="s">
        <v>851</v>
      </c>
    </row>
    <row r="85" spans="1:15">
      <c r="A85" s="63" t="s">
        <v>849</v>
      </c>
      <c r="B85" s="14" t="str">
        <f>VLOOKUP(O85,'护理记录单文书字典(数据)'!B$4:C$99,2,0)</f>
        <v>20AFDB340CFAB211B39272ABF357F31C</v>
      </c>
      <c r="C85" s="87" t="s">
        <v>1011</v>
      </c>
      <c r="D85" s="14" t="s">
        <v>1012</v>
      </c>
      <c r="E85" s="87">
        <v>2</v>
      </c>
      <c r="F85" s="87">
        <v>2</v>
      </c>
      <c r="G85" s="14" t="s">
        <v>1014</v>
      </c>
      <c r="H85" s="75"/>
      <c r="I85" s="75"/>
      <c r="J85" s="75" t="s">
        <v>162</v>
      </c>
      <c r="K85" s="75" t="s">
        <v>509</v>
      </c>
      <c r="L85" s="75" t="s">
        <v>535</v>
      </c>
      <c r="M85" s="75" t="s">
        <v>509</v>
      </c>
      <c r="N85" s="75" t="s">
        <v>535</v>
      </c>
      <c r="O85" s="75" t="s">
        <v>851</v>
      </c>
    </row>
    <row r="86" spans="1:15">
      <c r="A86" s="63" t="s">
        <v>849</v>
      </c>
      <c r="B86" s="14" t="str">
        <f>VLOOKUP(O86,'护理记录单文书字典(数据)'!B$4:C$99,2,0)</f>
        <v>20AFDB340CFAB211B39272ABF357F31C</v>
      </c>
      <c r="C86" s="87" t="s">
        <v>1011</v>
      </c>
      <c r="D86" s="14" t="s">
        <v>1012</v>
      </c>
      <c r="E86" s="87">
        <v>3</v>
      </c>
      <c r="F86" s="87">
        <v>3</v>
      </c>
      <c r="G86" s="14" t="s">
        <v>1015</v>
      </c>
      <c r="H86" s="75"/>
      <c r="I86" s="75"/>
      <c r="J86" s="75" t="s">
        <v>162</v>
      </c>
      <c r="K86" s="75" t="s">
        <v>509</v>
      </c>
      <c r="L86" s="75" t="s">
        <v>535</v>
      </c>
      <c r="M86" s="75" t="s">
        <v>509</v>
      </c>
      <c r="N86" s="75" t="s">
        <v>535</v>
      </c>
      <c r="O86" s="75" t="s">
        <v>851</v>
      </c>
    </row>
    <row r="87" spans="1:15">
      <c r="A87" s="63" t="s">
        <v>849</v>
      </c>
      <c r="B87" s="14" t="str">
        <f>VLOOKUP(O87,'护理记录单文书字典(数据)'!B$4:C$99,2,0)</f>
        <v>20AFDB340CFAB211B39272ABF357F31C</v>
      </c>
      <c r="C87" s="87" t="s">
        <v>1016</v>
      </c>
      <c r="D87" s="14" t="s">
        <v>1017</v>
      </c>
      <c r="E87" s="87">
        <v>1</v>
      </c>
      <c r="F87" s="87">
        <v>1</v>
      </c>
      <c r="G87" s="14" t="s">
        <v>1018</v>
      </c>
      <c r="H87" s="75"/>
      <c r="I87" s="75"/>
      <c r="J87" s="75" t="s">
        <v>162</v>
      </c>
      <c r="K87" s="75" t="s">
        <v>509</v>
      </c>
      <c r="L87" s="75" t="s">
        <v>535</v>
      </c>
      <c r="M87" s="75" t="s">
        <v>509</v>
      </c>
      <c r="N87" s="75" t="s">
        <v>535</v>
      </c>
      <c r="O87" s="75" t="s">
        <v>851</v>
      </c>
    </row>
    <row r="88" spans="1:15">
      <c r="A88" s="63" t="s">
        <v>849</v>
      </c>
      <c r="B88" s="14" t="str">
        <f>VLOOKUP(O88,'护理记录单文书字典(数据)'!B$4:C$99,2,0)</f>
        <v>20AFDB340CFAB211B39272ABF357F31C</v>
      </c>
      <c r="C88" s="87" t="s">
        <v>1016</v>
      </c>
      <c r="D88" s="14" t="s">
        <v>1017</v>
      </c>
      <c r="E88" s="87">
        <v>2</v>
      </c>
      <c r="F88" s="87">
        <v>2</v>
      </c>
      <c r="G88" s="14" t="s">
        <v>1019</v>
      </c>
      <c r="H88" s="75"/>
      <c r="I88" s="75"/>
      <c r="J88" s="75" t="s">
        <v>162</v>
      </c>
      <c r="K88" s="75" t="s">
        <v>509</v>
      </c>
      <c r="L88" s="75" t="s">
        <v>535</v>
      </c>
      <c r="M88" s="75" t="s">
        <v>509</v>
      </c>
      <c r="N88" s="75" t="s">
        <v>535</v>
      </c>
      <c r="O88" s="75" t="s">
        <v>851</v>
      </c>
    </row>
    <row r="89" spans="1:15">
      <c r="A89" s="63" t="s">
        <v>849</v>
      </c>
      <c r="B89" s="14" t="str">
        <f>VLOOKUP(O89,'护理记录单文书字典(数据)'!B$4:C$99,2,0)</f>
        <v>20AFDB340CFAB211B39272ABF357F31C</v>
      </c>
      <c r="C89" s="87" t="s">
        <v>1016</v>
      </c>
      <c r="D89" s="14" t="s">
        <v>1017</v>
      </c>
      <c r="E89" s="87">
        <v>3</v>
      </c>
      <c r="F89" s="87">
        <v>3</v>
      </c>
      <c r="G89" s="14" t="s">
        <v>1020</v>
      </c>
      <c r="H89" s="75"/>
      <c r="I89" s="75"/>
      <c r="J89" s="75" t="s">
        <v>162</v>
      </c>
      <c r="K89" s="75" t="s">
        <v>509</v>
      </c>
      <c r="L89" s="75" t="s">
        <v>535</v>
      </c>
      <c r="M89" s="75" t="s">
        <v>509</v>
      </c>
      <c r="N89" s="75" t="s">
        <v>535</v>
      </c>
      <c r="O89" s="75" t="s">
        <v>851</v>
      </c>
    </row>
    <row r="90" spans="1:15">
      <c r="A90" s="63" t="s">
        <v>849</v>
      </c>
      <c r="B90" s="14" t="str">
        <f>VLOOKUP(O90,'护理记录单文书字典(数据)'!B$4:C$99,2,0)</f>
        <v>20AFDB340CFAB211B39272ABF357F31C</v>
      </c>
      <c r="C90" s="87" t="s">
        <v>1021</v>
      </c>
      <c r="D90" s="14" t="s">
        <v>1022</v>
      </c>
      <c r="E90" s="87">
        <v>1</v>
      </c>
      <c r="F90" s="87">
        <v>1</v>
      </c>
      <c r="G90" s="14" t="s">
        <v>1023</v>
      </c>
      <c r="H90" s="75"/>
      <c r="I90" s="75"/>
      <c r="J90" s="75" t="s">
        <v>162</v>
      </c>
      <c r="K90" s="75" t="s">
        <v>509</v>
      </c>
      <c r="L90" s="75" t="s">
        <v>535</v>
      </c>
      <c r="M90" s="75" t="s">
        <v>509</v>
      </c>
      <c r="N90" s="75" t="s">
        <v>535</v>
      </c>
      <c r="O90" s="75" t="s">
        <v>851</v>
      </c>
    </row>
    <row r="91" spans="1:15">
      <c r="A91" s="63" t="s">
        <v>849</v>
      </c>
      <c r="B91" s="14" t="str">
        <f>VLOOKUP(O91,'护理记录单文书字典(数据)'!B$4:C$99,2,0)</f>
        <v>20AFDB340CFAB211B39272ABF357F31C</v>
      </c>
      <c r="C91" s="87" t="s">
        <v>1021</v>
      </c>
      <c r="D91" s="14" t="s">
        <v>1022</v>
      </c>
      <c r="E91" s="87">
        <v>2</v>
      </c>
      <c r="F91" s="87">
        <v>2</v>
      </c>
      <c r="G91" s="14" t="s">
        <v>1024</v>
      </c>
      <c r="H91" s="75"/>
      <c r="I91" s="75"/>
      <c r="J91" s="75" t="s">
        <v>162</v>
      </c>
      <c r="K91" s="75" t="s">
        <v>509</v>
      </c>
      <c r="L91" s="75" t="s">
        <v>535</v>
      </c>
      <c r="M91" s="75" t="s">
        <v>509</v>
      </c>
      <c r="N91" s="75" t="s">
        <v>535</v>
      </c>
      <c r="O91" s="75" t="s">
        <v>851</v>
      </c>
    </row>
    <row r="92" spans="1:15">
      <c r="A92" s="63" t="s">
        <v>849</v>
      </c>
      <c r="B92" s="14" t="str">
        <f>VLOOKUP(O92,'护理记录单文书字典(数据)'!B$4:C$99,2,0)</f>
        <v>20AFDB340CFAB211B39272ABF357F31C</v>
      </c>
      <c r="C92" s="87" t="s">
        <v>1021</v>
      </c>
      <c r="D92" s="14" t="s">
        <v>1022</v>
      </c>
      <c r="E92" s="87">
        <v>3</v>
      </c>
      <c r="F92" s="87">
        <v>3</v>
      </c>
      <c r="G92" s="14" t="s">
        <v>995</v>
      </c>
      <c r="H92" s="75"/>
      <c r="I92" s="75"/>
      <c r="J92" s="75" t="s">
        <v>162</v>
      </c>
      <c r="K92" s="75" t="s">
        <v>509</v>
      </c>
      <c r="L92" s="75" t="s">
        <v>535</v>
      </c>
      <c r="M92" s="75" t="s">
        <v>509</v>
      </c>
      <c r="N92" s="75" t="s">
        <v>535</v>
      </c>
      <c r="O92" s="75" t="s">
        <v>851</v>
      </c>
    </row>
    <row r="93" spans="1:15">
      <c r="A93" s="63" t="s">
        <v>849</v>
      </c>
      <c r="B93" s="14" t="str">
        <f>VLOOKUP(O93,'护理记录单文书字典(数据)'!B$4:C$99,2,0)</f>
        <v>20AFDB340CFAB211B39272ABF357F31C</v>
      </c>
      <c r="C93" s="87" t="s">
        <v>1021</v>
      </c>
      <c r="D93" s="14" t="s">
        <v>1022</v>
      </c>
      <c r="E93" s="87">
        <v>4</v>
      </c>
      <c r="F93" s="87">
        <v>4</v>
      </c>
      <c r="G93" s="14" t="s">
        <v>1020</v>
      </c>
      <c r="H93" s="75"/>
      <c r="I93" s="75"/>
      <c r="J93" s="75" t="s">
        <v>162</v>
      </c>
      <c r="K93" s="75" t="s">
        <v>509</v>
      </c>
      <c r="L93" s="75" t="s">
        <v>535</v>
      </c>
      <c r="M93" s="75" t="s">
        <v>509</v>
      </c>
      <c r="N93" s="75" t="s">
        <v>535</v>
      </c>
      <c r="O93" s="75" t="s">
        <v>851</v>
      </c>
    </row>
    <row r="94" spans="1:15">
      <c r="A94" s="63" t="s">
        <v>849</v>
      </c>
      <c r="B94" s="14" t="str">
        <f>VLOOKUP(O94,'护理记录单文书字典(数据)'!B$4:C$99,2,0)</f>
        <v>20AFDB340CFAB211B39272ABF357F31C</v>
      </c>
      <c r="C94" s="87" t="s">
        <v>1025</v>
      </c>
      <c r="D94" s="14" t="s">
        <v>1026</v>
      </c>
      <c r="E94" s="87">
        <v>1</v>
      </c>
      <c r="F94" s="87">
        <v>1</v>
      </c>
      <c r="G94" s="14" t="s">
        <v>1027</v>
      </c>
      <c r="H94" s="75"/>
      <c r="I94" s="75"/>
      <c r="J94" s="75" t="s">
        <v>162</v>
      </c>
      <c r="K94" s="75" t="s">
        <v>509</v>
      </c>
      <c r="L94" s="75" t="s">
        <v>535</v>
      </c>
      <c r="M94" s="75" t="s">
        <v>509</v>
      </c>
      <c r="N94" s="75" t="s">
        <v>535</v>
      </c>
      <c r="O94" s="75" t="s">
        <v>851</v>
      </c>
    </row>
    <row r="95" spans="1:15">
      <c r="A95" s="63" t="s">
        <v>849</v>
      </c>
      <c r="B95" s="14" t="str">
        <f>VLOOKUP(O95,'护理记录单文书字典(数据)'!B$4:C$99,2,0)</f>
        <v>20AFDB340CFAB211B39272ABF357F31C</v>
      </c>
      <c r="C95" s="87" t="s">
        <v>1025</v>
      </c>
      <c r="D95" s="14" t="s">
        <v>1026</v>
      </c>
      <c r="E95" s="87">
        <v>2</v>
      </c>
      <c r="F95" s="87">
        <v>2</v>
      </c>
      <c r="G95" s="14" t="s">
        <v>1028</v>
      </c>
      <c r="H95" s="75"/>
      <c r="I95" s="75"/>
      <c r="J95" s="75" t="s">
        <v>162</v>
      </c>
      <c r="K95" s="75" t="s">
        <v>509</v>
      </c>
      <c r="L95" s="75" t="s">
        <v>535</v>
      </c>
      <c r="M95" s="75" t="s">
        <v>509</v>
      </c>
      <c r="N95" s="75" t="s">
        <v>535</v>
      </c>
      <c r="O95" s="75" t="s">
        <v>851</v>
      </c>
    </row>
    <row r="96" spans="1:15">
      <c r="A96" s="63" t="s">
        <v>849</v>
      </c>
      <c r="B96" s="14" t="str">
        <f>VLOOKUP(O96,'护理记录单文书字典(数据)'!B$4:C$99,2,0)</f>
        <v>20AFDB340CFAB211B39272ABF357F31C</v>
      </c>
      <c r="C96" s="87" t="s">
        <v>1025</v>
      </c>
      <c r="D96" s="14" t="s">
        <v>1026</v>
      </c>
      <c r="E96" s="87">
        <v>3</v>
      </c>
      <c r="F96" s="87">
        <v>3</v>
      </c>
      <c r="G96" s="14" t="s">
        <v>1029</v>
      </c>
      <c r="H96" s="75"/>
      <c r="I96" s="75"/>
      <c r="J96" s="75" t="s">
        <v>162</v>
      </c>
      <c r="K96" s="75" t="s">
        <v>509</v>
      </c>
      <c r="L96" s="75" t="s">
        <v>535</v>
      </c>
      <c r="M96" s="75" t="s">
        <v>509</v>
      </c>
      <c r="N96" s="75" t="s">
        <v>535</v>
      </c>
      <c r="O96" s="75" t="s">
        <v>851</v>
      </c>
    </row>
    <row r="97" spans="1:15">
      <c r="A97" s="63" t="s">
        <v>849</v>
      </c>
      <c r="B97" s="14" t="str">
        <f>VLOOKUP(O97,'护理记录单文书字典(数据)'!B$4:C$99,2,0)</f>
        <v>20AFDB340CFAB211B39272ABF357F31C</v>
      </c>
      <c r="C97" s="87" t="s">
        <v>3451</v>
      </c>
      <c r="D97" s="14" t="s">
        <v>1026</v>
      </c>
      <c r="E97" s="87">
        <v>4</v>
      </c>
      <c r="F97" s="87">
        <v>4</v>
      </c>
      <c r="G97" s="14" t="s">
        <v>1030</v>
      </c>
      <c r="H97" s="75"/>
      <c r="I97" s="75"/>
      <c r="J97" s="75" t="s">
        <v>162</v>
      </c>
      <c r="K97" s="75" t="s">
        <v>509</v>
      </c>
      <c r="L97" s="75" t="s">
        <v>535</v>
      </c>
      <c r="M97" s="75" t="s">
        <v>509</v>
      </c>
      <c r="N97" s="75" t="s">
        <v>535</v>
      </c>
      <c r="O97" s="75" t="s">
        <v>851</v>
      </c>
    </row>
    <row r="98" spans="1:15">
      <c r="A98" s="63" t="s">
        <v>849</v>
      </c>
      <c r="B98" s="14" t="str">
        <f>VLOOKUP(O98,'护理记录单文书字典(数据)'!B$4:C$99,2,0)</f>
        <v>20AFDB340CFAB211B39272ABF357F31C</v>
      </c>
      <c r="C98" s="84" t="s">
        <v>4059</v>
      </c>
      <c r="D98" s="14" t="s">
        <v>1031</v>
      </c>
      <c r="E98" s="87">
        <v>1</v>
      </c>
      <c r="F98" s="87">
        <v>1</v>
      </c>
      <c r="G98" s="14" t="s">
        <v>1032</v>
      </c>
      <c r="H98" s="75"/>
      <c r="I98" s="75"/>
      <c r="J98" s="75" t="s">
        <v>162</v>
      </c>
      <c r="K98" s="75" t="s">
        <v>509</v>
      </c>
      <c r="L98" s="75" t="s">
        <v>535</v>
      </c>
      <c r="M98" s="75" t="s">
        <v>509</v>
      </c>
      <c r="N98" s="75" t="s">
        <v>535</v>
      </c>
      <c r="O98" s="75" t="s">
        <v>851</v>
      </c>
    </row>
    <row r="99" spans="1:15">
      <c r="A99" s="63" t="s">
        <v>849</v>
      </c>
      <c r="B99" s="14" t="str">
        <f>VLOOKUP(O99,'护理记录单文书字典(数据)'!B$4:C$99,2,0)</f>
        <v>20AFDB340CFAB211B39272ABF357F31C</v>
      </c>
      <c r="C99" s="84" t="s">
        <v>4059</v>
      </c>
      <c r="D99" s="14" t="s">
        <v>1031</v>
      </c>
      <c r="E99" s="87">
        <v>2</v>
      </c>
      <c r="F99" s="87">
        <v>2</v>
      </c>
      <c r="G99" s="14" t="s">
        <v>1033</v>
      </c>
      <c r="H99" s="75"/>
      <c r="I99" s="75"/>
      <c r="J99" s="75" t="s">
        <v>162</v>
      </c>
      <c r="K99" s="75" t="s">
        <v>509</v>
      </c>
      <c r="L99" s="75" t="s">
        <v>535</v>
      </c>
      <c r="M99" s="75" t="s">
        <v>509</v>
      </c>
      <c r="N99" s="75" t="s">
        <v>535</v>
      </c>
      <c r="O99" s="75" t="s">
        <v>851</v>
      </c>
    </row>
    <row r="100" spans="1:15">
      <c r="A100" s="63" t="s">
        <v>849</v>
      </c>
      <c r="B100" s="14" t="str">
        <f>VLOOKUP(O100,'护理记录单文书字典(数据)'!B$4:C$99,2,0)</f>
        <v>20AFDB340CFAB211B39272ABF357F31C</v>
      </c>
      <c r="C100" s="84" t="s">
        <v>4059</v>
      </c>
      <c r="D100" s="14" t="s">
        <v>1031</v>
      </c>
      <c r="E100" s="87">
        <v>3</v>
      </c>
      <c r="F100" s="87">
        <v>3</v>
      </c>
      <c r="G100" s="14" t="s">
        <v>1034</v>
      </c>
      <c r="H100" s="75"/>
      <c r="I100" s="75"/>
      <c r="J100" s="75" t="s">
        <v>162</v>
      </c>
      <c r="K100" s="75" t="s">
        <v>509</v>
      </c>
      <c r="L100" s="75" t="s">
        <v>535</v>
      </c>
      <c r="M100" s="75" t="s">
        <v>509</v>
      </c>
      <c r="N100" s="75" t="s">
        <v>535</v>
      </c>
      <c r="O100" s="75" t="s">
        <v>851</v>
      </c>
    </row>
    <row r="101" spans="1:15">
      <c r="A101" s="63" t="s">
        <v>849</v>
      </c>
      <c r="B101" s="14" t="str">
        <f>VLOOKUP(O101,'护理记录单文书字典(数据)'!B$4:C$99,2,0)</f>
        <v>20AFDB340CFAB211B39272ABF357F31C</v>
      </c>
      <c r="C101" s="84" t="s">
        <v>4059</v>
      </c>
      <c r="D101" s="14" t="s">
        <v>1031</v>
      </c>
      <c r="E101" s="87">
        <v>4</v>
      </c>
      <c r="F101" s="87">
        <v>4</v>
      </c>
      <c r="G101" s="14" t="s">
        <v>1030</v>
      </c>
      <c r="H101" s="75"/>
      <c r="I101" s="75"/>
      <c r="J101" s="75" t="s">
        <v>162</v>
      </c>
      <c r="K101" s="75" t="s">
        <v>509</v>
      </c>
      <c r="L101" s="75" t="s">
        <v>535</v>
      </c>
      <c r="M101" s="75" t="s">
        <v>509</v>
      </c>
      <c r="N101" s="75" t="s">
        <v>535</v>
      </c>
      <c r="O101" s="75" t="s">
        <v>851</v>
      </c>
    </row>
    <row r="102" spans="1:15">
      <c r="A102" s="63" t="s">
        <v>849</v>
      </c>
      <c r="B102" s="14" t="str">
        <f>VLOOKUP(O102,'护理记录单文书字典(数据)'!B$4:C$99,2,0)</f>
        <v>20AFDB340CFAB211B39272ABF357F31C</v>
      </c>
      <c r="C102" s="87" t="s">
        <v>1035</v>
      </c>
      <c r="D102" s="14" t="s">
        <v>1036</v>
      </c>
      <c r="E102" s="87">
        <v>1</v>
      </c>
      <c r="F102" s="87">
        <v>1</v>
      </c>
      <c r="G102" s="14" t="s">
        <v>1037</v>
      </c>
      <c r="H102" s="75"/>
      <c r="I102" s="75"/>
      <c r="J102" s="75" t="s">
        <v>162</v>
      </c>
      <c r="K102" s="75" t="s">
        <v>509</v>
      </c>
      <c r="L102" s="75" t="s">
        <v>535</v>
      </c>
      <c r="M102" s="75" t="s">
        <v>509</v>
      </c>
      <c r="N102" s="75" t="s">
        <v>535</v>
      </c>
      <c r="O102" s="75" t="s">
        <v>851</v>
      </c>
    </row>
    <row r="103" spans="1:15">
      <c r="A103" s="63" t="s">
        <v>849</v>
      </c>
      <c r="B103" s="14" t="str">
        <f>VLOOKUP(O103,'护理记录单文书字典(数据)'!B$4:C$99,2,0)</f>
        <v>20AFDB340CFAB211B39272ABF357F31C</v>
      </c>
      <c r="C103" s="87" t="s">
        <v>1035</v>
      </c>
      <c r="D103" s="14" t="s">
        <v>1036</v>
      </c>
      <c r="E103" s="87">
        <v>2</v>
      </c>
      <c r="F103" s="87">
        <v>2</v>
      </c>
      <c r="G103" s="14" t="s">
        <v>1038</v>
      </c>
      <c r="H103" s="75"/>
      <c r="I103" s="75"/>
      <c r="J103" s="75" t="s">
        <v>162</v>
      </c>
      <c r="K103" s="75" t="s">
        <v>509</v>
      </c>
      <c r="L103" s="75" t="s">
        <v>535</v>
      </c>
      <c r="M103" s="75" t="s">
        <v>509</v>
      </c>
      <c r="N103" s="75" t="s">
        <v>535</v>
      </c>
      <c r="O103" s="75" t="s">
        <v>851</v>
      </c>
    </row>
    <row r="104" spans="1:15">
      <c r="A104" s="63" t="s">
        <v>849</v>
      </c>
      <c r="B104" s="14" t="str">
        <f>VLOOKUP(O104,'护理记录单文书字典(数据)'!B$4:C$99,2,0)</f>
        <v>20AFDB340CFAB211B39272ABF357F31C</v>
      </c>
      <c r="C104" s="87" t="s">
        <v>1035</v>
      </c>
      <c r="D104" s="14" t="s">
        <v>1036</v>
      </c>
      <c r="E104" s="87">
        <v>3</v>
      </c>
      <c r="F104" s="87">
        <v>3</v>
      </c>
      <c r="G104" s="14" t="s">
        <v>1039</v>
      </c>
      <c r="H104" s="75"/>
      <c r="I104" s="75"/>
      <c r="J104" s="75" t="s">
        <v>162</v>
      </c>
      <c r="K104" s="75" t="s">
        <v>509</v>
      </c>
      <c r="L104" s="75" t="s">
        <v>535</v>
      </c>
      <c r="M104" s="75" t="s">
        <v>509</v>
      </c>
      <c r="N104" s="75" t="s">
        <v>535</v>
      </c>
      <c r="O104" s="75" t="s">
        <v>851</v>
      </c>
    </row>
    <row r="105" spans="1:15">
      <c r="A105" s="63" t="s">
        <v>849</v>
      </c>
      <c r="B105" s="14" t="str">
        <f>VLOOKUP(O105,'护理记录单文书字典(数据)'!B$4:C$99,2,0)</f>
        <v>20AFDB340CFAB211B39272ABF357F31C</v>
      </c>
      <c r="C105" s="87" t="s">
        <v>1035</v>
      </c>
      <c r="D105" s="14" t="s">
        <v>1036</v>
      </c>
      <c r="E105" s="87">
        <v>4</v>
      </c>
      <c r="F105" s="87">
        <v>4</v>
      </c>
      <c r="G105" s="14" t="s">
        <v>1040</v>
      </c>
      <c r="H105" s="75"/>
      <c r="I105" s="75"/>
      <c r="J105" s="75" t="s">
        <v>162</v>
      </c>
      <c r="K105" s="75" t="s">
        <v>509</v>
      </c>
      <c r="L105" s="75" t="s">
        <v>535</v>
      </c>
      <c r="M105" s="75" t="s">
        <v>509</v>
      </c>
      <c r="N105" s="75" t="s">
        <v>535</v>
      </c>
      <c r="O105" s="75" t="s">
        <v>851</v>
      </c>
    </row>
    <row r="106" spans="1:15">
      <c r="A106" s="63" t="s">
        <v>849</v>
      </c>
      <c r="B106" s="14" t="str">
        <f>VLOOKUP(O106,'护理记录单文书字典(数据)'!B$4:C$99,2,0)</f>
        <v>20AFDB340CFAB211B39272ABF357F31C</v>
      </c>
      <c r="C106" s="87" t="s">
        <v>1041</v>
      </c>
      <c r="D106" s="14" t="s">
        <v>1042</v>
      </c>
      <c r="E106" s="87">
        <v>1</v>
      </c>
      <c r="F106" s="87">
        <v>1</v>
      </c>
      <c r="G106" s="14" t="s">
        <v>1043</v>
      </c>
      <c r="H106" s="75"/>
      <c r="I106" s="75"/>
      <c r="J106" s="75" t="s">
        <v>162</v>
      </c>
      <c r="K106" s="75" t="s">
        <v>509</v>
      </c>
      <c r="L106" s="75" t="s">
        <v>535</v>
      </c>
      <c r="M106" s="75" t="s">
        <v>509</v>
      </c>
      <c r="N106" s="75" t="s">
        <v>535</v>
      </c>
      <c r="O106" s="75" t="s">
        <v>851</v>
      </c>
    </row>
    <row r="107" spans="1:15">
      <c r="A107" s="63" t="s">
        <v>849</v>
      </c>
      <c r="B107" s="14" t="str">
        <f>VLOOKUP(O107,'护理记录单文书字典(数据)'!B$4:C$99,2,0)</f>
        <v>20AFDB340CFAB211B39272ABF357F31C</v>
      </c>
      <c r="C107" s="87" t="s">
        <v>1041</v>
      </c>
      <c r="D107" s="14" t="s">
        <v>1042</v>
      </c>
      <c r="E107" s="87">
        <v>2</v>
      </c>
      <c r="F107" s="87">
        <v>2</v>
      </c>
      <c r="G107" s="14" t="s">
        <v>1044</v>
      </c>
      <c r="H107" s="75"/>
      <c r="I107" s="75"/>
      <c r="J107" s="75" t="s">
        <v>162</v>
      </c>
      <c r="K107" s="75" t="s">
        <v>509</v>
      </c>
      <c r="L107" s="75" t="s">
        <v>535</v>
      </c>
      <c r="M107" s="75" t="s">
        <v>509</v>
      </c>
      <c r="N107" s="75" t="s">
        <v>535</v>
      </c>
      <c r="O107" s="75" t="s">
        <v>851</v>
      </c>
    </row>
    <row r="108" spans="1:15">
      <c r="A108" s="63" t="s">
        <v>849</v>
      </c>
      <c r="B108" s="14" t="str">
        <f>VLOOKUP(O108,'护理记录单文书字典(数据)'!B$4:C$99,2,0)</f>
        <v>20AFDB340CFAB211B39272ABF357F31C</v>
      </c>
      <c r="C108" s="87" t="s">
        <v>1041</v>
      </c>
      <c r="D108" s="14" t="s">
        <v>1042</v>
      </c>
      <c r="E108" s="87">
        <v>3</v>
      </c>
      <c r="F108" s="87">
        <v>3</v>
      </c>
      <c r="G108" s="14" t="s">
        <v>1045</v>
      </c>
      <c r="H108" s="75"/>
      <c r="I108" s="75"/>
      <c r="J108" s="75" t="s">
        <v>162</v>
      </c>
      <c r="K108" s="75" t="s">
        <v>509</v>
      </c>
      <c r="L108" s="75" t="s">
        <v>535</v>
      </c>
      <c r="M108" s="75" t="s">
        <v>509</v>
      </c>
      <c r="N108" s="75" t="s">
        <v>535</v>
      </c>
      <c r="O108" s="75" t="s">
        <v>851</v>
      </c>
    </row>
    <row r="109" spans="1:15">
      <c r="A109" s="63" t="s">
        <v>849</v>
      </c>
      <c r="B109" s="14" t="str">
        <f>VLOOKUP(O109,'护理记录单文书字典(数据)'!B$4:C$99,2,0)</f>
        <v>20AFDB340CFAB211B39272ABF357F31C</v>
      </c>
      <c r="C109" s="87" t="s">
        <v>1046</v>
      </c>
      <c r="D109" s="14" t="s">
        <v>1047</v>
      </c>
      <c r="E109" s="87">
        <v>1</v>
      </c>
      <c r="F109" s="87">
        <v>1</v>
      </c>
      <c r="G109" s="14" t="s">
        <v>1048</v>
      </c>
      <c r="H109" s="75"/>
      <c r="I109" s="75"/>
      <c r="J109" s="75" t="s">
        <v>162</v>
      </c>
      <c r="K109" s="75" t="s">
        <v>509</v>
      </c>
      <c r="L109" s="75" t="s">
        <v>535</v>
      </c>
      <c r="M109" s="75" t="s">
        <v>509</v>
      </c>
      <c r="N109" s="75" t="s">
        <v>535</v>
      </c>
      <c r="O109" s="75" t="s">
        <v>851</v>
      </c>
    </row>
    <row r="110" spans="1:15">
      <c r="A110" s="63" t="s">
        <v>849</v>
      </c>
      <c r="B110" s="14" t="str">
        <f>VLOOKUP(O110,'护理记录单文书字典(数据)'!B$4:C$99,2,0)</f>
        <v>20AFDB340CFAB211B39272ABF357F31C</v>
      </c>
      <c r="C110" s="87" t="s">
        <v>1046</v>
      </c>
      <c r="D110" s="14" t="s">
        <v>1047</v>
      </c>
      <c r="E110" s="87">
        <v>2</v>
      </c>
      <c r="F110" s="87">
        <v>2</v>
      </c>
      <c r="G110" s="14" t="s">
        <v>1049</v>
      </c>
      <c r="H110" s="75"/>
      <c r="I110" s="75"/>
      <c r="J110" s="75" t="s">
        <v>162</v>
      </c>
      <c r="K110" s="75" t="s">
        <v>509</v>
      </c>
      <c r="L110" s="75" t="s">
        <v>535</v>
      </c>
      <c r="M110" s="75" t="s">
        <v>509</v>
      </c>
      <c r="N110" s="75" t="s">
        <v>535</v>
      </c>
      <c r="O110" s="75" t="s">
        <v>851</v>
      </c>
    </row>
    <row r="111" spans="1:15">
      <c r="A111" s="63" t="s">
        <v>849</v>
      </c>
      <c r="B111" s="14" t="str">
        <f>VLOOKUP(O111,'护理记录单文书字典(数据)'!B$4:C$99,2,0)</f>
        <v>20AFDB340CFAB211B39272ABF357F31C</v>
      </c>
      <c r="C111" s="87" t="s">
        <v>1046</v>
      </c>
      <c r="D111" s="14" t="s">
        <v>1047</v>
      </c>
      <c r="E111" s="87">
        <v>3</v>
      </c>
      <c r="F111" s="87">
        <v>3</v>
      </c>
      <c r="G111" s="14" t="s">
        <v>1050</v>
      </c>
      <c r="H111" s="75"/>
      <c r="I111" s="75"/>
      <c r="J111" s="75" t="s">
        <v>162</v>
      </c>
      <c r="K111" s="75" t="s">
        <v>509</v>
      </c>
      <c r="L111" s="75" t="s">
        <v>535</v>
      </c>
      <c r="M111" s="75" t="s">
        <v>509</v>
      </c>
      <c r="N111" s="75" t="s">
        <v>535</v>
      </c>
      <c r="O111" s="75" t="s">
        <v>851</v>
      </c>
    </row>
    <row r="112" spans="1:15">
      <c r="A112" s="63" t="s">
        <v>849</v>
      </c>
      <c r="B112" s="14" t="str">
        <f>VLOOKUP(O112,'护理记录单文书字典(数据)'!B$4:C$99,2,0)</f>
        <v>20AFDB340CFAB211B39272ABF357F31C</v>
      </c>
      <c r="C112" s="87" t="s">
        <v>1051</v>
      </c>
      <c r="D112" s="14" t="s">
        <v>1052</v>
      </c>
      <c r="E112" s="87">
        <v>1</v>
      </c>
      <c r="F112" s="87">
        <v>1</v>
      </c>
      <c r="G112" s="14" t="s">
        <v>1048</v>
      </c>
      <c r="H112" s="75"/>
      <c r="I112" s="75"/>
      <c r="J112" s="75" t="s">
        <v>162</v>
      </c>
      <c r="K112" s="75" t="s">
        <v>509</v>
      </c>
      <c r="L112" s="75" t="s">
        <v>535</v>
      </c>
      <c r="M112" s="75" t="s">
        <v>509</v>
      </c>
      <c r="N112" s="75" t="s">
        <v>535</v>
      </c>
      <c r="O112" s="75" t="s">
        <v>851</v>
      </c>
    </row>
    <row r="113" spans="1:15">
      <c r="A113" s="63" t="s">
        <v>849</v>
      </c>
      <c r="B113" s="14" t="str">
        <f>VLOOKUP(O113,'护理记录单文书字典(数据)'!B$4:C$99,2,0)</f>
        <v>20AFDB340CFAB211B39272ABF357F31C</v>
      </c>
      <c r="C113" s="87" t="s">
        <v>1051</v>
      </c>
      <c r="D113" s="14" t="s">
        <v>1052</v>
      </c>
      <c r="E113" s="87">
        <v>2</v>
      </c>
      <c r="F113" s="87">
        <v>2</v>
      </c>
      <c r="G113" s="14" t="s">
        <v>1049</v>
      </c>
      <c r="H113" s="75"/>
      <c r="I113" s="75"/>
      <c r="J113" s="75" t="s">
        <v>162</v>
      </c>
      <c r="K113" s="75" t="s">
        <v>509</v>
      </c>
      <c r="L113" s="75" t="s">
        <v>535</v>
      </c>
      <c r="M113" s="75" t="s">
        <v>509</v>
      </c>
      <c r="N113" s="75" t="s">
        <v>535</v>
      </c>
      <c r="O113" s="75" t="s">
        <v>851</v>
      </c>
    </row>
    <row r="114" spans="1:15">
      <c r="A114" s="63" t="s">
        <v>849</v>
      </c>
      <c r="B114" s="14" t="str">
        <f>VLOOKUP(O114,'护理记录单文书字典(数据)'!B$4:C$99,2,0)</f>
        <v>20AFDB340CFAB211B39272ABF357F31C</v>
      </c>
      <c r="C114" s="87" t="s">
        <v>1051</v>
      </c>
      <c r="D114" s="14" t="s">
        <v>1052</v>
      </c>
      <c r="E114" s="87">
        <v>3</v>
      </c>
      <c r="F114" s="87">
        <v>3</v>
      </c>
      <c r="G114" s="14" t="s">
        <v>1050</v>
      </c>
      <c r="H114" s="75"/>
      <c r="I114" s="75"/>
      <c r="J114" s="75" t="s">
        <v>162</v>
      </c>
      <c r="K114" s="75" t="s">
        <v>509</v>
      </c>
      <c r="L114" s="75" t="s">
        <v>535</v>
      </c>
      <c r="M114" s="75" t="s">
        <v>509</v>
      </c>
      <c r="N114" s="75" t="s">
        <v>535</v>
      </c>
      <c r="O114" s="75" t="s">
        <v>851</v>
      </c>
    </row>
    <row r="115" spans="1:15">
      <c r="A115" s="63" t="s">
        <v>849</v>
      </c>
      <c r="B115" s="14" t="str">
        <f>VLOOKUP(O115,'护理记录单文书字典(数据)'!B$4:C$99,2,0)</f>
        <v>20AFDB340CFAB211B39272ABF357F31C</v>
      </c>
      <c r="C115" s="87" t="s">
        <v>1053</v>
      </c>
      <c r="D115" s="14" t="s">
        <v>1054</v>
      </c>
      <c r="E115" s="87">
        <v>1</v>
      </c>
      <c r="F115" s="87">
        <v>1</v>
      </c>
      <c r="G115" s="14" t="s">
        <v>1055</v>
      </c>
      <c r="H115" s="75"/>
      <c r="I115" s="75"/>
      <c r="J115" s="75" t="s">
        <v>162</v>
      </c>
      <c r="K115" s="75" t="s">
        <v>509</v>
      </c>
      <c r="L115" s="75" t="s">
        <v>535</v>
      </c>
      <c r="M115" s="75" t="s">
        <v>509</v>
      </c>
      <c r="N115" s="75" t="s">
        <v>535</v>
      </c>
      <c r="O115" s="75" t="s">
        <v>851</v>
      </c>
    </row>
    <row r="116" spans="1:15">
      <c r="A116" s="63" t="s">
        <v>849</v>
      </c>
      <c r="B116" s="14" t="str">
        <f>VLOOKUP(O116,'护理记录单文书字典(数据)'!B$4:C$99,2,0)</f>
        <v>20AFDB340CFAB211B39272ABF357F31C</v>
      </c>
      <c r="C116" s="87" t="s">
        <v>1053</v>
      </c>
      <c r="D116" s="14" t="s">
        <v>1054</v>
      </c>
      <c r="E116" s="87">
        <v>2</v>
      </c>
      <c r="F116" s="87">
        <v>2</v>
      </c>
      <c r="G116" s="14" t="s">
        <v>1056</v>
      </c>
      <c r="H116" s="75"/>
      <c r="I116" s="75"/>
      <c r="J116" s="75" t="s">
        <v>162</v>
      </c>
      <c r="K116" s="75" t="s">
        <v>509</v>
      </c>
      <c r="L116" s="75" t="s">
        <v>535</v>
      </c>
      <c r="M116" s="75" t="s">
        <v>509</v>
      </c>
      <c r="N116" s="75" t="s">
        <v>535</v>
      </c>
      <c r="O116" s="75" t="s">
        <v>851</v>
      </c>
    </row>
    <row r="117" spans="1:15">
      <c r="A117" s="63" t="s">
        <v>849</v>
      </c>
      <c r="B117" s="14" t="str">
        <f>VLOOKUP(O117,'护理记录单文书字典(数据)'!B$4:C$99,2,0)</f>
        <v>20AFDB340CFAB211B39272ABF357F31C</v>
      </c>
      <c r="C117" s="87" t="s">
        <v>1053</v>
      </c>
      <c r="D117" s="14" t="s">
        <v>1054</v>
      </c>
      <c r="E117" s="87">
        <v>3</v>
      </c>
      <c r="F117" s="87">
        <v>3</v>
      </c>
      <c r="G117" s="14" t="s">
        <v>1057</v>
      </c>
      <c r="H117" s="75"/>
      <c r="I117" s="75"/>
      <c r="J117" s="75" t="s">
        <v>162</v>
      </c>
      <c r="K117" s="75" t="s">
        <v>509</v>
      </c>
      <c r="L117" s="75" t="s">
        <v>535</v>
      </c>
      <c r="M117" s="75" t="s">
        <v>509</v>
      </c>
      <c r="N117" s="75" t="s">
        <v>535</v>
      </c>
      <c r="O117" s="75" t="s">
        <v>851</v>
      </c>
    </row>
    <row r="118" spans="1:15">
      <c r="A118" s="63" t="s">
        <v>849</v>
      </c>
      <c r="B118" s="14" t="str">
        <f>VLOOKUP(O118,'护理记录单文书字典(数据)'!B$4:C$99,2,0)</f>
        <v>20AFDB340CFAB211B39272ABF357F31C</v>
      </c>
      <c r="C118" s="87" t="s">
        <v>1058</v>
      </c>
      <c r="D118" s="14" t="s">
        <v>1059</v>
      </c>
      <c r="E118" s="87">
        <v>1</v>
      </c>
      <c r="F118" s="87">
        <v>1</v>
      </c>
      <c r="G118" s="14" t="s">
        <v>1048</v>
      </c>
      <c r="H118" s="75"/>
      <c r="I118" s="75"/>
      <c r="J118" s="75" t="s">
        <v>162</v>
      </c>
      <c r="K118" s="75" t="s">
        <v>509</v>
      </c>
      <c r="L118" s="75" t="s">
        <v>535</v>
      </c>
      <c r="M118" s="75" t="s">
        <v>509</v>
      </c>
      <c r="N118" s="75" t="s">
        <v>535</v>
      </c>
      <c r="O118" s="75" t="s">
        <v>851</v>
      </c>
    </row>
    <row r="119" spans="1:15">
      <c r="A119" s="63" t="s">
        <v>849</v>
      </c>
      <c r="B119" s="14" t="str">
        <f>VLOOKUP(O119,'护理记录单文书字典(数据)'!B$4:C$99,2,0)</f>
        <v>20AFDB340CFAB211B39272ABF357F31C</v>
      </c>
      <c r="C119" s="87" t="s">
        <v>1058</v>
      </c>
      <c r="D119" s="14" t="s">
        <v>1059</v>
      </c>
      <c r="E119" s="87">
        <v>2</v>
      </c>
      <c r="F119" s="87">
        <v>2</v>
      </c>
      <c r="G119" s="14" t="s">
        <v>1060</v>
      </c>
      <c r="H119" s="75"/>
      <c r="I119" s="75"/>
      <c r="J119" s="75" t="s">
        <v>162</v>
      </c>
      <c r="K119" s="75" t="s">
        <v>509</v>
      </c>
      <c r="L119" s="75" t="s">
        <v>535</v>
      </c>
      <c r="M119" s="75" t="s">
        <v>509</v>
      </c>
      <c r="N119" s="75" t="s">
        <v>535</v>
      </c>
      <c r="O119" s="75" t="s">
        <v>851</v>
      </c>
    </row>
    <row r="120" spans="1:15">
      <c r="A120" s="63" t="s">
        <v>849</v>
      </c>
      <c r="B120" s="14" t="str">
        <f>VLOOKUP(O120,'护理记录单文书字典(数据)'!B$4:C$99,2,0)</f>
        <v>20AFDB340CFAB211B39272ABF357F31C</v>
      </c>
      <c r="C120" s="87" t="s">
        <v>1058</v>
      </c>
      <c r="D120" s="14" t="s">
        <v>1059</v>
      </c>
      <c r="E120" s="87">
        <v>3</v>
      </c>
      <c r="F120" s="87">
        <v>3</v>
      </c>
      <c r="G120" s="14" t="s">
        <v>1061</v>
      </c>
      <c r="H120" s="75"/>
      <c r="I120" s="75"/>
      <c r="J120" s="75" t="s">
        <v>162</v>
      </c>
      <c r="K120" s="75" t="s">
        <v>509</v>
      </c>
      <c r="L120" s="75" t="s">
        <v>535</v>
      </c>
      <c r="M120" s="75" t="s">
        <v>509</v>
      </c>
      <c r="N120" s="75" t="s">
        <v>535</v>
      </c>
      <c r="O120" s="75" t="s">
        <v>851</v>
      </c>
    </row>
    <row r="121" spans="1:15">
      <c r="A121" s="63" t="s">
        <v>849</v>
      </c>
      <c r="B121" s="14" t="str">
        <f>VLOOKUP(O121,'护理记录单文书字典(数据)'!B$4:C$99,2,0)</f>
        <v>20AFDB340CFAB211B39272ABF357F31C</v>
      </c>
      <c r="C121" s="87" t="s">
        <v>1062</v>
      </c>
      <c r="D121" s="14" t="s">
        <v>1063</v>
      </c>
      <c r="E121" s="87">
        <v>1</v>
      </c>
      <c r="F121" s="87">
        <v>1</v>
      </c>
      <c r="G121" s="14" t="s">
        <v>1064</v>
      </c>
      <c r="H121" s="75"/>
      <c r="I121" s="75"/>
      <c r="J121" s="75" t="s">
        <v>162</v>
      </c>
      <c r="K121" s="75" t="s">
        <v>509</v>
      </c>
      <c r="L121" s="75" t="s">
        <v>535</v>
      </c>
      <c r="M121" s="75" t="s">
        <v>509</v>
      </c>
      <c r="N121" s="75" t="s">
        <v>535</v>
      </c>
      <c r="O121" s="75" t="s">
        <v>851</v>
      </c>
    </row>
    <row r="122" spans="1:15">
      <c r="A122" s="63" t="s">
        <v>849</v>
      </c>
      <c r="B122" s="14" t="str">
        <f>VLOOKUP(O122,'护理记录单文书字典(数据)'!B$4:C$99,2,0)</f>
        <v>20AFDB340CFAB211B39272ABF357F31C</v>
      </c>
      <c r="C122" s="87" t="s">
        <v>1062</v>
      </c>
      <c r="D122" s="14" t="s">
        <v>1063</v>
      </c>
      <c r="E122" s="87">
        <v>2</v>
      </c>
      <c r="F122" s="87">
        <v>2</v>
      </c>
      <c r="G122" s="14" t="s">
        <v>1060</v>
      </c>
      <c r="H122" s="75"/>
      <c r="I122" s="75"/>
      <c r="J122" s="75" t="s">
        <v>162</v>
      </c>
      <c r="K122" s="75" t="s">
        <v>509</v>
      </c>
      <c r="L122" s="75" t="s">
        <v>535</v>
      </c>
      <c r="M122" s="75" t="s">
        <v>509</v>
      </c>
      <c r="N122" s="75" t="s">
        <v>535</v>
      </c>
      <c r="O122" s="75" t="s">
        <v>851</v>
      </c>
    </row>
    <row r="123" spans="1:15">
      <c r="A123" s="63" t="s">
        <v>849</v>
      </c>
      <c r="B123" s="14" t="str">
        <f>VLOOKUP(O123,'护理记录单文书字典(数据)'!B$4:C$99,2,0)</f>
        <v>20AFDB340CFAB211B39272ABF357F31C</v>
      </c>
      <c r="C123" s="87" t="s">
        <v>1062</v>
      </c>
      <c r="D123" s="14" t="s">
        <v>1063</v>
      </c>
      <c r="E123" s="87">
        <v>3</v>
      </c>
      <c r="F123" s="87">
        <v>3</v>
      </c>
      <c r="G123" s="14" t="s">
        <v>1065</v>
      </c>
      <c r="H123" s="75"/>
      <c r="I123" s="75"/>
      <c r="J123" s="75" t="s">
        <v>162</v>
      </c>
      <c r="K123" s="75" t="s">
        <v>509</v>
      </c>
      <c r="L123" s="75" t="s">
        <v>535</v>
      </c>
      <c r="M123" s="75" t="s">
        <v>509</v>
      </c>
      <c r="N123" s="75" t="s">
        <v>535</v>
      </c>
      <c r="O123" s="75" t="s">
        <v>851</v>
      </c>
    </row>
    <row r="124" spans="1:15">
      <c r="A124" s="63" t="s">
        <v>849</v>
      </c>
      <c r="B124" s="14" t="str">
        <f>VLOOKUP(O124,'护理记录单文书字典(数据)'!B$4:C$99,2,0)</f>
        <v>20AFDB340CFAB211B39272ABF357F31C</v>
      </c>
      <c r="C124" s="87" t="s">
        <v>1066</v>
      </c>
      <c r="D124" s="14" t="s">
        <v>1067</v>
      </c>
      <c r="E124" s="87">
        <v>1</v>
      </c>
      <c r="F124" s="87">
        <v>1</v>
      </c>
      <c r="G124" s="14" t="s">
        <v>1064</v>
      </c>
      <c r="H124" s="75"/>
      <c r="I124" s="75"/>
      <c r="J124" s="75" t="s">
        <v>162</v>
      </c>
      <c r="K124" s="75" t="s">
        <v>509</v>
      </c>
      <c r="L124" s="75" t="s">
        <v>535</v>
      </c>
      <c r="M124" s="75" t="s">
        <v>509</v>
      </c>
      <c r="N124" s="75" t="s">
        <v>535</v>
      </c>
      <c r="O124" s="75" t="s">
        <v>851</v>
      </c>
    </row>
    <row r="125" spans="1:15">
      <c r="A125" s="63" t="s">
        <v>849</v>
      </c>
      <c r="B125" s="14" t="str">
        <f>VLOOKUP(O125,'护理记录单文书字典(数据)'!B$4:C$99,2,0)</f>
        <v>20AFDB340CFAB211B39272ABF357F31C</v>
      </c>
      <c r="C125" s="87" t="s">
        <v>1066</v>
      </c>
      <c r="D125" s="14" t="s">
        <v>1067</v>
      </c>
      <c r="E125" s="87">
        <v>2</v>
      </c>
      <c r="F125" s="87">
        <v>2</v>
      </c>
      <c r="G125" s="14" t="s">
        <v>1060</v>
      </c>
      <c r="H125" s="75"/>
      <c r="I125" s="75"/>
      <c r="J125" s="75" t="s">
        <v>162</v>
      </c>
      <c r="K125" s="75" t="s">
        <v>509</v>
      </c>
      <c r="L125" s="75" t="s">
        <v>535</v>
      </c>
      <c r="M125" s="75" t="s">
        <v>509</v>
      </c>
      <c r="N125" s="75" t="s">
        <v>535</v>
      </c>
      <c r="O125" s="75" t="s">
        <v>851</v>
      </c>
    </row>
    <row r="126" spans="1:15">
      <c r="A126" s="63" t="s">
        <v>849</v>
      </c>
      <c r="B126" s="14" t="str">
        <f>VLOOKUP(O126,'护理记录单文书字典(数据)'!B$4:C$99,2,0)</f>
        <v>20AFDB340CFAB211B39272ABF357F31C</v>
      </c>
      <c r="C126" s="87" t="s">
        <v>1066</v>
      </c>
      <c r="D126" s="14" t="s">
        <v>1067</v>
      </c>
      <c r="E126" s="87">
        <v>3</v>
      </c>
      <c r="F126" s="87">
        <v>3</v>
      </c>
      <c r="G126" s="14" t="s">
        <v>1068</v>
      </c>
      <c r="H126" s="75"/>
      <c r="I126" s="75"/>
      <c r="J126" s="75" t="s">
        <v>162</v>
      </c>
      <c r="K126" s="75" t="s">
        <v>509</v>
      </c>
      <c r="L126" s="75" t="s">
        <v>535</v>
      </c>
      <c r="M126" s="75" t="s">
        <v>509</v>
      </c>
      <c r="N126" s="75" t="s">
        <v>535</v>
      </c>
      <c r="O126" s="75" t="s">
        <v>851</v>
      </c>
    </row>
    <row r="127" spans="1:15">
      <c r="A127" s="63" t="s">
        <v>849</v>
      </c>
      <c r="B127" s="14" t="str">
        <f>VLOOKUP(O127,'护理记录单文书字典(数据)'!B$4:C$99,2,0)</f>
        <v>20AFDB340CFAB211B39272ABF357F31C</v>
      </c>
      <c r="C127" s="87" t="s">
        <v>1069</v>
      </c>
      <c r="D127" s="14" t="s">
        <v>1070</v>
      </c>
      <c r="E127" s="87">
        <v>1</v>
      </c>
      <c r="F127" s="87">
        <v>1</v>
      </c>
      <c r="G127" s="14" t="s">
        <v>1048</v>
      </c>
      <c r="H127" s="75"/>
      <c r="I127" s="75"/>
      <c r="J127" s="75" t="s">
        <v>162</v>
      </c>
      <c r="K127" s="75" t="s">
        <v>509</v>
      </c>
      <c r="L127" s="75" t="s">
        <v>535</v>
      </c>
      <c r="M127" s="75" t="s">
        <v>509</v>
      </c>
      <c r="N127" s="75" t="s">
        <v>535</v>
      </c>
      <c r="O127" s="75" t="s">
        <v>851</v>
      </c>
    </row>
    <row r="128" spans="1:15">
      <c r="A128" s="63" t="s">
        <v>849</v>
      </c>
      <c r="B128" s="14" t="str">
        <f>VLOOKUP(O128,'护理记录单文书字典(数据)'!B$4:C$99,2,0)</f>
        <v>20AFDB340CFAB211B39272ABF357F31C</v>
      </c>
      <c r="C128" s="87" t="s">
        <v>1069</v>
      </c>
      <c r="D128" s="14" t="s">
        <v>1070</v>
      </c>
      <c r="E128" s="87">
        <v>2</v>
      </c>
      <c r="F128" s="87">
        <v>2</v>
      </c>
      <c r="G128" s="14" t="s">
        <v>1060</v>
      </c>
      <c r="H128" s="75"/>
      <c r="I128" s="75"/>
      <c r="J128" s="75" t="s">
        <v>162</v>
      </c>
      <c r="K128" s="75" t="s">
        <v>509</v>
      </c>
      <c r="L128" s="75" t="s">
        <v>535</v>
      </c>
      <c r="M128" s="75" t="s">
        <v>509</v>
      </c>
      <c r="N128" s="75" t="s">
        <v>535</v>
      </c>
      <c r="O128" s="75" t="s">
        <v>851</v>
      </c>
    </row>
    <row r="129" spans="1:15">
      <c r="A129" s="63" t="s">
        <v>849</v>
      </c>
      <c r="B129" s="14" t="str">
        <f>VLOOKUP(O129,'护理记录单文书字典(数据)'!B$4:C$99,2,0)</f>
        <v>20AFDB340CFAB211B39272ABF357F31C</v>
      </c>
      <c r="C129" s="87" t="s">
        <v>1069</v>
      </c>
      <c r="D129" s="14" t="s">
        <v>1070</v>
      </c>
      <c r="E129" s="87">
        <v>3</v>
      </c>
      <c r="F129" s="87">
        <v>3</v>
      </c>
      <c r="G129" s="14" t="s">
        <v>1068</v>
      </c>
      <c r="H129" s="75"/>
      <c r="I129" s="75"/>
      <c r="J129" s="75" t="s">
        <v>162</v>
      </c>
      <c r="K129" s="75" t="s">
        <v>509</v>
      </c>
      <c r="L129" s="75" t="s">
        <v>535</v>
      </c>
      <c r="M129" s="75" t="s">
        <v>509</v>
      </c>
      <c r="N129" s="75" t="s">
        <v>535</v>
      </c>
      <c r="O129" s="75" t="s">
        <v>851</v>
      </c>
    </row>
    <row r="130" spans="1:15">
      <c r="A130" s="63" t="s">
        <v>849</v>
      </c>
      <c r="B130" s="14" t="str">
        <f>VLOOKUP(O130,'护理记录单文书字典(数据)'!B$4:C$99,2,0)</f>
        <v>20AFDB340CFAB211B39272ABF357F31C</v>
      </c>
      <c r="C130" s="87" t="s">
        <v>1071</v>
      </c>
      <c r="D130" s="14" t="s">
        <v>1072</v>
      </c>
      <c r="E130" s="87">
        <v>1</v>
      </c>
      <c r="F130" s="87">
        <v>1</v>
      </c>
      <c r="G130" s="14" t="s">
        <v>1073</v>
      </c>
      <c r="H130" s="75"/>
      <c r="I130" s="75"/>
      <c r="J130" s="75" t="s">
        <v>162</v>
      </c>
      <c r="K130" s="75" t="s">
        <v>509</v>
      </c>
      <c r="L130" s="75" t="s">
        <v>535</v>
      </c>
      <c r="M130" s="75" t="s">
        <v>509</v>
      </c>
      <c r="N130" s="75" t="s">
        <v>535</v>
      </c>
      <c r="O130" s="75" t="s">
        <v>851</v>
      </c>
    </row>
    <row r="131" spans="1:15">
      <c r="A131" s="63" t="s">
        <v>849</v>
      </c>
      <c r="B131" s="14" t="str">
        <f>VLOOKUP(O131,'护理记录单文书字典(数据)'!B$4:C$99,2,0)</f>
        <v>20AFDB340CFAB211B39272ABF357F31C</v>
      </c>
      <c r="C131" s="87" t="s">
        <v>1071</v>
      </c>
      <c r="D131" s="14" t="s">
        <v>1072</v>
      </c>
      <c r="E131" s="87">
        <v>2</v>
      </c>
      <c r="F131" s="87">
        <v>2</v>
      </c>
      <c r="G131" s="14" t="s">
        <v>1074</v>
      </c>
      <c r="H131" s="75"/>
      <c r="I131" s="75"/>
      <c r="J131" s="75" t="s">
        <v>162</v>
      </c>
      <c r="K131" s="75" t="s">
        <v>509</v>
      </c>
      <c r="L131" s="75" t="s">
        <v>535</v>
      </c>
      <c r="M131" s="75" t="s">
        <v>509</v>
      </c>
      <c r="N131" s="75" t="s">
        <v>535</v>
      </c>
      <c r="O131" s="75" t="s">
        <v>851</v>
      </c>
    </row>
    <row r="132" spans="1:15">
      <c r="A132" s="63" t="s">
        <v>849</v>
      </c>
      <c r="B132" s="14" t="str">
        <f>VLOOKUP(O132,'护理记录单文书字典(数据)'!B$4:C$99,2,0)</f>
        <v>20AFDB340CFAB211B39272ABF357F31C</v>
      </c>
      <c r="C132" s="87" t="s">
        <v>1075</v>
      </c>
      <c r="D132" s="14" t="s">
        <v>1076</v>
      </c>
      <c r="E132" s="87">
        <v>1</v>
      </c>
      <c r="F132" s="87">
        <v>1</v>
      </c>
      <c r="G132" s="14" t="s">
        <v>1077</v>
      </c>
      <c r="H132" s="75"/>
      <c r="I132" s="75"/>
      <c r="J132" s="75" t="s">
        <v>162</v>
      </c>
      <c r="K132" s="75" t="s">
        <v>509</v>
      </c>
      <c r="L132" s="75" t="s">
        <v>535</v>
      </c>
      <c r="M132" s="75" t="s">
        <v>509</v>
      </c>
      <c r="N132" s="75" t="s">
        <v>535</v>
      </c>
      <c r="O132" s="75" t="s">
        <v>851</v>
      </c>
    </row>
    <row r="133" spans="1:15">
      <c r="A133" s="63" t="s">
        <v>849</v>
      </c>
      <c r="B133" s="14" t="str">
        <f>VLOOKUP(O133,'护理记录单文书字典(数据)'!B$4:C$99,2,0)</f>
        <v>20AFDB340CFAB211B39272ABF357F31C</v>
      </c>
      <c r="C133" s="87" t="s">
        <v>1075</v>
      </c>
      <c r="D133" s="14" t="s">
        <v>1076</v>
      </c>
      <c r="E133" s="87">
        <v>2</v>
      </c>
      <c r="F133" s="87">
        <v>2</v>
      </c>
      <c r="G133" s="14" t="s">
        <v>1078</v>
      </c>
      <c r="H133" s="75"/>
      <c r="I133" s="75"/>
      <c r="J133" s="75" t="s">
        <v>162</v>
      </c>
      <c r="K133" s="75" t="s">
        <v>509</v>
      </c>
      <c r="L133" s="75" t="s">
        <v>535</v>
      </c>
      <c r="M133" s="75" t="s">
        <v>509</v>
      </c>
      <c r="N133" s="75" t="s">
        <v>535</v>
      </c>
      <c r="O133" s="75" t="s">
        <v>851</v>
      </c>
    </row>
    <row r="134" spans="1:15">
      <c r="A134" s="63" t="s">
        <v>849</v>
      </c>
      <c r="B134" s="14" t="str">
        <f>VLOOKUP(O134,'护理记录单文书字典(数据)'!B$4:C$99,2,0)</f>
        <v>20AFDB340CFAB211B39272ABF357F31C</v>
      </c>
      <c r="C134" s="87" t="s">
        <v>1075</v>
      </c>
      <c r="D134" s="14" t="s">
        <v>1076</v>
      </c>
      <c r="E134" s="87">
        <v>3</v>
      </c>
      <c r="F134" s="87">
        <v>3</v>
      </c>
      <c r="G134" s="14" t="s">
        <v>1079</v>
      </c>
      <c r="H134" s="75"/>
      <c r="I134" s="75"/>
      <c r="J134" s="75" t="s">
        <v>162</v>
      </c>
      <c r="K134" s="75" t="s">
        <v>509</v>
      </c>
      <c r="L134" s="75" t="s">
        <v>535</v>
      </c>
      <c r="M134" s="75" t="s">
        <v>509</v>
      </c>
      <c r="N134" s="75" t="s">
        <v>535</v>
      </c>
      <c r="O134" s="75" t="s">
        <v>851</v>
      </c>
    </row>
    <row r="135" spans="1:15">
      <c r="A135" s="63" t="s">
        <v>849</v>
      </c>
      <c r="B135" s="14" t="str">
        <f>VLOOKUP(O135,'护理记录单文书字典(数据)'!B$4:C$99,2,0)</f>
        <v>20AFDB340CFAB211B39272ABF357F31C</v>
      </c>
      <c r="C135" s="87" t="s">
        <v>1075</v>
      </c>
      <c r="D135" s="14" t="s">
        <v>1076</v>
      </c>
      <c r="E135" s="87">
        <v>4</v>
      </c>
      <c r="F135" s="87">
        <v>4</v>
      </c>
      <c r="G135" s="14" t="s">
        <v>1080</v>
      </c>
      <c r="H135" s="75"/>
      <c r="I135" s="75"/>
      <c r="J135" s="75" t="s">
        <v>162</v>
      </c>
      <c r="K135" s="75" t="s">
        <v>509</v>
      </c>
      <c r="L135" s="75" t="s">
        <v>535</v>
      </c>
      <c r="M135" s="75" t="s">
        <v>509</v>
      </c>
      <c r="N135" s="75" t="s">
        <v>535</v>
      </c>
      <c r="O135" s="75" t="s">
        <v>851</v>
      </c>
    </row>
    <row r="136" spans="1:15">
      <c r="A136" s="63" t="s">
        <v>849</v>
      </c>
      <c r="B136" s="14" t="str">
        <f>VLOOKUP(O136,'护理记录单文书字典(数据)'!B$4:C$99,2,0)</f>
        <v>20AFDB340CFAB211B39272ABF357F31C</v>
      </c>
      <c r="C136" s="87" t="s">
        <v>1081</v>
      </c>
      <c r="D136" s="14" t="s">
        <v>1082</v>
      </c>
      <c r="E136" s="87">
        <v>1</v>
      </c>
      <c r="F136" s="87">
        <v>1</v>
      </c>
      <c r="G136" s="14" t="s">
        <v>1083</v>
      </c>
      <c r="H136" s="75"/>
      <c r="I136" s="75"/>
      <c r="J136" s="75" t="s">
        <v>162</v>
      </c>
      <c r="K136" s="75" t="s">
        <v>509</v>
      </c>
      <c r="L136" s="75" t="s">
        <v>535</v>
      </c>
      <c r="M136" s="75" t="s">
        <v>509</v>
      </c>
      <c r="N136" s="75" t="s">
        <v>535</v>
      </c>
      <c r="O136" s="75" t="s">
        <v>851</v>
      </c>
    </row>
    <row r="137" spans="1:15">
      <c r="A137" s="63" t="s">
        <v>849</v>
      </c>
      <c r="B137" s="14" t="str">
        <f>VLOOKUP(O137,'护理记录单文书字典(数据)'!B$4:C$99,2,0)</f>
        <v>20AFDB340CFAB211B39272ABF357F31C</v>
      </c>
      <c r="C137" s="87" t="s">
        <v>1081</v>
      </c>
      <c r="D137" s="14" t="s">
        <v>1082</v>
      </c>
      <c r="E137" s="87">
        <v>2</v>
      </c>
      <c r="F137" s="87">
        <v>2</v>
      </c>
      <c r="G137" s="14" t="s">
        <v>1084</v>
      </c>
      <c r="H137" s="75"/>
      <c r="I137" s="75"/>
      <c r="J137" s="75" t="s">
        <v>162</v>
      </c>
      <c r="K137" s="75" t="s">
        <v>509</v>
      </c>
      <c r="L137" s="75" t="s">
        <v>535</v>
      </c>
      <c r="M137" s="75" t="s">
        <v>509</v>
      </c>
      <c r="N137" s="75" t="s">
        <v>535</v>
      </c>
      <c r="O137" s="75" t="s">
        <v>851</v>
      </c>
    </row>
    <row r="138" spans="1:15">
      <c r="A138" s="63" t="s">
        <v>849</v>
      </c>
      <c r="B138" s="14" t="str">
        <f>VLOOKUP(O138,'护理记录单文书字典(数据)'!B$4:C$99,2,0)</f>
        <v>20AFDB340CFAB211B39272ABF357F31C</v>
      </c>
      <c r="C138" s="87" t="s">
        <v>1081</v>
      </c>
      <c r="D138" s="14" t="s">
        <v>1082</v>
      </c>
      <c r="E138" s="87">
        <v>3</v>
      </c>
      <c r="F138" s="87">
        <v>3</v>
      </c>
      <c r="G138" s="14" t="s">
        <v>1085</v>
      </c>
      <c r="H138" s="75"/>
      <c r="I138" s="75"/>
      <c r="J138" s="75" t="s">
        <v>162</v>
      </c>
      <c r="K138" s="75" t="s">
        <v>509</v>
      </c>
      <c r="L138" s="75" t="s">
        <v>535</v>
      </c>
      <c r="M138" s="75" t="s">
        <v>509</v>
      </c>
      <c r="N138" s="75" t="s">
        <v>535</v>
      </c>
      <c r="O138" s="75" t="s">
        <v>851</v>
      </c>
    </row>
    <row r="139" spans="1:15">
      <c r="A139" s="63" t="s">
        <v>849</v>
      </c>
      <c r="B139" s="14" t="str">
        <f>VLOOKUP(O139,'护理记录单文书字典(数据)'!B$4:C$99,2,0)</f>
        <v>54D5E2340CFAB2117BB8131127184C13</v>
      </c>
      <c r="C139" s="87" t="s">
        <v>1086</v>
      </c>
      <c r="D139" s="14" t="s">
        <v>1087</v>
      </c>
      <c r="E139" s="87">
        <v>1</v>
      </c>
      <c r="F139" s="87">
        <v>1</v>
      </c>
      <c r="G139" s="14" t="s">
        <v>1088</v>
      </c>
      <c r="H139" s="75"/>
      <c r="I139" s="75"/>
      <c r="J139" s="75" t="s">
        <v>162</v>
      </c>
      <c r="K139" s="75" t="s">
        <v>509</v>
      </c>
      <c r="L139" s="75" t="s">
        <v>535</v>
      </c>
      <c r="M139" s="75" t="s">
        <v>509</v>
      </c>
      <c r="N139" s="75" t="s">
        <v>535</v>
      </c>
      <c r="O139" s="159" t="s">
        <v>1089</v>
      </c>
    </row>
    <row r="140" spans="1:15">
      <c r="A140" s="63" t="s">
        <v>849</v>
      </c>
      <c r="B140" s="14" t="str">
        <f>VLOOKUP(O140,'护理记录单文书字典(数据)'!B$4:C$99,2,0)</f>
        <v>54D5E2340CFAB2117BB8131127184C13</v>
      </c>
      <c r="C140" s="87" t="s">
        <v>1086</v>
      </c>
      <c r="D140" s="14" t="s">
        <v>1087</v>
      </c>
      <c r="E140" s="87">
        <v>2</v>
      </c>
      <c r="F140" s="87">
        <v>2</v>
      </c>
      <c r="G140" s="14" t="s">
        <v>1090</v>
      </c>
      <c r="H140" s="75"/>
      <c r="I140" s="75"/>
      <c r="J140" s="75" t="s">
        <v>162</v>
      </c>
      <c r="K140" s="75" t="s">
        <v>509</v>
      </c>
      <c r="L140" s="75" t="s">
        <v>535</v>
      </c>
      <c r="M140" s="75" t="s">
        <v>509</v>
      </c>
      <c r="N140" s="75" t="s">
        <v>535</v>
      </c>
      <c r="O140" s="159" t="s">
        <v>1089</v>
      </c>
    </row>
    <row r="141" spans="1:15">
      <c r="A141" s="63" t="s">
        <v>849</v>
      </c>
      <c r="B141" s="14" t="str">
        <f>VLOOKUP(O141,'护理记录单文书字典(数据)'!B$4:C$99,2,0)</f>
        <v>54D5E2340CFAB2117BB8131127184C13</v>
      </c>
      <c r="C141" s="87" t="s">
        <v>1086</v>
      </c>
      <c r="D141" s="14" t="s">
        <v>1087</v>
      </c>
      <c r="E141" s="87">
        <v>3</v>
      </c>
      <c r="F141" s="87">
        <v>3</v>
      </c>
      <c r="G141" s="14" t="s">
        <v>1091</v>
      </c>
      <c r="H141" s="75"/>
      <c r="I141" s="75"/>
      <c r="J141" s="75" t="s">
        <v>162</v>
      </c>
      <c r="K141" s="75" t="s">
        <v>509</v>
      </c>
      <c r="L141" s="75" t="s">
        <v>535</v>
      </c>
      <c r="M141" s="75" t="s">
        <v>509</v>
      </c>
      <c r="N141" s="75" t="s">
        <v>535</v>
      </c>
      <c r="O141" s="159" t="s">
        <v>1089</v>
      </c>
    </row>
    <row r="142" spans="1:15">
      <c r="A142" s="63" t="s">
        <v>849</v>
      </c>
      <c r="B142" s="14" t="str">
        <f>VLOOKUP(O142,'护理记录单文书字典(数据)'!B$4:C$99,2,0)</f>
        <v>54D5E2340CFAB2117BB8131127184C13</v>
      </c>
      <c r="C142" s="87" t="s">
        <v>1086</v>
      </c>
      <c r="D142" s="14" t="s">
        <v>1087</v>
      </c>
      <c r="E142" s="87">
        <v>4</v>
      </c>
      <c r="F142" s="87">
        <v>4</v>
      </c>
      <c r="G142" s="14" t="s">
        <v>1092</v>
      </c>
      <c r="H142" s="75"/>
      <c r="I142" s="75"/>
      <c r="J142" s="75" t="s">
        <v>162</v>
      </c>
      <c r="K142" s="75" t="s">
        <v>509</v>
      </c>
      <c r="L142" s="75" t="s">
        <v>535</v>
      </c>
      <c r="M142" s="75" t="s">
        <v>509</v>
      </c>
      <c r="N142" s="75" t="s">
        <v>535</v>
      </c>
      <c r="O142" s="159" t="s">
        <v>1089</v>
      </c>
    </row>
    <row r="143" spans="1:15">
      <c r="A143" s="63" t="s">
        <v>849</v>
      </c>
      <c r="B143" s="14" t="str">
        <f>VLOOKUP(O143,'护理记录单文书字典(数据)'!B$4:C$99,2,0)</f>
        <v>54D5E2340CFAB2117BB8131127184C13</v>
      </c>
      <c r="C143" s="87" t="s">
        <v>1086</v>
      </c>
      <c r="D143" s="14" t="s">
        <v>1087</v>
      </c>
      <c r="E143" s="87">
        <v>5</v>
      </c>
      <c r="F143" s="87">
        <v>5</v>
      </c>
      <c r="G143" s="14" t="s">
        <v>1093</v>
      </c>
      <c r="H143" s="75"/>
      <c r="I143" s="75"/>
      <c r="J143" s="75" t="s">
        <v>162</v>
      </c>
      <c r="K143" s="75" t="s">
        <v>509</v>
      </c>
      <c r="L143" s="75" t="s">
        <v>535</v>
      </c>
      <c r="M143" s="75" t="s">
        <v>509</v>
      </c>
      <c r="N143" s="75" t="s">
        <v>535</v>
      </c>
      <c r="O143" s="159" t="s">
        <v>1089</v>
      </c>
    </row>
    <row r="144" spans="1:15">
      <c r="A144" s="63" t="s">
        <v>849</v>
      </c>
      <c r="B144" s="14" t="str">
        <f>VLOOKUP(O144,'护理记录单文书字典(数据)'!B$4:C$99,2,0)</f>
        <v>54D5E2340CFAB2117BB8131127184C13</v>
      </c>
      <c r="C144" s="87" t="s">
        <v>1094</v>
      </c>
      <c r="D144" s="14" t="s">
        <v>1095</v>
      </c>
      <c r="E144" s="87">
        <v>1</v>
      </c>
      <c r="F144" s="87">
        <v>1</v>
      </c>
      <c r="G144" s="14" t="s">
        <v>1096</v>
      </c>
      <c r="H144" s="75"/>
      <c r="I144" s="75"/>
      <c r="J144" s="75" t="s">
        <v>162</v>
      </c>
      <c r="K144" s="75" t="s">
        <v>509</v>
      </c>
      <c r="L144" s="75" t="s">
        <v>535</v>
      </c>
      <c r="M144" s="75" t="s">
        <v>509</v>
      </c>
      <c r="N144" s="75" t="s">
        <v>535</v>
      </c>
      <c r="O144" s="159" t="s">
        <v>1089</v>
      </c>
    </row>
    <row r="145" spans="1:15">
      <c r="A145" s="63" t="s">
        <v>849</v>
      </c>
      <c r="B145" s="14" t="str">
        <f>VLOOKUP(O145,'护理记录单文书字典(数据)'!B$4:C$99,2,0)</f>
        <v>54D5E2340CFAB2117BB8131127184C13</v>
      </c>
      <c r="C145" s="87" t="s">
        <v>1094</v>
      </c>
      <c r="D145" s="14" t="s">
        <v>1095</v>
      </c>
      <c r="E145" s="87">
        <v>2</v>
      </c>
      <c r="F145" s="87">
        <v>2</v>
      </c>
      <c r="G145" s="14" t="s">
        <v>1097</v>
      </c>
      <c r="H145" s="75"/>
      <c r="I145" s="75"/>
      <c r="J145" s="75" t="s">
        <v>162</v>
      </c>
      <c r="K145" s="75" t="s">
        <v>509</v>
      </c>
      <c r="L145" s="75" t="s">
        <v>535</v>
      </c>
      <c r="M145" s="75" t="s">
        <v>509</v>
      </c>
      <c r="N145" s="75" t="s">
        <v>535</v>
      </c>
      <c r="O145" s="159" t="s">
        <v>1089</v>
      </c>
    </row>
    <row r="146" spans="1:15">
      <c r="A146" s="63" t="s">
        <v>849</v>
      </c>
      <c r="B146" s="14" t="str">
        <f>VLOOKUP(O146,'护理记录单文书字典(数据)'!B$4:C$99,2,0)</f>
        <v>54D5E2340CFAB2117BB8131127184C13</v>
      </c>
      <c r="C146" s="87" t="s">
        <v>1094</v>
      </c>
      <c r="D146" s="14" t="s">
        <v>1095</v>
      </c>
      <c r="E146" s="87">
        <v>3</v>
      </c>
      <c r="F146" s="87">
        <v>3</v>
      </c>
      <c r="G146" s="14" t="s">
        <v>1098</v>
      </c>
      <c r="H146" s="75"/>
      <c r="I146" s="75"/>
      <c r="J146" s="75" t="s">
        <v>162</v>
      </c>
      <c r="K146" s="75" t="s">
        <v>509</v>
      </c>
      <c r="L146" s="75" t="s">
        <v>535</v>
      </c>
      <c r="M146" s="75" t="s">
        <v>509</v>
      </c>
      <c r="N146" s="75" t="s">
        <v>535</v>
      </c>
      <c r="O146" s="159" t="s">
        <v>1089</v>
      </c>
    </row>
    <row r="147" spans="1:15">
      <c r="A147" s="63" t="s">
        <v>849</v>
      </c>
      <c r="B147" s="14" t="str">
        <f>VLOOKUP(O147,'护理记录单文书字典(数据)'!B$4:C$99,2,0)</f>
        <v>54D5E2340CFAB2117BB8131127184C13</v>
      </c>
      <c r="C147" s="87" t="s">
        <v>1094</v>
      </c>
      <c r="D147" s="14" t="s">
        <v>1095</v>
      </c>
      <c r="E147" s="87">
        <v>4</v>
      </c>
      <c r="F147" s="87">
        <v>4</v>
      </c>
      <c r="G147" s="14" t="s">
        <v>1093</v>
      </c>
      <c r="H147" s="75"/>
      <c r="I147" s="75"/>
      <c r="J147" s="75" t="s">
        <v>162</v>
      </c>
      <c r="K147" s="75" t="s">
        <v>509</v>
      </c>
      <c r="L147" s="75" t="s">
        <v>535</v>
      </c>
      <c r="M147" s="75" t="s">
        <v>509</v>
      </c>
      <c r="N147" s="75" t="s">
        <v>535</v>
      </c>
      <c r="O147" s="159" t="s">
        <v>1089</v>
      </c>
    </row>
    <row r="148" spans="1:15">
      <c r="A148" s="63" t="s">
        <v>849</v>
      </c>
      <c r="B148" s="14" t="str">
        <f>VLOOKUP(O148,'护理记录单文书字典(数据)'!B$4:C$99,2,0)</f>
        <v>54D5E2340CFAB2117BB8131127184C13</v>
      </c>
      <c r="C148" s="87" t="s">
        <v>1099</v>
      </c>
      <c r="D148" s="14" t="s">
        <v>1100</v>
      </c>
      <c r="E148" s="87">
        <v>1</v>
      </c>
      <c r="F148" s="87">
        <v>1</v>
      </c>
      <c r="G148" s="14" t="s">
        <v>962</v>
      </c>
      <c r="H148" s="75"/>
      <c r="I148" s="75"/>
      <c r="J148" s="75" t="s">
        <v>162</v>
      </c>
      <c r="K148" s="75" t="s">
        <v>509</v>
      </c>
      <c r="L148" s="75" t="s">
        <v>535</v>
      </c>
      <c r="M148" s="75" t="s">
        <v>509</v>
      </c>
      <c r="N148" s="75" t="s">
        <v>535</v>
      </c>
      <c r="O148" s="159" t="s">
        <v>1089</v>
      </c>
    </row>
    <row r="149" spans="1:15">
      <c r="A149" s="63" t="s">
        <v>849</v>
      </c>
      <c r="B149" s="14" t="str">
        <f>VLOOKUP(O149,'护理记录单文书字典(数据)'!B$4:C$99,2,0)</f>
        <v>54D5E2340CFAB2117BB8131127184C13</v>
      </c>
      <c r="C149" s="87" t="s">
        <v>1099</v>
      </c>
      <c r="D149" s="14" t="s">
        <v>1100</v>
      </c>
      <c r="E149" s="87">
        <v>2</v>
      </c>
      <c r="F149" s="87">
        <v>2</v>
      </c>
      <c r="G149" s="14" t="s">
        <v>1101</v>
      </c>
      <c r="H149" s="75"/>
      <c r="I149" s="75"/>
      <c r="J149" s="75" t="s">
        <v>162</v>
      </c>
      <c r="K149" s="75" t="s">
        <v>509</v>
      </c>
      <c r="L149" s="75" t="s">
        <v>535</v>
      </c>
      <c r="M149" s="75" t="s">
        <v>509</v>
      </c>
      <c r="N149" s="75" t="s">
        <v>535</v>
      </c>
      <c r="O149" s="159" t="s">
        <v>1089</v>
      </c>
    </row>
    <row r="150" spans="1:15">
      <c r="A150" s="63" t="s">
        <v>849</v>
      </c>
      <c r="B150" s="14" t="str">
        <f>VLOOKUP(O150,'护理记录单文书字典(数据)'!B$4:C$99,2,0)</f>
        <v>54D5E2340CFAB2117BB8131127184C13</v>
      </c>
      <c r="C150" s="87" t="s">
        <v>1099</v>
      </c>
      <c r="D150" s="14" t="s">
        <v>1100</v>
      </c>
      <c r="E150" s="87">
        <v>3</v>
      </c>
      <c r="F150" s="87">
        <v>3</v>
      </c>
      <c r="G150" s="14" t="s">
        <v>1102</v>
      </c>
      <c r="H150" s="75"/>
      <c r="I150" s="75"/>
      <c r="J150" s="75" t="s">
        <v>162</v>
      </c>
      <c r="K150" s="75" t="s">
        <v>509</v>
      </c>
      <c r="L150" s="75" t="s">
        <v>535</v>
      </c>
      <c r="M150" s="75" t="s">
        <v>509</v>
      </c>
      <c r="N150" s="75" t="s">
        <v>535</v>
      </c>
      <c r="O150" s="159" t="s">
        <v>1089</v>
      </c>
    </row>
    <row r="151" spans="1:15">
      <c r="A151" s="63" t="s">
        <v>849</v>
      </c>
      <c r="B151" s="14" t="str">
        <f>VLOOKUP(O151,'护理记录单文书字典(数据)'!B$4:C$99,2,0)</f>
        <v>54D5E2340CFAB2117BB8131127184C13</v>
      </c>
      <c r="C151" s="87" t="s">
        <v>1103</v>
      </c>
      <c r="D151" s="14" t="s">
        <v>1104</v>
      </c>
      <c r="E151" s="87">
        <v>1</v>
      </c>
      <c r="F151" s="87">
        <v>1</v>
      </c>
      <c r="G151" s="14" t="s">
        <v>962</v>
      </c>
      <c r="H151" s="75"/>
      <c r="I151" s="75"/>
      <c r="J151" s="75" t="s">
        <v>162</v>
      </c>
      <c r="K151" s="75" t="s">
        <v>509</v>
      </c>
      <c r="L151" s="75" t="s">
        <v>535</v>
      </c>
      <c r="M151" s="75" t="s">
        <v>509</v>
      </c>
      <c r="N151" s="75" t="s">
        <v>535</v>
      </c>
      <c r="O151" s="159" t="s">
        <v>1089</v>
      </c>
    </row>
    <row r="152" spans="1:15">
      <c r="A152" s="63" t="s">
        <v>849</v>
      </c>
      <c r="B152" s="14" t="str">
        <f>VLOOKUP(O152,'护理记录单文书字典(数据)'!B$4:C$99,2,0)</f>
        <v>54D5E2340CFAB2117BB8131127184C13</v>
      </c>
      <c r="C152" s="87" t="s">
        <v>1103</v>
      </c>
      <c r="D152" s="14" t="s">
        <v>1104</v>
      </c>
      <c r="E152" s="87">
        <v>2</v>
      </c>
      <c r="F152" s="87">
        <v>2</v>
      </c>
      <c r="G152" s="14" t="s">
        <v>1105</v>
      </c>
      <c r="H152" s="75"/>
      <c r="I152" s="75"/>
      <c r="J152" s="75" t="s">
        <v>162</v>
      </c>
      <c r="K152" s="75" t="s">
        <v>509</v>
      </c>
      <c r="L152" s="75" t="s">
        <v>535</v>
      </c>
      <c r="M152" s="75" t="s">
        <v>509</v>
      </c>
      <c r="N152" s="75" t="s">
        <v>535</v>
      </c>
      <c r="O152" s="159" t="s">
        <v>1089</v>
      </c>
    </row>
    <row r="153" spans="1:15">
      <c r="A153" s="63" t="s">
        <v>849</v>
      </c>
      <c r="B153" s="14" t="str">
        <f>VLOOKUP(O153,'护理记录单文书字典(数据)'!B$4:C$99,2,0)</f>
        <v>54D5E2340CFAB2117BB8131127184C13</v>
      </c>
      <c r="C153" s="87" t="s">
        <v>1103</v>
      </c>
      <c r="D153" s="14" t="s">
        <v>1104</v>
      </c>
      <c r="E153" s="87">
        <v>3</v>
      </c>
      <c r="F153" s="87">
        <v>3</v>
      </c>
      <c r="G153" s="14" t="s">
        <v>1106</v>
      </c>
      <c r="H153" s="75"/>
      <c r="I153" s="75"/>
      <c r="J153" s="75" t="s">
        <v>162</v>
      </c>
      <c r="K153" s="75" t="s">
        <v>509</v>
      </c>
      <c r="L153" s="75" t="s">
        <v>535</v>
      </c>
      <c r="M153" s="75" t="s">
        <v>509</v>
      </c>
      <c r="N153" s="75" t="s">
        <v>535</v>
      </c>
      <c r="O153" s="159" t="s">
        <v>1089</v>
      </c>
    </row>
    <row r="154" spans="1:15">
      <c r="A154" s="63" t="s">
        <v>849</v>
      </c>
      <c r="B154" s="14" t="str">
        <f>VLOOKUP(O154,'护理记录单文书字典(数据)'!B$4:C$99,2,0)</f>
        <v>54D5E2340CFAB2117BB8131127184C13</v>
      </c>
      <c r="C154" s="87" t="s">
        <v>1103</v>
      </c>
      <c r="D154" s="14" t="s">
        <v>1104</v>
      </c>
      <c r="E154" s="87">
        <v>4</v>
      </c>
      <c r="F154" s="87">
        <v>4</v>
      </c>
      <c r="G154" s="14" t="s">
        <v>1107</v>
      </c>
      <c r="H154" s="75"/>
      <c r="I154" s="75"/>
      <c r="J154" s="75" t="s">
        <v>162</v>
      </c>
      <c r="K154" s="75" t="s">
        <v>509</v>
      </c>
      <c r="L154" s="75" t="s">
        <v>535</v>
      </c>
      <c r="M154" s="75" t="s">
        <v>509</v>
      </c>
      <c r="N154" s="75" t="s">
        <v>535</v>
      </c>
      <c r="O154" s="159" t="s">
        <v>1089</v>
      </c>
    </row>
    <row r="155" spans="1:15">
      <c r="A155" s="63" t="s">
        <v>849</v>
      </c>
      <c r="B155" s="14" t="str">
        <f>VLOOKUP(O155,'护理记录单文书字典(数据)'!B$4:C$99,2,0)</f>
        <v>D20BEA340CFAB211D3BF915592730B4C</v>
      </c>
      <c r="C155" s="87" t="s">
        <v>1108</v>
      </c>
      <c r="D155" s="14" t="s">
        <v>1109</v>
      </c>
      <c r="E155" s="87">
        <v>1</v>
      </c>
      <c r="F155" s="87">
        <v>1</v>
      </c>
      <c r="G155" s="14" t="s">
        <v>1110</v>
      </c>
      <c r="H155" s="75"/>
      <c r="I155" s="75"/>
      <c r="J155" s="75" t="s">
        <v>162</v>
      </c>
      <c r="K155" s="75" t="s">
        <v>509</v>
      </c>
      <c r="L155" s="75" t="s">
        <v>535</v>
      </c>
      <c r="M155" s="75" t="s">
        <v>509</v>
      </c>
      <c r="N155" s="75" t="s">
        <v>535</v>
      </c>
      <c r="O155" s="159" t="s">
        <v>1111</v>
      </c>
    </row>
    <row r="156" spans="1:15">
      <c r="A156" s="63" t="s">
        <v>849</v>
      </c>
      <c r="B156" s="14" t="str">
        <f>VLOOKUP(O156,'护理记录单文书字典(数据)'!B$4:C$99,2,0)</f>
        <v>D20BEA340CFAB211D3BF915592730B4C</v>
      </c>
      <c r="C156" s="87" t="s">
        <v>1108</v>
      </c>
      <c r="D156" s="14" t="s">
        <v>1109</v>
      </c>
      <c r="E156" s="87">
        <v>2</v>
      </c>
      <c r="F156" s="87">
        <v>2</v>
      </c>
      <c r="G156" s="14" t="s">
        <v>1112</v>
      </c>
      <c r="H156" s="75"/>
      <c r="I156" s="75"/>
      <c r="J156" s="75" t="s">
        <v>162</v>
      </c>
      <c r="K156" s="75" t="s">
        <v>509</v>
      </c>
      <c r="L156" s="75" t="s">
        <v>535</v>
      </c>
      <c r="M156" s="75" t="s">
        <v>509</v>
      </c>
      <c r="N156" s="75" t="s">
        <v>535</v>
      </c>
      <c r="O156" s="159" t="s">
        <v>1111</v>
      </c>
    </row>
    <row r="157" spans="1:15">
      <c r="A157" s="63" t="s">
        <v>849</v>
      </c>
      <c r="B157" s="14" t="str">
        <f>VLOOKUP(O157,'护理记录单文书字典(数据)'!B$4:C$99,2,0)</f>
        <v>D20BEA340CFAB211D3BF915592730B4C</v>
      </c>
      <c r="C157" s="87" t="s">
        <v>1108</v>
      </c>
      <c r="D157" s="14" t="s">
        <v>1109</v>
      </c>
      <c r="E157" s="87">
        <v>3</v>
      </c>
      <c r="F157" s="87">
        <v>3</v>
      </c>
      <c r="G157" s="14" t="s">
        <v>1113</v>
      </c>
      <c r="H157" s="75"/>
      <c r="I157" s="75"/>
      <c r="J157" s="75" t="s">
        <v>162</v>
      </c>
      <c r="K157" s="75" t="s">
        <v>509</v>
      </c>
      <c r="L157" s="75" t="s">
        <v>535</v>
      </c>
      <c r="M157" s="75" t="s">
        <v>509</v>
      </c>
      <c r="N157" s="75" t="s">
        <v>535</v>
      </c>
      <c r="O157" s="159" t="s">
        <v>1111</v>
      </c>
    </row>
    <row r="158" spans="1:15">
      <c r="A158" s="63" t="s">
        <v>849</v>
      </c>
      <c r="B158" s="14" t="str">
        <f>VLOOKUP(O158,'护理记录单文书字典(数据)'!B$4:C$99,2,0)</f>
        <v>D20BEA340CFAB211D3BF915592730B4C</v>
      </c>
      <c r="C158" s="87" t="s">
        <v>1114</v>
      </c>
      <c r="D158" s="14" t="s">
        <v>1115</v>
      </c>
      <c r="E158" s="87">
        <v>1</v>
      </c>
      <c r="F158" s="87">
        <v>1</v>
      </c>
      <c r="G158" s="14" t="s">
        <v>1116</v>
      </c>
      <c r="H158" s="75"/>
      <c r="I158" s="75"/>
      <c r="J158" s="75" t="s">
        <v>162</v>
      </c>
      <c r="K158" s="75" t="s">
        <v>509</v>
      </c>
      <c r="L158" s="75" t="s">
        <v>535</v>
      </c>
      <c r="M158" s="75" t="s">
        <v>509</v>
      </c>
      <c r="N158" s="75" t="s">
        <v>535</v>
      </c>
      <c r="O158" s="159" t="s">
        <v>1111</v>
      </c>
    </row>
    <row r="159" spans="1:15">
      <c r="A159" s="63" t="s">
        <v>849</v>
      </c>
      <c r="B159" s="14" t="str">
        <f>VLOOKUP(O159,'护理记录单文书字典(数据)'!B$4:C$99,2,0)</f>
        <v>D20BEA340CFAB211D3BF915592730B4C</v>
      </c>
      <c r="C159" s="87" t="s">
        <v>1114</v>
      </c>
      <c r="D159" s="14" t="s">
        <v>1115</v>
      </c>
      <c r="E159" s="87">
        <v>2</v>
      </c>
      <c r="F159" s="87">
        <v>2</v>
      </c>
      <c r="G159" s="14" t="s">
        <v>1112</v>
      </c>
      <c r="H159" s="75"/>
      <c r="I159" s="75"/>
      <c r="J159" s="75" t="s">
        <v>162</v>
      </c>
      <c r="K159" s="75" t="s">
        <v>509</v>
      </c>
      <c r="L159" s="75" t="s">
        <v>535</v>
      </c>
      <c r="M159" s="75" t="s">
        <v>509</v>
      </c>
      <c r="N159" s="75" t="s">
        <v>535</v>
      </c>
      <c r="O159" s="159" t="s">
        <v>1111</v>
      </c>
    </row>
    <row r="160" spans="1:15">
      <c r="A160" s="63" t="s">
        <v>849</v>
      </c>
      <c r="B160" s="14" t="str">
        <f>VLOOKUP(O160,'护理记录单文书字典(数据)'!B$4:C$99,2,0)</f>
        <v>D20BEA340CFAB211D3BF915592730B4C</v>
      </c>
      <c r="C160" s="87" t="s">
        <v>1114</v>
      </c>
      <c r="D160" s="14" t="s">
        <v>1115</v>
      </c>
      <c r="E160" s="87">
        <v>3</v>
      </c>
      <c r="F160" s="87">
        <v>3</v>
      </c>
      <c r="G160" s="14" t="s">
        <v>1117</v>
      </c>
      <c r="H160" s="75"/>
      <c r="I160" s="75"/>
      <c r="J160" s="75" t="s">
        <v>162</v>
      </c>
      <c r="K160" s="75" t="s">
        <v>509</v>
      </c>
      <c r="L160" s="75" t="s">
        <v>535</v>
      </c>
      <c r="M160" s="75" t="s">
        <v>509</v>
      </c>
      <c r="N160" s="75" t="s">
        <v>535</v>
      </c>
      <c r="O160" s="159" t="s">
        <v>1111</v>
      </c>
    </row>
    <row r="161" spans="1:15">
      <c r="A161" s="63" t="s">
        <v>849</v>
      </c>
      <c r="B161" s="14" t="str">
        <f>VLOOKUP(O161,'护理记录单文书字典(数据)'!B$4:C$99,2,0)</f>
        <v>D20BEA340CFAB211D3BF915592730B4C</v>
      </c>
      <c r="C161" s="172" t="s">
        <v>2812</v>
      </c>
      <c r="D161" s="173" t="s">
        <v>2813</v>
      </c>
      <c r="E161" s="172">
        <v>1</v>
      </c>
      <c r="F161" s="172">
        <v>0</v>
      </c>
      <c r="G161" s="170" t="s">
        <v>192</v>
      </c>
      <c r="H161" s="170"/>
      <c r="I161" s="170"/>
      <c r="J161" s="170" t="s">
        <v>162</v>
      </c>
      <c r="K161" s="170" t="s">
        <v>509</v>
      </c>
      <c r="L161" s="170" t="s">
        <v>535</v>
      </c>
      <c r="M161" s="170" t="s">
        <v>509</v>
      </c>
      <c r="N161" s="170" t="s">
        <v>535</v>
      </c>
      <c r="O161" s="170" t="s">
        <v>2814</v>
      </c>
    </row>
    <row r="162" spans="1:15">
      <c r="A162" s="63" t="s">
        <v>849</v>
      </c>
      <c r="B162" s="14" t="str">
        <f>VLOOKUP(O162,'护理记录单文书字典(数据)'!B$4:C$99,2,0)</f>
        <v>D20BEA340CFAB211D3BF915592730B4C</v>
      </c>
      <c r="C162" s="172" t="s">
        <v>2812</v>
      </c>
      <c r="D162" s="173" t="s">
        <v>2813</v>
      </c>
      <c r="E162" s="172">
        <v>2</v>
      </c>
      <c r="F162" s="172">
        <v>1</v>
      </c>
      <c r="G162" s="170" t="s">
        <v>191</v>
      </c>
      <c r="H162" s="170"/>
      <c r="I162" s="170"/>
      <c r="J162" s="170" t="s">
        <v>162</v>
      </c>
      <c r="K162" s="170" t="s">
        <v>509</v>
      </c>
      <c r="L162" s="170" t="s">
        <v>535</v>
      </c>
      <c r="M162" s="170" t="s">
        <v>509</v>
      </c>
      <c r="N162" s="170" t="s">
        <v>535</v>
      </c>
      <c r="O162" s="170" t="s">
        <v>1111</v>
      </c>
    </row>
    <row r="163" spans="1:15">
      <c r="A163" s="63" t="s">
        <v>849</v>
      </c>
      <c r="B163" s="14" t="str">
        <f>VLOOKUP(O163,'护理记录单文书字典(数据)'!B$4:C$99,2,0)</f>
        <v>44A706350CFAB2119FBD2A4C9D15623C</v>
      </c>
      <c r="C163" s="87" t="s">
        <v>1118</v>
      </c>
      <c r="D163" s="14" t="s">
        <v>1119</v>
      </c>
      <c r="E163" s="87">
        <v>1</v>
      </c>
      <c r="F163" s="87">
        <v>1</v>
      </c>
      <c r="G163" s="14" t="s">
        <v>1120</v>
      </c>
      <c r="H163" s="75"/>
      <c r="I163" s="75"/>
      <c r="J163" s="75" t="s">
        <v>162</v>
      </c>
      <c r="K163" s="75" t="s">
        <v>509</v>
      </c>
      <c r="L163" s="75" t="s">
        <v>535</v>
      </c>
      <c r="M163" s="75" t="s">
        <v>509</v>
      </c>
      <c r="N163" s="75" t="s">
        <v>535</v>
      </c>
      <c r="O163" s="159" t="s">
        <v>1121</v>
      </c>
    </row>
    <row r="164" spans="1:15">
      <c r="A164" s="63" t="s">
        <v>849</v>
      </c>
      <c r="B164" s="14" t="str">
        <f>VLOOKUP(O164,'护理记录单文书字典(数据)'!B$4:C$99,2,0)</f>
        <v>44A706350CFAB2119FBD2A4C9D15623C</v>
      </c>
      <c r="C164" s="87" t="s">
        <v>1118</v>
      </c>
      <c r="D164" s="14" t="s">
        <v>1119</v>
      </c>
      <c r="E164" s="87">
        <v>2</v>
      </c>
      <c r="F164" s="87">
        <v>2</v>
      </c>
      <c r="G164" s="14" t="s">
        <v>1122</v>
      </c>
      <c r="H164" s="75"/>
      <c r="I164" s="75"/>
      <c r="J164" s="75" t="s">
        <v>162</v>
      </c>
      <c r="K164" s="75" t="s">
        <v>509</v>
      </c>
      <c r="L164" s="75" t="s">
        <v>535</v>
      </c>
      <c r="M164" s="75" t="s">
        <v>509</v>
      </c>
      <c r="N164" s="75" t="s">
        <v>535</v>
      </c>
      <c r="O164" s="159" t="s">
        <v>1121</v>
      </c>
    </row>
    <row r="165" spans="1:15">
      <c r="A165" s="63" t="s">
        <v>849</v>
      </c>
      <c r="B165" s="14" t="str">
        <f>VLOOKUP(O165,'护理记录单文书字典(数据)'!B$4:C$99,2,0)</f>
        <v>44A706350CFAB2119FBD2A4C9D15623C</v>
      </c>
      <c r="C165" s="87" t="s">
        <v>1118</v>
      </c>
      <c r="D165" s="14" t="s">
        <v>1119</v>
      </c>
      <c r="E165" s="87">
        <v>3</v>
      </c>
      <c r="F165" s="87">
        <v>3</v>
      </c>
      <c r="G165" s="14" t="s">
        <v>1123</v>
      </c>
      <c r="H165" s="75"/>
      <c r="I165" s="75"/>
      <c r="J165" s="75" t="s">
        <v>162</v>
      </c>
      <c r="K165" s="75" t="s">
        <v>509</v>
      </c>
      <c r="L165" s="75" t="s">
        <v>535</v>
      </c>
      <c r="M165" s="75" t="s">
        <v>509</v>
      </c>
      <c r="N165" s="75" t="s">
        <v>535</v>
      </c>
      <c r="O165" s="159" t="s">
        <v>1121</v>
      </c>
    </row>
    <row r="166" spans="1:15">
      <c r="A166" s="63" t="s">
        <v>849</v>
      </c>
      <c r="B166" s="14" t="str">
        <f>VLOOKUP(O166,'护理记录单文书字典(数据)'!B$4:C$99,2,0)</f>
        <v>44A706350CFAB2119FBD2A4C9D15623C</v>
      </c>
      <c r="C166" s="87" t="s">
        <v>1118</v>
      </c>
      <c r="D166" s="14" t="s">
        <v>1119</v>
      </c>
      <c r="E166" s="87">
        <v>4</v>
      </c>
      <c r="F166" s="87">
        <v>4</v>
      </c>
      <c r="G166" s="14" t="s">
        <v>1124</v>
      </c>
      <c r="H166" s="75"/>
      <c r="I166" s="75"/>
      <c r="J166" s="75" t="s">
        <v>162</v>
      </c>
      <c r="K166" s="75" t="s">
        <v>509</v>
      </c>
      <c r="L166" s="75" t="s">
        <v>535</v>
      </c>
      <c r="M166" s="75" t="s">
        <v>509</v>
      </c>
      <c r="N166" s="75" t="s">
        <v>535</v>
      </c>
      <c r="O166" s="159" t="s">
        <v>1121</v>
      </c>
    </row>
    <row r="167" spans="1:15">
      <c r="A167" s="63" t="s">
        <v>849</v>
      </c>
      <c r="B167" s="14" t="str">
        <f>VLOOKUP(O167,'护理记录单文书字典(数据)'!B$4:C$99,2,0)</f>
        <v>44A706350CFAB2119FBD2A4C9D15623C</v>
      </c>
      <c r="C167" s="87" t="s">
        <v>1118</v>
      </c>
      <c r="D167" s="14" t="s">
        <v>1119</v>
      </c>
      <c r="E167" s="87">
        <v>5</v>
      </c>
      <c r="F167" s="87">
        <v>5</v>
      </c>
      <c r="G167" s="14" t="s">
        <v>1125</v>
      </c>
      <c r="H167" s="75"/>
      <c r="I167" s="75"/>
      <c r="J167" s="75" t="s">
        <v>162</v>
      </c>
      <c r="K167" s="75" t="s">
        <v>509</v>
      </c>
      <c r="L167" s="75" t="s">
        <v>535</v>
      </c>
      <c r="M167" s="75" t="s">
        <v>509</v>
      </c>
      <c r="N167" s="75" t="s">
        <v>535</v>
      </c>
      <c r="O167" s="159" t="s">
        <v>1121</v>
      </c>
    </row>
    <row r="168" spans="1:15">
      <c r="A168" s="63" t="s">
        <v>849</v>
      </c>
      <c r="B168" s="14" t="str">
        <f>VLOOKUP(O168,'护理记录单文书字典(数据)'!B$4:C$99,2,0)</f>
        <v>44A706350CFAB2119FBD2A4C9D15623C</v>
      </c>
      <c r="C168" s="87" t="s">
        <v>1118</v>
      </c>
      <c r="D168" s="14" t="s">
        <v>1119</v>
      </c>
      <c r="E168" s="87">
        <v>6</v>
      </c>
      <c r="F168" s="87">
        <v>6</v>
      </c>
      <c r="G168" s="14" t="s">
        <v>1126</v>
      </c>
      <c r="H168" s="75"/>
      <c r="I168" s="75"/>
      <c r="J168" s="75" t="s">
        <v>162</v>
      </c>
      <c r="K168" s="75" t="s">
        <v>509</v>
      </c>
      <c r="L168" s="75" t="s">
        <v>535</v>
      </c>
      <c r="M168" s="75" t="s">
        <v>509</v>
      </c>
      <c r="N168" s="75" t="s">
        <v>535</v>
      </c>
      <c r="O168" s="159" t="s">
        <v>1121</v>
      </c>
    </row>
    <row r="169" spans="1:15">
      <c r="A169" s="63" t="s">
        <v>849</v>
      </c>
      <c r="B169" s="14" t="str">
        <f>VLOOKUP(O169,'护理记录单文书字典(数据)'!B$4:C$99,2,0)</f>
        <v>44A706350CFAB2119FBD2A4C9D15623C</v>
      </c>
      <c r="C169" s="87" t="s">
        <v>1094</v>
      </c>
      <c r="D169" s="14" t="s">
        <v>1095</v>
      </c>
      <c r="E169" s="87">
        <v>1</v>
      </c>
      <c r="F169" s="87">
        <v>1</v>
      </c>
      <c r="G169" s="14" t="s">
        <v>1127</v>
      </c>
      <c r="H169" s="75"/>
      <c r="I169" s="75"/>
      <c r="J169" s="75" t="s">
        <v>162</v>
      </c>
      <c r="K169" s="75" t="s">
        <v>509</v>
      </c>
      <c r="L169" s="75" t="s">
        <v>535</v>
      </c>
      <c r="M169" s="75" t="s">
        <v>509</v>
      </c>
      <c r="N169" s="75" t="s">
        <v>535</v>
      </c>
      <c r="O169" s="159" t="s">
        <v>1121</v>
      </c>
    </row>
    <row r="170" spans="1:15">
      <c r="A170" s="63" t="s">
        <v>849</v>
      </c>
      <c r="B170" s="14" t="str">
        <f>VLOOKUP(O170,'护理记录单文书字典(数据)'!B$4:C$99,2,0)</f>
        <v>44A706350CFAB2119FBD2A4C9D15623C</v>
      </c>
      <c r="C170" s="87" t="s">
        <v>1094</v>
      </c>
      <c r="D170" s="14" t="s">
        <v>1095</v>
      </c>
      <c r="E170" s="87">
        <v>2</v>
      </c>
      <c r="F170" s="87">
        <v>2</v>
      </c>
      <c r="G170" s="14" t="s">
        <v>1128</v>
      </c>
      <c r="H170" s="75"/>
      <c r="I170" s="75"/>
      <c r="J170" s="75" t="s">
        <v>162</v>
      </c>
      <c r="K170" s="75" t="s">
        <v>509</v>
      </c>
      <c r="L170" s="75" t="s">
        <v>535</v>
      </c>
      <c r="M170" s="75" t="s">
        <v>509</v>
      </c>
      <c r="N170" s="75" t="s">
        <v>535</v>
      </c>
      <c r="O170" s="159" t="s">
        <v>1121</v>
      </c>
    </row>
    <row r="171" spans="1:15">
      <c r="A171" s="63" t="s">
        <v>849</v>
      </c>
      <c r="B171" s="14" t="str">
        <f>VLOOKUP(O171,'护理记录单文书字典(数据)'!B$4:C$99,2,0)</f>
        <v>44A706350CFAB2119FBD2A4C9D15623C</v>
      </c>
      <c r="C171" s="87" t="s">
        <v>1094</v>
      </c>
      <c r="D171" s="14" t="s">
        <v>1095</v>
      </c>
      <c r="E171" s="87">
        <v>3</v>
      </c>
      <c r="F171" s="87">
        <v>3</v>
      </c>
      <c r="G171" s="14" t="s">
        <v>1129</v>
      </c>
      <c r="H171" s="75"/>
      <c r="I171" s="75"/>
      <c r="J171" s="75" t="s">
        <v>162</v>
      </c>
      <c r="K171" s="75" t="s">
        <v>509</v>
      </c>
      <c r="L171" s="75" t="s">
        <v>535</v>
      </c>
      <c r="M171" s="75" t="s">
        <v>509</v>
      </c>
      <c r="N171" s="75" t="s">
        <v>535</v>
      </c>
      <c r="O171" s="159" t="s">
        <v>1121</v>
      </c>
    </row>
    <row r="172" spans="1:15">
      <c r="A172" s="63" t="s">
        <v>849</v>
      </c>
      <c r="B172" s="14" t="str">
        <f>VLOOKUP(O172,'护理记录单文书字典(数据)'!B$4:C$99,2,0)</f>
        <v>44A706350CFAB2119FBD2A4C9D15623C</v>
      </c>
      <c r="C172" s="87" t="s">
        <v>1103</v>
      </c>
      <c r="D172" s="14" t="s">
        <v>1104</v>
      </c>
      <c r="E172" s="87">
        <v>1</v>
      </c>
      <c r="F172" s="87">
        <v>1</v>
      </c>
      <c r="G172" s="14" t="s">
        <v>962</v>
      </c>
      <c r="H172" s="75"/>
      <c r="I172" s="75"/>
      <c r="J172" s="75" t="s">
        <v>162</v>
      </c>
      <c r="K172" s="75" t="s">
        <v>509</v>
      </c>
      <c r="L172" s="75" t="s">
        <v>535</v>
      </c>
      <c r="M172" s="75" t="s">
        <v>509</v>
      </c>
      <c r="N172" s="75" t="s">
        <v>535</v>
      </c>
      <c r="O172" s="159" t="s">
        <v>1121</v>
      </c>
    </row>
    <row r="173" spans="1:15">
      <c r="A173" s="63" t="s">
        <v>849</v>
      </c>
      <c r="B173" s="14" t="str">
        <f>VLOOKUP(O173,'护理记录单文书字典(数据)'!B$4:C$99,2,0)</f>
        <v>44A706350CFAB2119FBD2A4C9D15623C</v>
      </c>
      <c r="C173" s="87" t="s">
        <v>1103</v>
      </c>
      <c r="D173" s="14" t="s">
        <v>1104</v>
      </c>
      <c r="E173" s="87">
        <v>2</v>
      </c>
      <c r="F173" s="87">
        <v>2</v>
      </c>
      <c r="G173" s="14" t="s">
        <v>1105</v>
      </c>
      <c r="H173" s="75"/>
      <c r="I173" s="75"/>
      <c r="J173" s="75" t="s">
        <v>162</v>
      </c>
      <c r="K173" s="75" t="s">
        <v>509</v>
      </c>
      <c r="L173" s="75" t="s">
        <v>535</v>
      </c>
      <c r="M173" s="75" t="s">
        <v>509</v>
      </c>
      <c r="N173" s="75" t="s">
        <v>535</v>
      </c>
      <c r="O173" s="159" t="s">
        <v>1121</v>
      </c>
    </row>
    <row r="174" spans="1:15">
      <c r="A174" s="63" t="s">
        <v>849</v>
      </c>
      <c r="B174" s="14" t="str">
        <f>VLOOKUP(O174,'护理记录单文书字典(数据)'!B$4:C$99,2,0)</f>
        <v>44A706350CFAB2119FBD2A4C9D15623C</v>
      </c>
      <c r="C174" s="87" t="s">
        <v>1103</v>
      </c>
      <c r="D174" s="14" t="s">
        <v>1104</v>
      </c>
      <c r="E174" s="87">
        <v>3</v>
      </c>
      <c r="F174" s="87">
        <v>3</v>
      </c>
      <c r="G174" s="14" t="s">
        <v>1106</v>
      </c>
      <c r="H174" s="75"/>
      <c r="I174" s="75"/>
      <c r="J174" s="75" t="s">
        <v>162</v>
      </c>
      <c r="K174" s="75" t="s">
        <v>509</v>
      </c>
      <c r="L174" s="75" t="s">
        <v>535</v>
      </c>
      <c r="M174" s="75" t="s">
        <v>509</v>
      </c>
      <c r="N174" s="75" t="s">
        <v>535</v>
      </c>
      <c r="O174" s="159" t="s">
        <v>1121</v>
      </c>
    </row>
    <row r="175" spans="1:15">
      <c r="A175" s="63" t="s">
        <v>849</v>
      </c>
      <c r="B175" s="14" t="str">
        <f>VLOOKUP(O175,'护理记录单文书字典(数据)'!B$4:C$99,2,0)</f>
        <v>44A706350CFAB2119FBD2A4C9D15623C</v>
      </c>
      <c r="C175" s="87" t="s">
        <v>1103</v>
      </c>
      <c r="D175" s="14" t="s">
        <v>1104</v>
      </c>
      <c r="E175" s="87">
        <v>4</v>
      </c>
      <c r="F175" s="87">
        <v>4</v>
      </c>
      <c r="G175" s="14" t="s">
        <v>1107</v>
      </c>
      <c r="H175" s="75"/>
      <c r="I175" s="75"/>
      <c r="J175" s="75" t="s">
        <v>162</v>
      </c>
      <c r="K175" s="75" t="s">
        <v>509</v>
      </c>
      <c r="L175" s="75" t="s">
        <v>535</v>
      </c>
      <c r="M175" s="75" t="s">
        <v>509</v>
      </c>
      <c r="N175" s="75" t="s">
        <v>535</v>
      </c>
      <c r="O175" s="159" t="s">
        <v>1121</v>
      </c>
    </row>
    <row r="176" spans="1:15" ht="15" customHeight="1">
      <c r="A176" s="63" t="s">
        <v>849</v>
      </c>
      <c r="B176" s="14" t="str">
        <f>VLOOKUP(O176,'护理记录单文书字典(数据)'!B$4:C$99,2,0)</f>
        <v>44A706350CFAB2119FBD2A4C9D15623C</v>
      </c>
      <c r="C176" s="87" t="s">
        <v>1099</v>
      </c>
      <c r="D176" s="14" t="s">
        <v>1100</v>
      </c>
      <c r="E176" s="87">
        <v>1</v>
      </c>
      <c r="F176" s="87">
        <v>1</v>
      </c>
      <c r="G176" s="14" t="s">
        <v>962</v>
      </c>
      <c r="H176" s="75"/>
      <c r="I176" s="75"/>
      <c r="J176" s="75" t="s">
        <v>162</v>
      </c>
      <c r="K176" s="75" t="s">
        <v>509</v>
      </c>
      <c r="L176" s="75" t="s">
        <v>535</v>
      </c>
      <c r="M176" s="75" t="s">
        <v>509</v>
      </c>
      <c r="N176" s="75" t="s">
        <v>535</v>
      </c>
      <c r="O176" s="159" t="s">
        <v>1121</v>
      </c>
    </row>
    <row r="177" spans="1:15">
      <c r="A177" s="63" t="s">
        <v>849</v>
      </c>
      <c r="B177" s="14" t="str">
        <f>VLOOKUP(O177,'护理记录单文书字典(数据)'!B$4:C$99,2,0)</f>
        <v>44A706350CFAB2119FBD2A4C9D15623C</v>
      </c>
      <c r="C177" s="87" t="s">
        <v>1099</v>
      </c>
      <c r="D177" s="14" t="s">
        <v>1100</v>
      </c>
      <c r="E177" s="87">
        <v>2</v>
      </c>
      <c r="F177" s="87">
        <v>2</v>
      </c>
      <c r="G177" s="14" t="s">
        <v>1101</v>
      </c>
      <c r="H177" s="75"/>
      <c r="I177" s="75"/>
      <c r="J177" s="75" t="s">
        <v>162</v>
      </c>
      <c r="K177" s="75" t="s">
        <v>509</v>
      </c>
      <c r="L177" s="75" t="s">
        <v>535</v>
      </c>
      <c r="M177" s="75" t="s">
        <v>509</v>
      </c>
      <c r="N177" s="75" t="s">
        <v>535</v>
      </c>
      <c r="O177" s="159" t="s">
        <v>1121</v>
      </c>
    </row>
    <row r="178" spans="1:15">
      <c r="A178" s="63" t="s">
        <v>849</v>
      </c>
      <c r="B178" s="14" t="str">
        <f>VLOOKUP(O178,'护理记录单文书字典(数据)'!B$4:C$99,2,0)</f>
        <v>44A706350CFAB2119FBD2A4C9D15623C</v>
      </c>
      <c r="C178" s="87" t="s">
        <v>1099</v>
      </c>
      <c r="D178" s="14" t="s">
        <v>1100</v>
      </c>
      <c r="E178" s="87">
        <v>3</v>
      </c>
      <c r="F178" s="87">
        <v>3</v>
      </c>
      <c r="G178" s="14" t="s">
        <v>1102</v>
      </c>
      <c r="H178" s="75"/>
      <c r="I178" s="75"/>
      <c r="J178" s="75" t="s">
        <v>162</v>
      </c>
      <c r="K178" s="75" t="s">
        <v>509</v>
      </c>
      <c r="L178" s="75" t="s">
        <v>535</v>
      </c>
      <c r="M178" s="75" t="s">
        <v>509</v>
      </c>
      <c r="N178" s="75" t="s">
        <v>535</v>
      </c>
      <c r="O178" s="159" t="s">
        <v>1121</v>
      </c>
    </row>
    <row r="179" spans="1:15" ht="15" customHeight="1">
      <c r="A179" s="63" t="s">
        <v>849</v>
      </c>
      <c r="B179" s="14" t="str">
        <f>VLOOKUP(O179,'护理记录单文书字典(数据)'!B$4:C$99,2,0)</f>
        <v>44A706350CFAB2119FBD2A4C9D15623C</v>
      </c>
      <c r="C179" s="87" t="s">
        <v>1130</v>
      </c>
      <c r="D179" s="14" t="s">
        <v>1131</v>
      </c>
      <c r="E179" s="87">
        <v>1</v>
      </c>
      <c r="F179" s="87">
        <v>1</v>
      </c>
      <c r="G179" s="14" t="s">
        <v>1132</v>
      </c>
      <c r="H179" s="75"/>
      <c r="I179" s="75"/>
      <c r="J179" s="75" t="s">
        <v>162</v>
      </c>
      <c r="K179" s="75" t="s">
        <v>509</v>
      </c>
      <c r="L179" s="75" t="s">
        <v>535</v>
      </c>
      <c r="M179" s="75" t="s">
        <v>509</v>
      </c>
      <c r="N179" s="75" t="s">
        <v>535</v>
      </c>
      <c r="O179" s="159" t="s">
        <v>1121</v>
      </c>
    </row>
    <row r="180" spans="1:15">
      <c r="A180" s="63" t="s">
        <v>849</v>
      </c>
      <c r="B180" s="14" t="str">
        <f>VLOOKUP(O180,'护理记录单文书字典(数据)'!B$4:C$99,2,0)</f>
        <v>44A706350CFAB2119FBD2A4C9D15623C</v>
      </c>
      <c r="C180" s="87" t="s">
        <v>1130</v>
      </c>
      <c r="D180" s="14" t="s">
        <v>1131</v>
      </c>
      <c r="E180" s="87">
        <v>2</v>
      </c>
      <c r="F180" s="87">
        <v>2</v>
      </c>
      <c r="G180" s="14" t="s">
        <v>1133</v>
      </c>
      <c r="H180" s="75"/>
      <c r="I180" s="75"/>
      <c r="J180" s="75" t="s">
        <v>162</v>
      </c>
      <c r="K180" s="75" t="s">
        <v>509</v>
      </c>
      <c r="L180" s="75" t="s">
        <v>535</v>
      </c>
      <c r="M180" s="75" t="s">
        <v>509</v>
      </c>
      <c r="N180" s="75" t="s">
        <v>535</v>
      </c>
      <c r="O180" s="159" t="s">
        <v>1121</v>
      </c>
    </row>
    <row r="181" spans="1:15">
      <c r="A181" s="63" t="s">
        <v>849</v>
      </c>
      <c r="B181" s="14" t="str">
        <f>VLOOKUP(O181,'护理记录单文书字典(数据)'!B$4:C$99,2,0)</f>
        <v>44A706350CFAB2119FBD2A4C9D15623C</v>
      </c>
      <c r="C181" s="87" t="s">
        <v>1130</v>
      </c>
      <c r="D181" s="14" t="s">
        <v>1131</v>
      </c>
      <c r="E181" s="87">
        <v>3</v>
      </c>
      <c r="F181" s="87">
        <v>3</v>
      </c>
      <c r="G181" s="14" t="s">
        <v>1134</v>
      </c>
      <c r="H181" s="75"/>
      <c r="I181" s="75"/>
      <c r="J181" s="75" t="s">
        <v>162</v>
      </c>
      <c r="K181" s="75" t="s">
        <v>509</v>
      </c>
      <c r="L181" s="75" t="s">
        <v>535</v>
      </c>
      <c r="M181" s="75" t="s">
        <v>509</v>
      </c>
      <c r="N181" s="75" t="s">
        <v>535</v>
      </c>
      <c r="O181" s="159" t="s">
        <v>1121</v>
      </c>
    </row>
    <row r="182" spans="1:15" ht="15" customHeight="1">
      <c r="A182" s="63" t="s">
        <v>849</v>
      </c>
      <c r="B182" s="14" t="str">
        <f>VLOOKUP(O182,'护理记录单文书字典(数据)'!B$4:C$99,2,0)</f>
        <v>44A706350CFAB2119FBD2A4C9D15623C</v>
      </c>
      <c r="C182" s="87" t="s">
        <v>1135</v>
      </c>
      <c r="D182" s="14" t="s">
        <v>1136</v>
      </c>
      <c r="E182" s="87">
        <v>1</v>
      </c>
      <c r="F182" s="87">
        <v>1</v>
      </c>
      <c r="G182" s="14" t="s">
        <v>1137</v>
      </c>
      <c r="H182" s="75"/>
      <c r="I182" s="75"/>
      <c r="J182" s="75" t="s">
        <v>162</v>
      </c>
      <c r="K182" s="75" t="s">
        <v>509</v>
      </c>
      <c r="L182" s="75" t="s">
        <v>535</v>
      </c>
      <c r="M182" s="75" t="s">
        <v>509</v>
      </c>
      <c r="N182" s="75" t="s">
        <v>535</v>
      </c>
      <c r="O182" s="159" t="s">
        <v>1121</v>
      </c>
    </row>
    <row r="183" spans="1:15">
      <c r="A183" s="63" t="s">
        <v>849</v>
      </c>
      <c r="B183" s="14" t="str">
        <f>VLOOKUP(O183,'护理记录单文书字典(数据)'!B$4:C$99,2,0)</f>
        <v>44A706350CFAB2119FBD2A4C9D15623C</v>
      </c>
      <c r="C183" s="87" t="s">
        <v>1135</v>
      </c>
      <c r="D183" s="14" t="s">
        <v>1136</v>
      </c>
      <c r="E183" s="87">
        <v>2</v>
      </c>
      <c r="F183" s="87">
        <v>2</v>
      </c>
      <c r="G183" s="14" t="s">
        <v>1138</v>
      </c>
      <c r="H183" s="75"/>
      <c r="I183" s="75"/>
      <c r="J183" s="75" t="s">
        <v>162</v>
      </c>
      <c r="K183" s="75" t="s">
        <v>509</v>
      </c>
      <c r="L183" s="75" t="s">
        <v>535</v>
      </c>
      <c r="M183" s="75" t="s">
        <v>509</v>
      </c>
      <c r="N183" s="75" t="s">
        <v>535</v>
      </c>
      <c r="O183" s="159" t="s">
        <v>1121</v>
      </c>
    </row>
    <row r="184" spans="1:15">
      <c r="A184" s="63" t="s">
        <v>849</v>
      </c>
      <c r="B184" s="14" t="str">
        <f>VLOOKUP(O184,'护理记录单文书字典(数据)'!B$4:C$99,2,0)</f>
        <v>44A706350CFAB2119FBD2A4C9D15623C</v>
      </c>
      <c r="C184" s="87" t="s">
        <v>1135</v>
      </c>
      <c r="D184" s="14" t="s">
        <v>1136</v>
      </c>
      <c r="E184" s="87">
        <v>3</v>
      </c>
      <c r="F184" s="87">
        <v>3</v>
      </c>
      <c r="G184" s="14" t="s">
        <v>1139</v>
      </c>
      <c r="H184" s="75"/>
      <c r="I184" s="75"/>
      <c r="J184" s="75" t="s">
        <v>162</v>
      </c>
      <c r="K184" s="75" t="s">
        <v>509</v>
      </c>
      <c r="L184" s="75" t="s">
        <v>535</v>
      </c>
      <c r="M184" s="75" t="s">
        <v>509</v>
      </c>
      <c r="N184" s="75" t="s">
        <v>535</v>
      </c>
      <c r="O184" s="159" t="s">
        <v>1121</v>
      </c>
    </row>
    <row r="185" spans="1:15" ht="15" customHeight="1">
      <c r="A185" s="63" t="s">
        <v>849</v>
      </c>
      <c r="B185" s="14" t="str">
        <f>VLOOKUP(O185,'护理记录单文书字典(数据)'!B$4:C$99,2,0)</f>
        <v>44A706350CFAB2119FBD2A4C9D15623C</v>
      </c>
      <c r="C185" s="87" t="s">
        <v>1135</v>
      </c>
      <c r="D185" s="14" t="s">
        <v>1136</v>
      </c>
      <c r="E185" s="87">
        <v>4</v>
      </c>
      <c r="F185" s="87">
        <v>4</v>
      </c>
      <c r="G185" s="14" t="s">
        <v>1093</v>
      </c>
      <c r="H185" s="75"/>
      <c r="I185" s="75"/>
      <c r="J185" s="75" t="s">
        <v>162</v>
      </c>
      <c r="K185" s="75" t="s">
        <v>509</v>
      </c>
      <c r="L185" s="75" t="s">
        <v>535</v>
      </c>
      <c r="M185" s="75" t="s">
        <v>509</v>
      </c>
      <c r="N185" s="75" t="s">
        <v>535</v>
      </c>
      <c r="O185" s="159" t="s">
        <v>1121</v>
      </c>
    </row>
    <row r="186" spans="1:15">
      <c r="A186" s="63" t="s">
        <v>849</v>
      </c>
      <c r="B186" s="14" t="str">
        <f>VLOOKUP(O186,'护理记录单文书字典(数据)'!B$4:C$99,2,0)</f>
        <v>44A706350CFAB2119FBD2A4C9D15623C</v>
      </c>
      <c r="C186" s="170" t="s">
        <v>2818</v>
      </c>
      <c r="D186" s="170" t="s">
        <v>2819</v>
      </c>
      <c r="E186" s="171">
        <v>1</v>
      </c>
      <c r="F186" s="171">
        <v>0</v>
      </c>
      <c r="G186" s="170" t="s">
        <v>192</v>
      </c>
      <c r="H186" s="170"/>
      <c r="I186" s="170"/>
      <c r="J186" s="170" t="s">
        <v>162</v>
      </c>
      <c r="K186" s="170" t="s">
        <v>509</v>
      </c>
      <c r="L186" s="170" t="s">
        <v>535</v>
      </c>
      <c r="M186" s="170" t="s">
        <v>509</v>
      </c>
      <c r="N186" s="170" t="s">
        <v>535</v>
      </c>
      <c r="O186" s="170" t="s">
        <v>1121</v>
      </c>
    </row>
    <row r="187" spans="1:15">
      <c r="A187" s="63" t="s">
        <v>849</v>
      </c>
      <c r="B187" s="14" t="str">
        <f>VLOOKUP(O187,'护理记录单文书字典(数据)'!B$4:C$99,2,0)</f>
        <v>44A706350CFAB2119FBD2A4C9D15623C</v>
      </c>
      <c r="C187" s="170" t="s">
        <v>2818</v>
      </c>
      <c r="D187" s="170" t="s">
        <v>2819</v>
      </c>
      <c r="E187" s="171">
        <v>2</v>
      </c>
      <c r="F187" s="171">
        <v>1</v>
      </c>
      <c r="G187" s="170" t="s">
        <v>191</v>
      </c>
      <c r="H187" s="170"/>
      <c r="I187" s="170"/>
      <c r="J187" s="170" t="s">
        <v>162</v>
      </c>
      <c r="K187" s="170" t="s">
        <v>509</v>
      </c>
      <c r="L187" s="170" t="s">
        <v>535</v>
      </c>
      <c r="M187" s="170" t="s">
        <v>509</v>
      </c>
      <c r="N187" s="170" t="s">
        <v>535</v>
      </c>
      <c r="O187" s="170" t="s">
        <v>1121</v>
      </c>
    </row>
    <row r="188" spans="1:15" ht="15" customHeight="1">
      <c r="A188" s="63" t="s">
        <v>849</v>
      </c>
      <c r="B188" s="14" t="str">
        <f>VLOOKUP(O188,'护理记录单文书字典(数据)'!B$4:C$99,2,0)</f>
        <v>54A91D350CFAB211E9BAB426F0FD2874</v>
      </c>
      <c r="C188" s="87" t="s">
        <v>1140</v>
      </c>
      <c r="D188" s="14" t="s">
        <v>1141</v>
      </c>
      <c r="E188" s="87">
        <v>1</v>
      </c>
      <c r="F188" s="87">
        <v>1</v>
      </c>
      <c r="G188" s="14" t="s">
        <v>1142</v>
      </c>
      <c r="H188" s="75">
        <v>1</v>
      </c>
      <c r="I188" s="75"/>
      <c r="J188" s="75" t="s">
        <v>162</v>
      </c>
      <c r="K188" s="75" t="s">
        <v>509</v>
      </c>
      <c r="L188" s="75" t="s">
        <v>535</v>
      </c>
      <c r="M188" s="75" t="s">
        <v>509</v>
      </c>
      <c r="N188" s="75" t="s">
        <v>535</v>
      </c>
      <c r="O188" s="159" t="s">
        <v>1143</v>
      </c>
    </row>
    <row r="189" spans="1:15" ht="15" customHeight="1">
      <c r="A189" s="63" t="s">
        <v>849</v>
      </c>
      <c r="B189" s="14" t="str">
        <f>VLOOKUP(O189,'护理记录单文书字典(数据)'!B$4:C$99,2,0)</f>
        <v>54A91D350CFAB211E9BAB426F0FD2874</v>
      </c>
      <c r="C189" s="87" t="s">
        <v>1140</v>
      </c>
      <c r="D189" s="14" t="s">
        <v>1141</v>
      </c>
      <c r="E189" s="87">
        <v>2</v>
      </c>
      <c r="F189" s="87">
        <v>2</v>
      </c>
      <c r="G189" s="14" t="s">
        <v>1144</v>
      </c>
      <c r="H189" s="75">
        <v>2</v>
      </c>
      <c r="I189" s="75"/>
      <c r="J189" s="75" t="s">
        <v>162</v>
      </c>
      <c r="K189" s="75" t="s">
        <v>509</v>
      </c>
      <c r="L189" s="75" t="s">
        <v>535</v>
      </c>
      <c r="M189" s="75" t="s">
        <v>509</v>
      </c>
      <c r="N189" s="75" t="s">
        <v>535</v>
      </c>
      <c r="O189" s="159" t="s">
        <v>1143</v>
      </c>
    </row>
    <row r="190" spans="1:15" ht="15" customHeight="1">
      <c r="A190" s="63" t="s">
        <v>849</v>
      </c>
      <c r="B190" s="14" t="str">
        <f>VLOOKUP(O190,'护理记录单文书字典(数据)'!B$4:C$99,2,0)</f>
        <v>54A91D350CFAB211E9BAB426F0FD2874</v>
      </c>
      <c r="C190" s="87" t="s">
        <v>1140</v>
      </c>
      <c r="D190" s="14" t="s">
        <v>1141</v>
      </c>
      <c r="E190" s="87">
        <v>3</v>
      </c>
      <c r="F190" s="87">
        <v>3</v>
      </c>
      <c r="G190" s="14" t="s">
        <v>1145</v>
      </c>
      <c r="H190" s="75">
        <v>3</v>
      </c>
      <c r="I190" s="75"/>
      <c r="J190" s="75" t="s">
        <v>162</v>
      </c>
      <c r="K190" s="75" t="s">
        <v>509</v>
      </c>
      <c r="L190" s="75" t="s">
        <v>535</v>
      </c>
      <c r="M190" s="75" t="s">
        <v>509</v>
      </c>
      <c r="N190" s="75" t="s">
        <v>535</v>
      </c>
      <c r="O190" s="159" t="s">
        <v>1143</v>
      </c>
    </row>
    <row r="191" spans="1:15" ht="15" customHeight="1">
      <c r="A191" s="63" t="s">
        <v>849</v>
      </c>
      <c r="B191" s="14" t="str">
        <f>VLOOKUP(O191,'护理记录单文书字典(数据)'!B$4:C$99,2,0)</f>
        <v>54A91D350CFAB211E9BAB426F0FD2874</v>
      </c>
      <c r="C191" s="87" t="s">
        <v>1140</v>
      </c>
      <c r="D191" s="14" t="s">
        <v>1141</v>
      </c>
      <c r="E191" s="87">
        <v>4</v>
      </c>
      <c r="F191" s="87">
        <v>4</v>
      </c>
      <c r="G191" s="14" t="s">
        <v>1146</v>
      </c>
      <c r="H191" s="75">
        <v>4</v>
      </c>
      <c r="I191" s="75"/>
      <c r="J191" s="75" t="s">
        <v>162</v>
      </c>
      <c r="K191" s="75" t="s">
        <v>509</v>
      </c>
      <c r="L191" s="75" t="s">
        <v>535</v>
      </c>
      <c r="M191" s="75" t="s">
        <v>509</v>
      </c>
      <c r="N191" s="75" t="s">
        <v>535</v>
      </c>
      <c r="O191" s="159" t="s">
        <v>1143</v>
      </c>
    </row>
    <row r="192" spans="1:15" ht="15" customHeight="1">
      <c r="A192" s="63" t="s">
        <v>849</v>
      </c>
      <c r="B192" s="14" t="str">
        <f>VLOOKUP(O192,'护理记录单文书字典(数据)'!B$4:C$99,2,0)</f>
        <v>54A91D350CFAB211E9BAB426F0FD2874</v>
      </c>
      <c r="C192" s="87" t="s">
        <v>1147</v>
      </c>
      <c r="D192" s="14" t="s">
        <v>1148</v>
      </c>
      <c r="E192" s="87">
        <v>1</v>
      </c>
      <c r="F192" s="87">
        <v>1</v>
      </c>
      <c r="G192" s="14" t="s">
        <v>1149</v>
      </c>
      <c r="H192" s="75">
        <v>1</v>
      </c>
      <c r="I192" s="75"/>
      <c r="J192" s="75" t="s">
        <v>162</v>
      </c>
      <c r="K192" s="75" t="s">
        <v>509</v>
      </c>
      <c r="L192" s="75" t="s">
        <v>535</v>
      </c>
      <c r="M192" s="75" t="s">
        <v>509</v>
      </c>
      <c r="N192" s="75" t="s">
        <v>535</v>
      </c>
      <c r="O192" s="159" t="s">
        <v>1143</v>
      </c>
    </row>
    <row r="193" spans="1:15" ht="15" customHeight="1">
      <c r="A193" s="63" t="s">
        <v>849</v>
      </c>
      <c r="B193" s="14" t="str">
        <f>VLOOKUP(O193,'护理记录单文书字典(数据)'!B$4:C$99,2,0)</f>
        <v>54A91D350CFAB211E9BAB426F0FD2874</v>
      </c>
      <c r="C193" s="87" t="s">
        <v>1147</v>
      </c>
      <c r="D193" s="14" t="s">
        <v>1148</v>
      </c>
      <c r="E193" s="87">
        <v>2</v>
      </c>
      <c r="F193" s="87">
        <v>2</v>
      </c>
      <c r="G193" s="14" t="s">
        <v>1150</v>
      </c>
      <c r="H193" s="75">
        <v>2</v>
      </c>
      <c r="I193" s="75"/>
      <c r="J193" s="75" t="s">
        <v>162</v>
      </c>
      <c r="K193" s="75" t="s">
        <v>509</v>
      </c>
      <c r="L193" s="75" t="s">
        <v>535</v>
      </c>
      <c r="M193" s="75" t="s">
        <v>509</v>
      </c>
      <c r="N193" s="75" t="s">
        <v>535</v>
      </c>
      <c r="O193" s="159" t="s">
        <v>1143</v>
      </c>
    </row>
    <row r="194" spans="1:15" ht="15" customHeight="1">
      <c r="A194" s="63" t="s">
        <v>849</v>
      </c>
      <c r="B194" s="14" t="str">
        <f>VLOOKUP(O194,'护理记录单文书字典(数据)'!B$4:C$99,2,0)</f>
        <v>54A91D350CFAB211E9BAB426F0FD2874</v>
      </c>
      <c r="C194" s="87" t="s">
        <v>1147</v>
      </c>
      <c r="D194" s="14" t="s">
        <v>1148</v>
      </c>
      <c r="E194" s="87">
        <v>3</v>
      </c>
      <c r="F194" s="87">
        <v>3</v>
      </c>
      <c r="G194" s="14" t="s">
        <v>1151</v>
      </c>
      <c r="H194" s="75">
        <v>3</v>
      </c>
      <c r="I194" s="75"/>
      <c r="J194" s="75" t="s">
        <v>162</v>
      </c>
      <c r="K194" s="75" t="s">
        <v>509</v>
      </c>
      <c r="L194" s="75" t="s">
        <v>535</v>
      </c>
      <c r="M194" s="75" t="s">
        <v>509</v>
      </c>
      <c r="N194" s="75" t="s">
        <v>535</v>
      </c>
      <c r="O194" s="159" t="s">
        <v>1143</v>
      </c>
    </row>
    <row r="195" spans="1:15" ht="15" customHeight="1">
      <c r="A195" s="63" t="s">
        <v>849</v>
      </c>
      <c r="B195" s="14" t="str">
        <f>VLOOKUP(O195,'护理记录单文书字典(数据)'!B$4:C$99,2,0)</f>
        <v>54A91D350CFAB211E9BAB426F0FD2874</v>
      </c>
      <c r="C195" s="87" t="s">
        <v>1147</v>
      </c>
      <c r="D195" s="14" t="s">
        <v>1148</v>
      </c>
      <c r="E195" s="87">
        <v>4</v>
      </c>
      <c r="F195" s="87">
        <v>4</v>
      </c>
      <c r="G195" s="14" t="s">
        <v>1152</v>
      </c>
      <c r="H195" s="75">
        <v>4</v>
      </c>
      <c r="I195" s="75"/>
      <c r="J195" s="75" t="s">
        <v>162</v>
      </c>
      <c r="K195" s="75" t="s">
        <v>509</v>
      </c>
      <c r="L195" s="75" t="s">
        <v>535</v>
      </c>
      <c r="M195" s="75" t="s">
        <v>509</v>
      </c>
      <c r="N195" s="75" t="s">
        <v>535</v>
      </c>
      <c r="O195" s="159" t="s">
        <v>1143</v>
      </c>
    </row>
    <row r="196" spans="1:15" ht="15" customHeight="1">
      <c r="A196" s="63" t="s">
        <v>849</v>
      </c>
      <c r="B196" s="14" t="str">
        <f>VLOOKUP(O196,'护理记录单文书字典(数据)'!B$4:C$99,2,0)</f>
        <v>54A91D350CFAB211E9BAB426F0FD2874</v>
      </c>
      <c r="C196" s="87" t="s">
        <v>1153</v>
      </c>
      <c r="D196" s="14" t="s">
        <v>1154</v>
      </c>
      <c r="E196" s="87">
        <v>1</v>
      </c>
      <c r="F196" s="87">
        <v>1</v>
      </c>
      <c r="G196" s="14" t="s">
        <v>1155</v>
      </c>
      <c r="H196" s="75">
        <v>1</v>
      </c>
      <c r="I196" s="75"/>
      <c r="J196" s="75" t="s">
        <v>162</v>
      </c>
      <c r="K196" s="75" t="s">
        <v>509</v>
      </c>
      <c r="L196" s="75" t="s">
        <v>535</v>
      </c>
      <c r="M196" s="75" t="s">
        <v>509</v>
      </c>
      <c r="N196" s="75" t="s">
        <v>535</v>
      </c>
      <c r="O196" s="159" t="s">
        <v>1143</v>
      </c>
    </row>
    <row r="197" spans="1:15" ht="15" customHeight="1">
      <c r="A197" s="63" t="s">
        <v>849</v>
      </c>
      <c r="B197" s="14" t="str">
        <f>VLOOKUP(O197,'护理记录单文书字典(数据)'!B$4:C$99,2,0)</f>
        <v>54A91D350CFAB211E9BAB426F0FD2874</v>
      </c>
      <c r="C197" s="87" t="s">
        <v>1153</v>
      </c>
      <c r="D197" s="14" t="s">
        <v>1154</v>
      </c>
      <c r="E197" s="87">
        <v>2</v>
      </c>
      <c r="F197" s="87">
        <v>2</v>
      </c>
      <c r="G197" s="14" t="s">
        <v>1156</v>
      </c>
      <c r="H197" s="75">
        <v>2</v>
      </c>
      <c r="I197" s="75"/>
      <c r="J197" s="75" t="s">
        <v>162</v>
      </c>
      <c r="K197" s="75" t="s">
        <v>509</v>
      </c>
      <c r="L197" s="75" t="s">
        <v>535</v>
      </c>
      <c r="M197" s="75" t="s">
        <v>509</v>
      </c>
      <c r="N197" s="75" t="s">
        <v>535</v>
      </c>
      <c r="O197" s="159" t="s">
        <v>1143</v>
      </c>
    </row>
    <row r="198" spans="1:15" ht="15" customHeight="1">
      <c r="A198" s="63" t="s">
        <v>849</v>
      </c>
      <c r="B198" s="14" t="str">
        <f>VLOOKUP(O198,'护理记录单文书字典(数据)'!B$4:C$99,2,0)</f>
        <v>54A91D350CFAB211E9BAB426F0FD2874</v>
      </c>
      <c r="C198" s="87" t="s">
        <v>1153</v>
      </c>
      <c r="D198" s="14" t="s">
        <v>1154</v>
      </c>
      <c r="E198" s="87">
        <v>3</v>
      </c>
      <c r="F198" s="87">
        <v>3</v>
      </c>
      <c r="G198" s="14" t="s">
        <v>1157</v>
      </c>
      <c r="H198" s="75">
        <v>3</v>
      </c>
      <c r="I198" s="75"/>
      <c r="J198" s="75" t="s">
        <v>162</v>
      </c>
      <c r="K198" s="75" t="s">
        <v>509</v>
      </c>
      <c r="L198" s="75" t="s">
        <v>535</v>
      </c>
      <c r="M198" s="75" t="s">
        <v>509</v>
      </c>
      <c r="N198" s="75" t="s">
        <v>535</v>
      </c>
      <c r="O198" s="159" t="s">
        <v>1143</v>
      </c>
    </row>
    <row r="199" spans="1:15" ht="15" customHeight="1">
      <c r="A199" s="63" t="s">
        <v>849</v>
      </c>
      <c r="B199" s="14" t="str">
        <f>VLOOKUP(O199,'护理记录单文书字典(数据)'!B$4:C$99,2,0)</f>
        <v>54A91D350CFAB211E9BAB426F0FD2874</v>
      </c>
      <c r="C199" s="87" t="s">
        <v>1153</v>
      </c>
      <c r="D199" s="14" t="s">
        <v>1154</v>
      </c>
      <c r="E199" s="87">
        <v>4</v>
      </c>
      <c r="F199" s="87">
        <v>4</v>
      </c>
      <c r="G199" s="14" t="s">
        <v>1158</v>
      </c>
      <c r="H199" s="75">
        <v>4</v>
      </c>
      <c r="I199" s="75"/>
      <c r="J199" s="75" t="s">
        <v>162</v>
      </c>
      <c r="K199" s="75" t="s">
        <v>509</v>
      </c>
      <c r="L199" s="75" t="s">
        <v>535</v>
      </c>
      <c r="M199" s="75" t="s">
        <v>509</v>
      </c>
      <c r="N199" s="75" t="s">
        <v>535</v>
      </c>
      <c r="O199" s="159" t="s">
        <v>1143</v>
      </c>
    </row>
    <row r="200" spans="1:15" ht="15" customHeight="1">
      <c r="A200" s="63" t="s">
        <v>849</v>
      </c>
      <c r="B200" s="14" t="str">
        <f>VLOOKUP(O200,'护理记录单文书字典(数据)'!B$4:C$99,2,0)</f>
        <v>54A91D350CFAB211E9BAB426F0FD2874</v>
      </c>
      <c r="C200" s="87" t="s">
        <v>1159</v>
      </c>
      <c r="D200" s="14" t="s">
        <v>1160</v>
      </c>
      <c r="E200" s="87">
        <v>1</v>
      </c>
      <c r="F200" s="87">
        <v>1</v>
      </c>
      <c r="G200" s="14" t="s">
        <v>1161</v>
      </c>
      <c r="H200" s="75">
        <v>1</v>
      </c>
      <c r="I200" s="75"/>
      <c r="J200" s="75" t="s">
        <v>162</v>
      </c>
      <c r="K200" s="75" t="s">
        <v>509</v>
      </c>
      <c r="L200" s="75" t="s">
        <v>535</v>
      </c>
      <c r="M200" s="75" t="s">
        <v>509</v>
      </c>
      <c r="N200" s="75" t="s">
        <v>535</v>
      </c>
      <c r="O200" s="159" t="s">
        <v>1143</v>
      </c>
    </row>
    <row r="201" spans="1:15" ht="15" customHeight="1">
      <c r="A201" s="63" t="s">
        <v>849</v>
      </c>
      <c r="B201" s="14" t="str">
        <f>VLOOKUP(O201,'护理记录单文书字典(数据)'!B$4:C$99,2,0)</f>
        <v>54A91D350CFAB211E9BAB426F0FD2874</v>
      </c>
      <c r="C201" s="87" t="s">
        <v>1159</v>
      </c>
      <c r="D201" s="14" t="s">
        <v>1160</v>
      </c>
      <c r="E201" s="87">
        <v>2</v>
      </c>
      <c r="F201" s="87">
        <v>2</v>
      </c>
      <c r="G201" s="14" t="s">
        <v>1162</v>
      </c>
      <c r="H201" s="75">
        <v>2</v>
      </c>
      <c r="I201" s="75"/>
      <c r="J201" s="75" t="s">
        <v>162</v>
      </c>
      <c r="K201" s="75" t="s">
        <v>509</v>
      </c>
      <c r="L201" s="75" t="s">
        <v>535</v>
      </c>
      <c r="M201" s="75" t="s">
        <v>509</v>
      </c>
      <c r="N201" s="75" t="s">
        <v>535</v>
      </c>
      <c r="O201" s="159" t="s">
        <v>1143</v>
      </c>
    </row>
    <row r="202" spans="1:15" ht="15" customHeight="1">
      <c r="A202" s="63" t="s">
        <v>849</v>
      </c>
      <c r="B202" s="14" t="str">
        <f>VLOOKUP(O202,'护理记录单文书字典(数据)'!B$4:C$99,2,0)</f>
        <v>54A91D350CFAB211E9BAB426F0FD2874</v>
      </c>
      <c r="C202" s="87" t="s">
        <v>1159</v>
      </c>
      <c r="D202" s="14" t="s">
        <v>1160</v>
      </c>
      <c r="E202" s="87">
        <v>3</v>
      </c>
      <c r="F202" s="87">
        <v>3</v>
      </c>
      <c r="G202" s="14" t="s">
        <v>1145</v>
      </c>
      <c r="H202" s="75">
        <v>3</v>
      </c>
      <c r="I202" s="75"/>
      <c r="J202" s="75" t="s">
        <v>162</v>
      </c>
      <c r="K202" s="75" t="s">
        <v>509</v>
      </c>
      <c r="L202" s="75" t="s">
        <v>535</v>
      </c>
      <c r="M202" s="75" t="s">
        <v>509</v>
      </c>
      <c r="N202" s="75" t="s">
        <v>535</v>
      </c>
      <c r="O202" s="159" t="s">
        <v>1143</v>
      </c>
    </row>
    <row r="203" spans="1:15" ht="15" customHeight="1">
      <c r="A203" s="63" t="s">
        <v>849</v>
      </c>
      <c r="B203" s="14" t="str">
        <f>VLOOKUP(O203,'护理记录单文书字典(数据)'!B$4:C$99,2,0)</f>
        <v>54A91D350CFAB211E9BAB426F0FD2874</v>
      </c>
      <c r="C203" s="87" t="s">
        <v>1159</v>
      </c>
      <c r="D203" s="14" t="s">
        <v>1160</v>
      </c>
      <c r="E203" s="87">
        <v>4</v>
      </c>
      <c r="F203" s="87">
        <v>4</v>
      </c>
      <c r="G203" s="14" t="s">
        <v>1163</v>
      </c>
      <c r="H203" s="75">
        <v>4</v>
      </c>
      <c r="I203" s="75"/>
      <c r="J203" s="75" t="s">
        <v>162</v>
      </c>
      <c r="K203" s="75" t="s">
        <v>509</v>
      </c>
      <c r="L203" s="75" t="s">
        <v>535</v>
      </c>
      <c r="M203" s="75" t="s">
        <v>509</v>
      </c>
      <c r="N203" s="75" t="s">
        <v>535</v>
      </c>
      <c r="O203" s="159" t="s">
        <v>1143</v>
      </c>
    </row>
    <row r="204" spans="1:15" ht="14" customHeight="1">
      <c r="A204" s="63" t="s">
        <v>849</v>
      </c>
      <c r="B204" s="14" t="str">
        <f>VLOOKUP(O204,'护理记录单文书字典(数据)'!B$4:C$99,2,0)</f>
        <v>54A91D350CFAB211E9BAB426F0FD2874</v>
      </c>
      <c r="C204" s="87" t="s">
        <v>1164</v>
      </c>
      <c r="D204" s="14" t="s">
        <v>1165</v>
      </c>
      <c r="E204" s="87">
        <v>1</v>
      </c>
      <c r="F204" s="87">
        <v>1</v>
      </c>
      <c r="G204" s="14" t="s">
        <v>1166</v>
      </c>
      <c r="H204" s="75">
        <v>1</v>
      </c>
      <c r="I204" s="75"/>
      <c r="J204" s="75" t="s">
        <v>162</v>
      </c>
      <c r="K204" s="75" t="s">
        <v>509</v>
      </c>
      <c r="L204" s="75" t="s">
        <v>535</v>
      </c>
      <c r="M204" s="75" t="s">
        <v>509</v>
      </c>
      <c r="N204" s="75" t="s">
        <v>535</v>
      </c>
      <c r="O204" s="159" t="s">
        <v>1143</v>
      </c>
    </row>
    <row r="205" spans="1:15" ht="15" customHeight="1">
      <c r="A205" s="63" t="s">
        <v>849</v>
      </c>
      <c r="B205" s="14" t="str">
        <f>VLOOKUP(O205,'护理记录单文书字典(数据)'!B$4:C$99,2,0)</f>
        <v>54A91D350CFAB211E9BAB426F0FD2874</v>
      </c>
      <c r="C205" s="87" t="s">
        <v>1164</v>
      </c>
      <c r="D205" s="14" t="s">
        <v>1165</v>
      </c>
      <c r="E205" s="87">
        <v>2</v>
      </c>
      <c r="F205" s="87">
        <v>2</v>
      </c>
      <c r="G205" s="14" t="s">
        <v>1167</v>
      </c>
      <c r="H205" s="75">
        <v>2</v>
      </c>
      <c r="I205" s="75"/>
      <c r="J205" s="75" t="s">
        <v>162</v>
      </c>
      <c r="K205" s="75" t="s">
        <v>509</v>
      </c>
      <c r="L205" s="75" t="s">
        <v>535</v>
      </c>
      <c r="M205" s="75" t="s">
        <v>509</v>
      </c>
      <c r="N205" s="75" t="s">
        <v>535</v>
      </c>
      <c r="O205" s="159" t="s">
        <v>1143</v>
      </c>
    </row>
    <row r="206" spans="1:15" ht="15" customHeight="1">
      <c r="A206" s="63" t="s">
        <v>849</v>
      </c>
      <c r="B206" s="14" t="str">
        <f>VLOOKUP(O206,'护理记录单文书字典(数据)'!B$4:C$99,2,0)</f>
        <v>54A91D350CFAB211E9BAB426F0FD2874</v>
      </c>
      <c r="C206" s="87" t="s">
        <v>1164</v>
      </c>
      <c r="D206" s="14" t="s">
        <v>1165</v>
      </c>
      <c r="E206" s="87">
        <v>3</v>
      </c>
      <c r="F206" s="87">
        <v>3</v>
      </c>
      <c r="G206" s="14" t="s">
        <v>1168</v>
      </c>
      <c r="H206" s="75">
        <v>3</v>
      </c>
      <c r="I206" s="75"/>
      <c r="J206" s="75" t="s">
        <v>162</v>
      </c>
      <c r="K206" s="75" t="s">
        <v>509</v>
      </c>
      <c r="L206" s="75" t="s">
        <v>535</v>
      </c>
      <c r="M206" s="75" t="s">
        <v>509</v>
      </c>
      <c r="N206" s="75" t="s">
        <v>535</v>
      </c>
      <c r="O206" s="159" t="s">
        <v>1143</v>
      </c>
    </row>
    <row r="207" spans="1:15" ht="15" customHeight="1">
      <c r="A207" s="63" t="s">
        <v>849</v>
      </c>
      <c r="B207" s="14" t="str">
        <f>VLOOKUP(O207,'护理记录单文书字典(数据)'!B$4:C$99,2,0)</f>
        <v>54A91D350CFAB211E9BAB426F0FD2874</v>
      </c>
      <c r="C207" s="87" t="s">
        <v>1164</v>
      </c>
      <c r="D207" s="14" t="s">
        <v>1165</v>
      </c>
      <c r="E207" s="87">
        <v>4</v>
      </c>
      <c r="F207" s="87">
        <v>4</v>
      </c>
      <c r="G207" s="14" t="s">
        <v>981</v>
      </c>
      <c r="H207" s="75">
        <v>4</v>
      </c>
      <c r="I207" s="75"/>
      <c r="J207" s="75" t="s">
        <v>162</v>
      </c>
      <c r="K207" s="75" t="s">
        <v>509</v>
      </c>
      <c r="L207" s="75" t="s">
        <v>535</v>
      </c>
      <c r="M207" s="75" t="s">
        <v>509</v>
      </c>
      <c r="N207" s="75" t="s">
        <v>535</v>
      </c>
      <c r="O207" s="159" t="s">
        <v>1143</v>
      </c>
    </row>
    <row r="208" spans="1:15" ht="14" customHeight="1">
      <c r="A208" s="63" t="s">
        <v>849</v>
      </c>
      <c r="B208" s="14" t="str">
        <f>VLOOKUP(O208,'护理记录单文书字典(数据)'!B$4:C$99,2,0)</f>
        <v>54A91D350CFAB211E9BAB426F0FD2874</v>
      </c>
      <c r="C208" s="87" t="s">
        <v>1169</v>
      </c>
      <c r="D208" s="14" t="s">
        <v>1170</v>
      </c>
      <c r="E208" s="87">
        <v>1</v>
      </c>
      <c r="F208" s="87">
        <v>1</v>
      </c>
      <c r="G208" s="14" t="s">
        <v>1171</v>
      </c>
      <c r="H208" s="75">
        <v>1</v>
      </c>
      <c r="I208" s="75"/>
      <c r="J208" s="75" t="s">
        <v>162</v>
      </c>
      <c r="K208" s="75" t="s">
        <v>509</v>
      </c>
      <c r="L208" s="75" t="s">
        <v>535</v>
      </c>
      <c r="M208" s="75" t="s">
        <v>509</v>
      </c>
      <c r="N208" s="75" t="s">
        <v>535</v>
      </c>
      <c r="O208" s="159" t="s">
        <v>1143</v>
      </c>
    </row>
    <row r="209" spans="1:15" ht="15" customHeight="1">
      <c r="A209" s="63" t="s">
        <v>849</v>
      </c>
      <c r="B209" s="14" t="str">
        <f>VLOOKUP(O209,'护理记录单文书字典(数据)'!B$4:C$99,2,0)</f>
        <v>54A91D350CFAB211E9BAB426F0FD2874</v>
      </c>
      <c r="C209" s="87" t="s">
        <v>1169</v>
      </c>
      <c r="D209" s="14" t="s">
        <v>1170</v>
      </c>
      <c r="E209" s="87">
        <v>2</v>
      </c>
      <c r="F209" s="87">
        <v>2</v>
      </c>
      <c r="G209" s="14" t="s">
        <v>1172</v>
      </c>
      <c r="H209" s="75">
        <v>2</v>
      </c>
      <c r="I209" s="75"/>
      <c r="J209" s="75" t="s">
        <v>162</v>
      </c>
      <c r="K209" s="75" t="s">
        <v>509</v>
      </c>
      <c r="L209" s="75" t="s">
        <v>535</v>
      </c>
      <c r="M209" s="75" t="s">
        <v>509</v>
      </c>
      <c r="N209" s="75" t="s">
        <v>535</v>
      </c>
      <c r="O209" s="159" t="s">
        <v>1143</v>
      </c>
    </row>
    <row r="210" spans="1:15" ht="15" customHeight="1">
      <c r="A210" s="63" t="s">
        <v>849</v>
      </c>
      <c r="B210" s="14" t="str">
        <f>VLOOKUP(O210,'护理记录单文书字典(数据)'!B$4:C$99,2,0)</f>
        <v>54A91D350CFAB211E9BAB426F0FD2874</v>
      </c>
      <c r="C210" s="87" t="s">
        <v>1169</v>
      </c>
      <c r="D210" s="14" t="s">
        <v>1170</v>
      </c>
      <c r="E210" s="87">
        <v>3</v>
      </c>
      <c r="F210" s="87">
        <v>3</v>
      </c>
      <c r="G210" s="14" t="s">
        <v>1173</v>
      </c>
      <c r="H210" s="75">
        <v>3</v>
      </c>
      <c r="I210" s="75"/>
      <c r="J210" s="75" t="s">
        <v>162</v>
      </c>
      <c r="K210" s="75" t="s">
        <v>509</v>
      </c>
      <c r="L210" s="75" t="s">
        <v>535</v>
      </c>
      <c r="M210" s="75" t="s">
        <v>509</v>
      </c>
      <c r="N210" s="75" t="s">
        <v>535</v>
      </c>
      <c r="O210" s="159" t="s">
        <v>1143</v>
      </c>
    </row>
    <row r="211" spans="1:15" ht="14" customHeight="1">
      <c r="A211" s="63" t="s">
        <v>849</v>
      </c>
      <c r="B211" s="14" t="str">
        <f>VLOOKUP(O211,'护理记录单文书字典(数据)'!B$4:C$99,2,0)</f>
        <v>DE97F0340CFAB2119F8E1434D77FFE1E</v>
      </c>
      <c r="C211" s="87" t="s">
        <v>1086</v>
      </c>
      <c r="D211" s="14" t="s">
        <v>1087</v>
      </c>
      <c r="E211" s="87">
        <v>1</v>
      </c>
      <c r="F211" s="87">
        <v>1</v>
      </c>
      <c r="G211" s="14" t="s">
        <v>1174</v>
      </c>
      <c r="H211" s="75"/>
      <c r="I211" s="75"/>
      <c r="J211" s="75" t="s">
        <v>162</v>
      </c>
      <c r="K211" s="75" t="s">
        <v>509</v>
      </c>
      <c r="L211" s="75" t="s">
        <v>535</v>
      </c>
      <c r="M211" s="75" t="s">
        <v>509</v>
      </c>
      <c r="N211" s="75" t="s">
        <v>535</v>
      </c>
      <c r="O211" s="159" t="s">
        <v>1175</v>
      </c>
    </row>
    <row r="212" spans="1:15" ht="14" customHeight="1">
      <c r="A212" s="63" t="s">
        <v>849</v>
      </c>
      <c r="B212" s="14" t="str">
        <f>VLOOKUP(O212,'护理记录单文书字典(数据)'!B$4:C$99,2,0)</f>
        <v>DE97F0340CFAB2119F8E1434D77FFE1E</v>
      </c>
      <c r="C212" s="87" t="s">
        <v>1086</v>
      </c>
      <c r="D212" s="14" t="s">
        <v>1087</v>
      </c>
      <c r="E212" s="87">
        <v>2</v>
      </c>
      <c r="F212" s="87">
        <v>2</v>
      </c>
      <c r="G212" s="14" t="s">
        <v>1176</v>
      </c>
      <c r="H212" s="75"/>
      <c r="I212" s="75"/>
      <c r="J212" s="75" t="s">
        <v>162</v>
      </c>
      <c r="K212" s="75" t="s">
        <v>509</v>
      </c>
      <c r="L212" s="75" t="s">
        <v>535</v>
      </c>
      <c r="M212" s="75" t="s">
        <v>509</v>
      </c>
      <c r="N212" s="75" t="s">
        <v>535</v>
      </c>
      <c r="O212" s="159" t="s">
        <v>1175</v>
      </c>
    </row>
    <row r="213" spans="1:15" ht="14" customHeight="1">
      <c r="A213" s="63" t="s">
        <v>849</v>
      </c>
      <c r="B213" s="14" t="str">
        <f>VLOOKUP(O213,'护理记录单文书字典(数据)'!B$4:C$99,2,0)</f>
        <v>DE97F0340CFAB2119F8E1434D77FFE1E</v>
      </c>
      <c r="C213" s="87" t="s">
        <v>1086</v>
      </c>
      <c r="D213" s="14" t="s">
        <v>1087</v>
      </c>
      <c r="E213" s="87">
        <v>3</v>
      </c>
      <c r="F213" s="87">
        <v>3</v>
      </c>
      <c r="G213" s="14" t="s">
        <v>1174</v>
      </c>
      <c r="H213" s="75"/>
      <c r="I213" s="75"/>
      <c r="J213" s="75" t="s">
        <v>162</v>
      </c>
      <c r="K213" s="75" t="s">
        <v>509</v>
      </c>
      <c r="L213" s="75" t="s">
        <v>535</v>
      </c>
      <c r="M213" s="75" t="s">
        <v>509</v>
      </c>
      <c r="N213" s="75" t="s">
        <v>535</v>
      </c>
      <c r="O213" s="159" t="s">
        <v>1175</v>
      </c>
    </row>
    <row r="214" spans="1:15" ht="14" customHeight="1">
      <c r="A214" s="63" t="s">
        <v>849</v>
      </c>
      <c r="B214" s="14" t="str">
        <f>VLOOKUP(O214,'护理记录单文书字典(数据)'!B$4:C$99,2,0)</f>
        <v>DE97F0340CFAB2119F8E1434D77FFE1E</v>
      </c>
      <c r="C214" s="87" t="s">
        <v>1086</v>
      </c>
      <c r="D214" s="14" t="s">
        <v>1087</v>
      </c>
      <c r="E214" s="87">
        <v>4</v>
      </c>
      <c r="F214" s="87">
        <v>4</v>
      </c>
      <c r="G214" s="14" t="s">
        <v>1177</v>
      </c>
      <c r="H214" s="75"/>
      <c r="I214" s="75"/>
      <c r="J214" s="75" t="s">
        <v>162</v>
      </c>
      <c r="K214" s="75" t="s">
        <v>509</v>
      </c>
      <c r="L214" s="75" t="s">
        <v>535</v>
      </c>
      <c r="M214" s="75" t="s">
        <v>509</v>
      </c>
      <c r="N214" s="75" t="s">
        <v>535</v>
      </c>
      <c r="O214" s="159" t="s">
        <v>1175</v>
      </c>
    </row>
    <row r="215" spans="1:15" ht="14" customHeight="1">
      <c r="A215" s="63" t="s">
        <v>849</v>
      </c>
      <c r="B215" s="14" t="str">
        <f>VLOOKUP(O215,'护理记录单文书字典(数据)'!B$4:C$99,2,0)</f>
        <v>DE97F0340CFAB2119F8E1434D77FFE1E</v>
      </c>
      <c r="C215" s="87" t="s">
        <v>1086</v>
      </c>
      <c r="D215" s="14" t="s">
        <v>1087</v>
      </c>
      <c r="E215" s="87">
        <v>5</v>
      </c>
      <c r="F215" s="87">
        <v>5</v>
      </c>
      <c r="G215" s="14" t="s">
        <v>1178</v>
      </c>
      <c r="H215" s="75"/>
      <c r="I215" s="75"/>
      <c r="J215" s="75" t="s">
        <v>162</v>
      </c>
      <c r="K215" s="75" t="s">
        <v>509</v>
      </c>
      <c r="L215" s="75" t="s">
        <v>535</v>
      </c>
      <c r="M215" s="75" t="s">
        <v>509</v>
      </c>
      <c r="N215" s="75" t="s">
        <v>535</v>
      </c>
      <c r="O215" s="159" t="s">
        <v>1175</v>
      </c>
    </row>
    <row r="216" spans="1:15" ht="14" customHeight="1">
      <c r="A216" s="63" t="s">
        <v>849</v>
      </c>
      <c r="B216" s="14" t="str">
        <f>VLOOKUP(O216,'护理记录单文书字典(数据)'!B$4:C$99,2,0)</f>
        <v>DE97F0340CFAB2119F8E1434D77FFE1E</v>
      </c>
      <c r="C216" s="87" t="s">
        <v>1086</v>
      </c>
      <c r="D216" s="14" t="s">
        <v>1087</v>
      </c>
      <c r="E216" s="87">
        <v>6</v>
      </c>
      <c r="F216" s="87">
        <v>6</v>
      </c>
      <c r="G216" s="14" t="s">
        <v>1179</v>
      </c>
      <c r="H216" s="75"/>
      <c r="I216" s="75"/>
      <c r="J216" s="75" t="s">
        <v>162</v>
      </c>
      <c r="K216" s="75" t="s">
        <v>509</v>
      </c>
      <c r="L216" s="75" t="s">
        <v>535</v>
      </c>
      <c r="M216" s="75" t="s">
        <v>509</v>
      </c>
      <c r="N216" s="75" t="s">
        <v>535</v>
      </c>
      <c r="O216" s="159" t="s">
        <v>1175</v>
      </c>
    </row>
    <row r="217" spans="1:15" ht="14" customHeight="1">
      <c r="A217" s="63" t="s">
        <v>849</v>
      </c>
      <c r="B217" s="14" t="str">
        <f>VLOOKUP(O217,'护理记录单文书字典(数据)'!B$4:C$99,2,0)</f>
        <v>DE97F0340CFAB2119F8E1434D77FFE1E</v>
      </c>
      <c r="C217" s="87" t="s">
        <v>1086</v>
      </c>
      <c r="D217" s="14" t="s">
        <v>1087</v>
      </c>
      <c r="E217" s="87">
        <v>7</v>
      </c>
      <c r="F217" s="87">
        <v>7</v>
      </c>
      <c r="G217" s="14" t="s">
        <v>1180</v>
      </c>
      <c r="H217" s="75"/>
      <c r="I217" s="75"/>
      <c r="J217" s="75" t="s">
        <v>162</v>
      </c>
      <c r="K217" s="75" t="s">
        <v>509</v>
      </c>
      <c r="L217" s="75" t="s">
        <v>535</v>
      </c>
      <c r="M217" s="75" t="s">
        <v>509</v>
      </c>
      <c r="N217" s="75" t="s">
        <v>535</v>
      </c>
      <c r="O217" s="159" t="s">
        <v>1175</v>
      </c>
    </row>
    <row r="218" spans="1:15" ht="14" customHeight="1">
      <c r="A218" s="63" t="s">
        <v>849</v>
      </c>
      <c r="B218" s="14" t="str">
        <f>VLOOKUP(O218,'护理记录单文书字典(数据)'!B$4:C$99,2,0)</f>
        <v>DE97F0340CFAB2119F8E1434D77FFE1E</v>
      </c>
      <c r="C218" s="87" t="s">
        <v>1086</v>
      </c>
      <c r="D218" s="14" t="s">
        <v>1087</v>
      </c>
      <c r="E218" s="87">
        <v>8</v>
      </c>
      <c r="F218" s="87">
        <v>8</v>
      </c>
      <c r="G218" s="14" t="s">
        <v>1181</v>
      </c>
      <c r="H218" s="75"/>
      <c r="I218" s="75"/>
      <c r="J218" s="75" t="s">
        <v>162</v>
      </c>
      <c r="K218" s="75" t="s">
        <v>509</v>
      </c>
      <c r="L218" s="75" t="s">
        <v>535</v>
      </c>
      <c r="M218" s="75" t="s">
        <v>509</v>
      </c>
      <c r="N218" s="75" t="s">
        <v>535</v>
      </c>
      <c r="O218" s="159" t="s">
        <v>1175</v>
      </c>
    </row>
    <row r="219" spans="1:15" ht="14" customHeight="1">
      <c r="A219" s="63" t="s">
        <v>849</v>
      </c>
      <c r="B219" s="14" t="str">
        <f>VLOOKUP(O219,'护理记录单文书字典(数据)'!B$4:C$99,2,0)</f>
        <v>DE97F0340CFAB2119F8E1434D77FFE1E</v>
      </c>
      <c r="C219" s="87" t="s">
        <v>1086</v>
      </c>
      <c r="D219" s="14" t="s">
        <v>1087</v>
      </c>
      <c r="E219" s="87">
        <v>9</v>
      </c>
      <c r="F219" s="87">
        <v>9</v>
      </c>
      <c r="G219" s="14" t="s">
        <v>1182</v>
      </c>
      <c r="H219" s="75"/>
      <c r="I219" s="75"/>
      <c r="J219" s="75" t="s">
        <v>162</v>
      </c>
      <c r="K219" s="75" t="s">
        <v>509</v>
      </c>
      <c r="L219" s="75" t="s">
        <v>535</v>
      </c>
      <c r="M219" s="75" t="s">
        <v>509</v>
      </c>
      <c r="N219" s="75" t="s">
        <v>535</v>
      </c>
      <c r="O219" s="159" t="s">
        <v>1175</v>
      </c>
    </row>
    <row r="220" spans="1:15" ht="14" customHeight="1">
      <c r="A220" s="63" t="s">
        <v>849</v>
      </c>
      <c r="B220" s="14" t="str">
        <f>VLOOKUP(O220,'护理记录单文书字典(数据)'!B$4:C$99,2,0)</f>
        <v>DE97F0340CFAB2119F8E1434D77FFE1E</v>
      </c>
      <c r="C220" s="87" t="s">
        <v>1183</v>
      </c>
      <c r="D220" s="14" t="s">
        <v>1184</v>
      </c>
      <c r="E220" s="87">
        <v>1</v>
      </c>
      <c r="F220" s="87">
        <v>1</v>
      </c>
      <c r="G220" s="14" t="s">
        <v>1093</v>
      </c>
      <c r="H220" s="75"/>
      <c r="I220" s="75"/>
      <c r="J220" s="75" t="s">
        <v>162</v>
      </c>
      <c r="K220" s="75" t="s">
        <v>509</v>
      </c>
      <c r="L220" s="75" t="s">
        <v>535</v>
      </c>
      <c r="M220" s="75" t="s">
        <v>509</v>
      </c>
      <c r="N220" s="75" t="s">
        <v>535</v>
      </c>
      <c r="O220" s="159" t="s">
        <v>1175</v>
      </c>
    </row>
    <row r="221" spans="1:15" ht="15" customHeight="1">
      <c r="A221" s="63" t="s">
        <v>849</v>
      </c>
      <c r="B221" s="14" t="str">
        <f>VLOOKUP(O221,'护理记录单文书字典(数据)'!B$4:C$99,2,0)</f>
        <v>DE97F0340CFAB2119F8E1434D77FFE1E</v>
      </c>
      <c r="C221" s="87" t="s">
        <v>1183</v>
      </c>
      <c r="D221" s="14" t="s">
        <v>1184</v>
      </c>
      <c r="E221" s="87">
        <v>2</v>
      </c>
      <c r="F221" s="87">
        <v>2</v>
      </c>
      <c r="G221" s="14" t="s">
        <v>1185</v>
      </c>
      <c r="H221" s="75"/>
      <c r="I221" s="75"/>
      <c r="J221" s="75" t="s">
        <v>162</v>
      </c>
      <c r="K221" s="75" t="s">
        <v>509</v>
      </c>
      <c r="L221" s="75" t="s">
        <v>535</v>
      </c>
      <c r="M221" s="75" t="s">
        <v>509</v>
      </c>
      <c r="N221" s="75" t="s">
        <v>535</v>
      </c>
      <c r="O221" s="159" t="s">
        <v>1175</v>
      </c>
    </row>
    <row r="222" spans="1:15" ht="14" customHeight="1">
      <c r="A222" s="63" t="s">
        <v>849</v>
      </c>
      <c r="B222" s="14" t="str">
        <f>VLOOKUP(O222,'护理记录单文书字典(数据)'!B$4:C$99,2,0)</f>
        <v>DE97F0340CFAB2119F8E1434D77FFE1E</v>
      </c>
      <c r="C222" s="87" t="s">
        <v>1186</v>
      </c>
      <c r="D222" s="14" t="s">
        <v>1187</v>
      </c>
      <c r="E222" s="87">
        <v>1</v>
      </c>
      <c r="F222" s="87">
        <v>1</v>
      </c>
      <c r="G222" s="14" t="s">
        <v>1105</v>
      </c>
      <c r="H222" s="75"/>
      <c r="I222" s="75"/>
      <c r="J222" s="75" t="s">
        <v>162</v>
      </c>
      <c r="K222" s="75" t="s">
        <v>509</v>
      </c>
      <c r="L222" s="75" t="s">
        <v>535</v>
      </c>
      <c r="M222" s="75" t="s">
        <v>509</v>
      </c>
      <c r="N222" s="75" t="s">
        <v>535</v>
      </c>
      <c r="O222" s="159" t="s">
        <v>1175</v>
      </c>
    </row>
    <row r="223" spans="1:15" ht="15" customHeight="1">
      <c r="A223" s="63" t="s">
        <v>849</v>
      </c>
      <c r="B223" s="14" t="str">
        <f>VLOOKUP(O223,'护理记录单文书字典(数据)'!B$4:C$99,2,0)</f>
        <v>DE97F0340CFAB2119F8E1434D77FFE1E</v>
      </c>
      <c r="C223" s="87" t="s">
        <v>1186</v>
      </c>
      <c r="D223" s="14" t="s">
        <v>1187</v>
      </c>
      <c r="E223" s="87">
        <v>2</v>
      </c>
      <c r="F223" s="87">
        <v>2</v>
      </c>
      <c r="G223" s="14" t="s">
        <v>1106</v>
      </c>
      <c r="H223" s="75"/>
      <c r="I223" s="75"/>
      <c r="J223" s="75" t="s">
        <v>162</v>
      </c>
      <c r="K223" s="75" t="s">
        <v>509</v>
      </c>
      <c r="L223" s="75" t="s">
        <v>535</v>
      </c>
      <c r="M223" s="75" t="s">
        <v>509</v>
      </c>
      <c r="N223" s="75" t="s">
        <v>535</v>
      </c>
      <c r="O223" s="159" t="s">
        <v>1175</v>
      </c>
    </row>
    <row r="224" spans="1:15" ht="15" customHeight="1">
      <c r="A224" s="63" t="s">
        <v>849</v>
      </c>
      <c r="B224" s="14" t="str">
        <f>VLOOKUP(O224,'护理记录单文书字典(数据)'!B$4:C$99,2,0)</f>
        <v>DE97F0340CFAB2119F8E1434D77FFE1E</v>
      </c>
      <c r="C224" s="87" t="s">
        <v>1186</v>
      </c>
      <c r="D224" s="14" t="s">
        <v>1187</v>
      </c>
      <c r="E224" s="87">
        <v>3</v>
      </c>
      <c r="F224" s="87">
        <v>3</v>
      </c>
      <c r="G224" s="14" t="s">
        <v>1107</v>
      </c>
      <c r="H224" s="75"/>
      <c r="I224" s="75"/>
      <c r="J224" s="75" t="s">
        <v>162</v>
      </c>
      <c r="K224" s="75" t="s">
        <v>509</v>
      </c>
      <c r="L224" s="75" t="s">
        <v>535</v>
      </c>
      <c r="M224" s="75" t="s">
        <v>509</v>
      </c>
      <c r="N224" s="75" t="s">
        <v>535</v>
      </c>
      <c r="O224" s="159" t="s">
        <v>1175</v>
      </c>
    </row>
    <row r="225" spans="1:15" ht="14" customHeight="1">
      <c r="A225" s="63" t="s">
        <v>849</v>
      </c>
      <c r="B225" s="14" t="str">
        <f>VLOOKUP(O225,'护理记录单文书字典(数据)'!B$4:C$99,2,0)</f>
        <v>DE97F0340CFAB2119F8E1434D77FFE1E</v>
      </c>
      <c r="C225" s="87" t="s">
        <v>1188</v>
      </c>
      <c r="D225" s="14" t="s">
        <v>1189</v>
      </c>
      <c r="E225" s="87">
        <v>1</v>
      </c>
      <c r="F225" s="87">
        <v>1</v>
      </c>
      <c r="G225" s="14" t="s">
        <v>1190</v>
      </c>
      <c r="H225" s="75"/>
      <c r="I225" s="75"/>
      <c r="J225" s="75" t="s">
        <v>162</v>
      </c>
      <c r="K225" s="75" t="s">
        <v>509</v>
      </c>
      <c r="L225" s="75" t="s">
        <v>535</v>
      </c>
      <c r="M225" s="75" t="s">
        <v>509</v>
      </c>
      <c r="N225" s="75" t="s">
        <v>535</v>
      </c>
      <c r="O225" s="159" t="s">
        <v>1175</v>
      </c>
    </row>
    <row r="226" spans="1:15" ht="15" customHeight="1">
      <c r="A226" s="63" t="s">
        <v>849</v>
      </c>
      <c r="B226" s="14" t="str">
        <f>VLOOKUP(O226,'护理记录单文书字典(数据)'!B$4:C$99,2,0)</f>
        <v>DE97F0340CFAB2119F8E1434D77FFE1E</v>
      </c>
      <c r="C226" s="87" t="s">
        <v>1188</v>
      </c>
      <c r="D226" s="14" t="s">
        <v>1189</v>
      </c>
      <c r="E226" s="87">
        <v>2</v>
      </c>
      <c r="F226" s="87">
        <v>2</v>
      </c>
      <c r="G226" s="14" t="s">
        <v>1191</v>
      </c>
      <c r="H226" s="75"/>
      <c r="I226" s="75"/>
      <c r="J226" s="75" t="s">
        <v>162</v>
      </c>
      <c r="K226" s="75" t="s">
        <v>509</v>
      </c>
      <c r="L226" s="75" t="s">
        <v>535</v>
      </c>
      <c r="M226" s="75" t="s">
        <v>509</v>
      </c>
      <c r="N226" s="75" t="s">
        <v>535</v>
      </c>
      <c r="O226" s="159" t="s">
        <v>1175</v>
      </c>
    </row>
    <row r="227" spans="1:15" ht="15" customHeight="1">
      <c r="A227" s="63" t="s">
        <v>849</v>
      </c>
      <c r="B227" s="14" t="str">
        <f>VLOOKUP(O227,'护理记录单文书字典(数据)'!B$4:C$99,2,0)</f>
        <v>DE97F0340CFAB2119F8E1434D77FFE1E</v>
      </c>
      <c r="C227" s="87" t="s">
        <v>1188</v>
      </c>
      <c r="D227" s="14" t="s">
        <v>1189</v>
      </c>
      <c r="E227" s="87">
        <v>3</v>
      </c>
      <c r="F227" s="87">
        <v>3</v>
      </c>
      <c r="G227" s="14" t="s">
        <v>1192</v>
      </c>
      <c r="H227" s="75"/>
      <c r="I227" s="75"/>
      <c r="J227" s="75" t="s">
        <v>162</v>
      </c>
      <c r="K227" s="75" t="s">
        <v>509</v>
      </c>
      <c r="L227" s="75" t="s">
        <v>535</v>
      </c>
      <c r="M227" s="75" t="s">
        <v>509</v>
      </c>
      <c r="N227" s="75" t="s">
        <v>535</v>
      </c>
      <c r="O227" s="159" t="s">
        <v>1175</v>
      </c>
    </row>
    <row r="228" spans="1:15" ht="14" customHeight="1">
      <c r="A228" s="63" t="s">
        <v>849</v>
      </c>
      <c r="B228" s="14" t="str">
        <f>VLOOKUP(O228,'护理记录单文书字典(数据)'!B$4:C$99,2,0)</f>
        <v>DE97F0340CFAB2119F8E1434D77FFE1E</v>
      </c>
      <c r="C228" s="87" t="s">
        <v>968</v>
      </c>
      <c r="D228" s="14" t="s">
        <v>1193</v>
      </c>
      <c r="E228" s="87">
        <v>1</v>
      </c>
      <c r="F228" s="87">
        <v>1</v>
      </c>
      <c r="G228" s="14" t="s">
        <v>962</v>
      </c>
      <c r="H228" s="75"/>
      <c r="I228" s="75"/>
      <c r="J228" s="75" t="s">
        <v>162</v>
      </c>
      <c r="K228" s="75" t="s">
        <v>509</v>
      </c>
      <c r="L228" s="75" t="s">
        <v>535</v>
      </c>
      <c r="M228" s="75" t="s">
        <v>509</v>
      </c>
      <c r="N228" s="75" t="s">
        <v>535</v>
      </c>
      <c r="O228" s="159" t="s">
        <v>1175</v>
      </c>
    </row>
    <row r="229" spans="1:15" ht="15" customHeight="1">
      <c r="A229" s="63" t="s">
        <v>849</v>
      </c>
      <c r="B229" s="14" t="str">
        <f>VLOOKUP(O229,'护理记录单文书字典(数据)'!B$4:C$99,2,0)</f>
        <v>DE97F0340CFAB2119F8E1434D77FFE1E</v>
      </c>
      <c r="C229" s="87" t="s">
        <v>968</v>
      </c>
      <c r="D229" s="14" t="s">
        <v>1193</v>
      </c>
      <c r="E229" s="87">
        <v>2</v>
      </c>
      <c r="F229" s="87">
        <v>2</v>
      </c>
      <c r="G229" s="14" t="s">
        <v>1190</v>
      </c>
      <c r="H229" s="75"/>
      <c r="I229" s="75"/>
      <c r="J229" s="75" t="s">
        <v>162</v>
      </c>
      <c r="K229" s="75" t="s">
        <v>509</v>
      </c>
      <c r="L229" s="75" t="s">
        <v>535</v>
      </c>
      <c r="M229" s="75" t="s">
        <v>509</v>
      </c>
      <c r="N229" s="75" t="s">
        <v>535</v>
      </c>
      <c r="O229" s="159" t="s">
        <v>1175</v>
      </c>
    </row>
    <row r="230" spans="1:15" ht="15" customHeight="1">
      <c r="A230" s="63" t="s">
        <v>849</v>
      </c>
      <c r="B230" s="14" t="str">
        <f>VLOOKUP(O230,'护理记录单文书字典(数据)'!B$4:C$99,2,0)</f>
        <v>DE97F0340CFAB2119F8E1434D77FFE1E</v>
      </c>
      <c r="C230" s="87" t="s">
        <v>968</v>
      </c>
      <c r="D230" s="14" t="s">
        <v>1193</v>
      </c>
      <c r="E230" s="87">
        <v>3</v>
      </c>
      <c r="F230" s="87">
        <v>3</v>
      </c>
      <c r="G230" s="14" t="s">
        <v>1191</v>
      </c>
      <c r="H230" s="75"/>
      <c r="I230" s="75"/>
      <c r="J230" s="75" t="s">
        <v>162</v>
      </c>
      <c r="K230" s="75" t="s">
        <v>509</v>
      </c>
      <c r="L230" s="75" t="s">
        <v>535</v>
      </c>
      <c r="M230" s="75" t="s">
        <v>509</v>
      </c>
      <c r="N230" s="75" t="s">
        <v>535</v>
      </c>
      <c r="O230" s="159" t="s">
        <v>1175</v>
      </c>
    </row>
    <row r="231" spans="1:15" ht="15" customHeight="1">
      <c r="A231" s="63" t="s">
        <v>849</v>
      </c>
      <c r="B231" s="14" t="str">
        <f>VLOOKUP(O231,'护理记录单文书字典(数据)'!B$4:C$99,2,0)</f>
        <v>DE97F0340CFAB2119F8E1434D77FFE1E</v>
      </c>
      <c r="C231" s="87" t="s">
        <v>968</v>
      </c>
      <c r="D231" s="14" t="s">
        <v>1193</v>
      </c>
      <c r="E231" s="87">
        <v>4</v>
      </c>
      <c r="F231" s="87">
        <v>4</v>
      </c>
      <c r="G231" s="14" t="s">
        <v>1192</v>
      </c>
      <c r="H231" s="75"/>
      <c r="I231" s="75"/>
      <c r="J231" s="75" t="s">
        <v>162</v>
      </c>
      <c r="K231" s="75" t="s">
        <v>509</v>
      </c>
      <c r="L231" s="75" t="s">
        <v>535</v>
      </c>
      <c r="M231" s="75" t="s">
        <v>509</v>
      </c>
      <c r="N231" s="75" t="s">
        <v>535</v>
      </c>
      <c r="O231" s="159" t="s">
        <v>1175</v>
      </c>
    </row>
    <row r="232" spans="1:15" ht="14" customHeight="1">
      <c r="A232" s="63" t="s">
        <v>849</v>
      </c>
      <c r="B232" s="14" t="str">
        <f>VLOOKUP(O232,'护理记录单文书字典(数据)'!B$4:C$99,2,0)</f>
        <v>DE97F0340CFAB2119F8E1434D77FFE1E</v>
      </c>
      <c r="C232" s="87" t="s">
        <v>1194</v>
      </c>
      <c r="D232" s="14" t="s">
        <v>1195</v>
      </c>
      <c r="E232" s="87">
        <v>1</v>
      </c>
      <c r="F232" s="87">
        <v>1</v>
      </c>
      <c r="G232" s="14" t="s">
        <v>1096</v>
      </c>
      <c r="H232" s="75"/>
      <c r="I232" s="75"/>
      <c r="J232" s="75" t="s">
        <v>162</v>
      </c>
      <c r="K232" s="75" t="s">
        <v>509</v>
      </c>
      <c r="L232" s="75" t="s">
        <v>535</v>
      </c>
      <c r="M232" s="75" t="s">
        <v>509</v>
      </c>
      <c r="N232" s="75" t="s">
        <v>535</v>
      </c>
      <c r="O232" s="159" t="s">
        <v>1175</v>
      </c>
    </row>
    <row r="233" spans="1:15" ht="15" customHeight="1">
      <c r="A233" s="63" t="s">
        <v>849</v>
      </c>
      <c r="B233" s="14" t="str">
        <f>VLOOKUP(O233,'护理记录单文书字典(数据)'!B$4:C$99,2,0)</f>
        <v>DE97F0340CFAB2119F8E1434D77FFE1E</v>
      </c>
      <c r="C233" s="87" t="s">
        <v>1194</v>
      </c>
      <c r="D233" s="14" t="s">
        <v>1195</v>
      </c>
      <c r="E233" s="87">
        <v>2</v>
      </c>
      <c r="F233" s="87">
        <v>2</v>
      </c>
      <c r="G233" s="14" t="s">
        <v>1097</v>
      </c>
      <c r="H233" s="75"/>
      <c r="I233" s="75"/>
      <c r="J233" s="75" t="s">
        <v>162</v>
      </c>
      <c r="K233" s="75" t="s">
        <v>509</v>
      </c>
      <c r="L233" s="75" t="s">
        <v>535</v>
      </c>
      <c r="M233" s="75" t="s">
        <v>509</v>
      </c>
      <c r="N233" s="75" t="s">
        <v>535</v>
      </c>
      <c r="O233" s="159" t="s">
        <v>1175</v>
      </c>
    </row>
    <row r="234" spans="1:15" ht="15" customHeight="1">
      <c r="A234" s="63" t="s">
        <v>849</v>
      </c>
      <c r="B234" s="14" t="str">
        <f>VLOOKUP(O234,'护理记录单文书字典(数据)'!B$4:C$99,2,0)</f>
        <v>DE97F0340CFAB2119F8E1434D77FFE1E</v>
      </c>
      <c r="C234" s="87" t="s">
        <v>1194</v>
      </c>
      <c r="D234" s="14" t="s">
        <v>1195</v>
      </c>
      <c r="E234" s="87">
        <v>3</v>
      </c>
      <c r="F234" s="87">
        <v>3</v>
      </c>
      <c r="G234" s="14" t="s">
        <v>1098</v>
      </c>
      <c r="H234" s="75"/>
      <c r="I234" s="75"/>
      <c r="J234" s="75" t="s">
        <v>162</v>
      </c>
      <c r="K234" s="75" t="s">
        <v>509</v>
      </c>
      <c r="L234" s="75" t="s">
        <v>535</v>
      </c>
      <c r="M234" s="75" t="s">
        <v>509</v>
      </c>
      <c r="N234" s="75" t="s">
        <v>535</v>
      </c>
      <c r="O234" s="159" t="s">
        <v>1175</v>
      </c>
    </row>
    <row r="235" spans="1:15" ht="15" customHeight="1">
      <c r="A235" s="63" t="s">
        <v>849</v>
      </c>
      <c r="B235" s="14" t="str">
        <f>VLOOKUP(O235,'护理记录单文书字典(数据)'!B$4:C$99,2,0)</f>
        <v>DE97F0340CFAB2119F8E1434D77FFE1E</v>
      </c>
      <c r="C235" s="87" t="s">
        <v>1194</v>
      </c>
      <c r="D235" s="14" t="s">
        <v>1195</v>
      </c>
      <c r="E235" s="87">
        <v>4</v>
      </c>
      <c r="F235" s="87">
        <v>4</v>
      </c>
      <c r="G235" s="14" t="s">
        <v>1093</v>
      </c>
      <c r="H235" s="75"/>
      <c r="I235" s="75"/>
      <c r="J235" s="75" t="s">
        <v>162</v>
      </c>
      <c r="K235" s="75" t="s">
        <v>509</v>
      </c>
      <c r="L235" s="75" t="s">
        <v>535</v>
      </c>
      <c r="M235" s="75" t="s">
        <v>509</v>
      </c>
      <c r="N235" s="75" t="s">
        <v>535</v>
      </c>
      <c r="O235" s="159" t="s">
        <v>1175</v>
      </c>
    </row>
    <row r="236" spans="1:15" ht="14" customHeight="1">
      <c r="A236" s="63" t="s">
        <v>849</v>
      </c>
      <c r="B236" s="14" t="str">
        <f>VLOOKUP(O236,'护理记录单文书字典(数据)'!B$4:C$99,2,0)</f>
        <v>DE97F0340CFAB2119F8E1434D77FFE1E</v>
      </c>
      <c r="C236" s="87" t="s">
        <v>1196</v>
      </c>
      <c r="D236" s="14" t="s">
        <v>1197</v>
      </c>
      <c r="E236" s="87">
        <v>1</v>
      </c>
      <c r="F236" s="87">
        <v>1</v>
      </c>
      <c r="G236" s="14" t="s">
        <v>1096</v>
      </c>
      <c r="H236" s="75"/>
      <c r="I236" s="75"/>
      <c r="J236" s="75" t="s">
        <v>162</v>
      </c>
      <c r="K236" s="75" t="s">
        <v>509</v>
      </c>
      <c r="L236" s="75" t="s">
        <v>535</v>
      </c>
      <c r="M236" s="75" t="s">
        <v>509</v>
      </c>
      <c r="N236" s="75" t="s">
        <v>535</v>
      </c>
      <c r="O236" s="159" t="s">
        <v>1175</v>
      </c>
    </row>
    <row r="237" spans="1:15" ht="15" customHeight="1">
      <c r="A237" s="63" t="s">
        <v>849</v>
      </c>
      <c r="B237" s="14" t="str">
        <f>VLOOKUP(O237,'护理记录单文书字典(数据)'!B$4:C$99,2,0)</f>
        <v>DE97F0340CFAB2119F8E1434D77FFE1E</v>
      </c>
      <c r="C237" s="87" t="s">
        <v>1196</v>
      </c>
      <c r="D237" s="14" t="s">
        <v>1197</v>
      </c>
      <c r="E237" s="87">
        <v>2</v>
      </c>
      <c r="F237" s="87">
        <v>2</v>
      </c>
      <c r="G237" s="14" t="s">
        <v>1198</v>
      </c>
      <c r="H237" s="75"/>
      <c r="I237" s="75"/>
      <c r="J237" s="75" t="s">
        <v>162</v>
      </c>
      <c r="K237" s="75" t="s">
        <v>509</v>
      </c>
      <c r="L237" s="75" t="s">
        <v>535</v>
      </c>
      <c r="M237" s="75" t="s">
        <v>509</v>
      </c>
      <c r="N237" s="75" t="s">
        <v>535</v>
      </c>
      <c r="O237" s="159" t="s">
        <v>1175</v>
      </c>
    </row>
    <row r="238" spans="1:15" ht="15" customHeight="1">
      <c r="A238" s="63" t="s">
        <v>849</v>
      </c>
      <c r="B238" s="14" t="str">
        <f>VLOOKUP(O238,'护理记录单文书字典(数据)'!B$4:C$99,2,0)</f>
        <v>DE97F0340CFAB2119F8E1434D77FFE1E</v>
      </c>
      <c r="C238" s="87" t="s">
        <v>1196</v>
      </c>
      <c r="D238" s="14" t="s">
        <v>1197</v>
      </c>
      <c r="E238" s="87">
        <v>3</v>
      </c>
      <c r="F238" s="87">
        <v>3</v>
      </c>
      <c r="G238" s="14" t="s">
        <v>1199</v>
      </c>
      <c r="H238" s="75"/>
      <c r="I238" s="75"/>
      <c r="J238" s="75" t="s">
        <v>162</v>
      </c>
      <c r="K238" s="75" t="s">
        <v>509</v>
      </c>
      <c r="L238" s="75" t="s">
        <v>535</v>
      </c>
      <c r="M238" s="75" t="s">
        <v>509</v>
      </c>
      <c r="N238" s="75" t="s">
        <v>535</v>
      </c>
      <c r="O238" s="159" t="s">
        <v>1175</v>
      </c>
    </row>
    <row r="239" spans="1:15" ht="14" customHeight="1">
      <c r="A239" s="63" t="s">
        <v>849</v>
      </c>
      <c r="B239" s="14" t="str">
        <f>VLOOKUP(O239,'护理记录单文书字典(数据)'!B$4:C$99,2,0)</f>
        <v>DE97F0340CFAB2119F8E1434D77FFE1E</v>
      </c>
      <c r="C239" s="87" t="s">
        <v>1200</v>
      </c>
      <c r="D239" s="14" t="s">
        <v>1201</v>
      </c>
      <c r="E239" s="87">
        <v>1</v>
      </c>
      <c r="F239" s="87">
        <v>1</v>
      </c>
      <c r="G239" s="14" t="s">
        <v>1096</v>
      </c>
      <c r="H239" s="75"/>
      <c r="I239" s="75"/>
      <c r="J239" s="75" t="s">
        <v>162</v>
      </c>
      <c r="K239" s="75" t="s">
        <v>509</v>
      </c>
      <c r="L239" s="75" t="s">
        <v>535</v>
      </c>
      <c r="M239" s="75" t="s">
        <v>509</v>
      </c>
      <c r="N239" s="75" t="s">
        <v>535</v>
      </c>
      <c r="O239" s="159" t="s">
        <v>1175</v>
      </c>
    </row>
    <row r="240" spans="1:15" ht="15" customHeight="1">
      <c r="A240" s="63" t="s">
        <v>849</v>
      </c>
      <c r="B240" s="14" t="str">
        <f>VLOOKUP(O240,'护理记录单文书字典(数据)'!B$4:C$99,2,0)</f>
        <v>DE97F0340CFAB2119F8E1434D77FFE1E</v>
      </c>
      <c r="C240" s="87" t="s">
        <v>1200</v>
      </c>
      <c r="D240" s="14" t="s">
        <v>1201</v>
      </c>
      <c r="E240" s="87">
        <v>2</v>
      </c>
      <c r="F240" s="87">
        <v>2</v>
      </c>
      <c r="G240" s="14" t="s">
        <v>1202</v>
      </c>
      <c r="H240" s="75"/>
      <c r="I240" s="75"/>
      <c r="J240" s="75" t="s">
        <v>162</v>
      </c>
      <c r="K240" s="75" t="s">
        <v>509</v>
      </c>
      <c r="L240" s="75" t="s">
        <v>535</v>
      </c>
      <c r="M240" s="75" t="s">
        <v>509</v>
      </c>
      <c r="N240" s="75" t="s">
        <v>535</v>
      </c>
      <c r="O240" s="159" t="s">
        <v>1175</v>
      </c>
    </row>
    <row r="241" spans="1:15" ht="15" customHeight="1">
      <c r="A241" s="63" t="s">
        <v>849</v>
      </c>
      <c r="B241" s="14" t="str">
        <f>VLOOKUP(O241,'护理记录单文书字典(数据)'!B$4:C$99,2,0)</f>
        <v>DE97F0340CFAB2119F8E1434D77FFE1E</v>
      </c>
      <c r="C241" s="87" t="s">
        <v>1200</v>
      </c>
      <c r="D241" s="14" t="s">
        <v>1201</v>
      </c>
      <c r="E241" s="87">
        <v>3</v>
      </c>
      <c r="F241" s="87">
        <v>3</v>
      </c>
      <c r="G241" s="14" t="s">
        <v>1203</v>
      </c>
      <c r="H241" s="75"/>
      <c r="I241" s="75"/>
      <c r="J241" s="75" t="s">
        <v>162</v>
      </c>
      <c r="K241" s="75" t="s">
        <v>509</v>
      </c>
      <c r="L241" s="75" t="s">
        <v>535</v>
      </c>
      <c r="M241" s="75" t="s">
        <v>509</v>
      </c>
      <c r="N241" s="75" t="s">
        <v>535</v>
      </c>
      <c r="O241" s="159" t="s">
        <v>1175</v>
      </c>
    </row>
    <row r="242" spans="1:15" ht="15" customHeight="1">
      <c r="A242" s="63" t="s">
        <v>849</v>
      </c>
      <c r="B242" s="14" t="str">
        <f>VLOOKUP(O242,'护理记录单文书字典(数据)'!B$4:C$99,2,0)</f>
        <v>DE97F0340CFAB2119F8E1434D77FFE1E</v>
      </c>
      <c r="C242" s="87" t="s">
        <v>1200</v>
      </c>
      <c r="D242" s="14" t="s">
        <v>1201</v>
      </c>
      <c r="E242" s="87">
        <v>4</v>
      </c>
      <c r="F242" s="87">
        <v>4</v>
      </c>
      <c r="G242" s="14" t="s">
        <v>1093</v>
      </c>
      <c r="H242" s="75"/>
      <c r="I242" s="75"/>
      <c r="J242" s="75" t="s">
        <v>162</v>
      </c>
      <c r="K242" s="75" t="s">
        <v>509</v>
      </c>
      <c r="L242" s="75" t="s">
        <v>535</v>
      </c>
      <c r="M242" s="75" t="s">
        <v>509</v>
      </c>
      <c r="N242" s="75" t="s">
        <v>535</v>
      </c>
      <c r="O242" s="159" t="s">
        <v>1175</v>
      </c>
    </row>
    <row r="243" spans="1:15" ht="14" customHeight="1">
      <c r="A243" s="63" t="s">
        <v>849</v>
      </c>
      <c r="B243" s="14" t="str">
        <f>VLOOKUP(O243,'护理记录单文书字典(数据)'!B$4:C$99,2,0)</f>
        <v>DE97F0340CFAB2119F8E1434D77FFE1E</v>
      </c>
      <c r="C243" s="87" t="s">
        <v>1204</v>
      </c>
      <c r="D243" s="14" t="s">
        <v>1205</v>
      </c>
      <c r="E243" s="87">
        <v>1</v>
      </c>
      <c r="F243" s="87">
        <v>1</v>
      </c>
      <c r="G243" s="14" t="s">
        <v>1096</v>
      </c>
      <c r="H243" s="75"/>
      <c r="I243" s="75"/>
      <c r="J243" s="75" t="s">
        <v>162</v>
      </c>
      <c r="K243" s="75" t="s">
        <v>509</v>
      </c>
      <c r="L243" s="75" t="s">
        <v>535</v>
      </c>
      <c r="M243" s="75" t="s">
        <v>509</v>
      </c>
      <c r="N243" s="75" t="s">
        <v>535</v>
      </c>
      <c r="O243" s="159" t="s">
        <v>1175</v>
      </c>
    </row>
    <row r="244" spans="1:15" ht="15" customHeight="1">
      <c r="A244" s="63" t="s">
        <v>849</v>
      </c>
      <c r="B244" s="14" t="str">
        <f>VLOOKUP(O244,'护理记录单文书字典(数据)'!B$4:C$99,2,0)</f>
        <v>DE97F0340CFAB2119F8E1434D77FFE1E</v>
      </c>
      <c r="C244" s="87" t="s">
        <v>1204</v>
      </c>
      <c r="D244" s="14" t="s">
        <v>1205</v>
      </c>
      <c r="E244" s="87">
        <v>2</v>
      </c>
      <c r="F244" s="87">
        <v>2</v>
      </c>
      <c r="G244" s="14" t="s">
        <v>1206</v>
      </c>
      <c r="H244" s="75"/>
      <c r="I244" s="75"/>
      <c r="J244" s="75" t="s">
        <v>162</v>
      </c>
      <c r="K244" s="75" t="s">
        <v>509</v>
      </c>
      <c r="L244" s="75" t="s">
        <v>535</v>
      </c>
      <c r="M244" s="75" t="s">
        <v>509</v>
      </c>
      <c r="N244" s="75" t="s">
        <v>535</v>
      </c>
      <c r="O244" s="159" t="s">
        <v>1175</v>
      </c>
    </row>
    <row r="245" spans="1:15" ht="15" customHeight="1">
      <c r="A245" s="63" t="s">
        <v>849</v>
      </c>
      <c r="B245" s="14" t="str">
        <f>VLOOKUP(O245,'护理记录单文书字典(数据)'!B$4:C$99,2,0)</f>
        <v>CECCF7340CFAB211B59F8A108DB59D22</v>
      </c>
      <c r="C245" s="87" t="s">
        <v>1204</v>
      </c>
      <c r="D245" s="14" t="s">
        <v>1207</v>
      </c>
      <c r="E245" s="87">
        <v>1</v>
      </c>
      <c r="F245" s="87">
        <v>1</v>
      </c>
      <c r="G245" s="14" t="s">
        <v>1208</v>
      </c>
      <c r="H245" s="75"/>
      <c r="I245" s="75"/>
      <c r="J245" s="75" t="s">
        <v>162</v>
      </c>
      <c r="K245" s="75" t="s">
        <v>509</v>
      </c>
      <c r="L245" s="75" t="s">
        <v>535</v>
      </c>
      <c r="M245" s="75" t="s">
        <v>509</v>
      </c>
      <c r="N245" s="75" t="s">
        <v>535</v>
      </c>
      <c r="O245" s="75" t="s">
        <v>926</v>
      </c>
    </row>
    <row r="246" spans="1:15" ht="15" customHeight="1">
      <c r="A246" s="63" t="s">
        <v>849</v>
      </c>
      <c r="B246" s="14" t="str">
        <f>VLOOKUP(O246,'护理记录单文书字典(数据)'!B$4:C$99,2,0)</f>
        <v>CECCF7340CFAB211B59F8A108DB59D22</v>
      </c>
      <c r="C246" s="87" t="s">
        <v>1204</v>
      </c>
      <c r="D246" s="14" t="s">
        <v>1207</v>
      </c>
      <c r="E246" s="87">
        <v>2</v>
      </c>
      <c r="F246" s="87">
        <v>2</v>
      </c>
      <c r="G246" s="14" t="s">
        <v>1209</v>
      </c>
      <c r="H246" s="75"/>
      <c r="I246" s="75"/>
      <c r="J246" s="75" t="s">
        <v>162</v>
      </c>
      <c r="K246" s="75" t="s">
        <v>509</v>
      </c>
      <c r="L246" s="75" t="s">
        <v>535</v>
      </c>
      <c r="M246" s="75" t="s">
        <v>509</v>
      </c>
      <c r="N246" s="75" t="s">
        <v>535</v>
      </c>
      <c r="O246" s="75" t="s">
        <v>926</v>
      </c>
    </row>
    <row r="247" spans="1:15" ht="15" customHeight="1">
      <c r="A247" s="63" t="s">
        <v>849</v>
      </c>
      <c r="B247" s="14" t="str">
        <f>VLOOKUP(O247,'护理记录单文书字典(数据)'!B$4:C$99,2,0)</f>
        <v>CECCF7340CFAB211B59F8A108DB59D22</v>
      </c>
      <c r="C247" s="87" t="s">
        <v>1204</v>
      </c>
      <c r="D247" s="14" t="s">
        <v>1207</v>
      </c>
      <c r="E247" s="87">
        <v>3</v>
      </c>
      <c r="F247" s="87">
        <v>3</v>
      </c>
      <c r="G247" s="14" t="s">
        <v>1210</v>
      </c>
      <c r="H247" s="75"/>
      <c r="I247" s="75"/>
      <c r="J247" s="75" t="s">
        <v>162</v>
      </c>
      <c r="K247" s="75" t="s">
        <v>509</v>
      </c>
      <c r="L247" s="75" t="s">
        <v>535</v>
      </c>
      <c r="M247" s="75" t="s">
        <v>509</v>
      </c>
      <c r="N247" s="75" t="s">
        <v>535</v>
      </c>
      <c r="O247" s="75" t="s">
        <v>926</v>
      </c>
    </row>
    <row r="248" spans="1:15" ht="14" customHeight="1">
      <c r="A248" s="63" t="s">
        <v>849</v>
      </c>
      <c r="B248" s="14" t="str">
        <f>VLOOKUP(O248,'护理记录单文书字典(数据)'!B$4:C$99,2,0)</f>
        <v>CECCF7340CFAB211B59F8A108DB59D22</v>
      </c>
      <c r="C248" s="87" t="s">
        <v>1194</v>
      </c>
      <c r="D248" s="14" t="s">
        <v>1211</v>
      </c>
      <c r="E248" s="87">
        <v>1</v>
      </c>
      <c r="F248" s="87">
        <v>1</v>
      </c>
      <c r="G248" s="14" t="s">
        <v>1096</v>
      </c>
      <c r="H248" s="75"/>
      <c r="I248" s="75"/>
      <c r="J248" s="75" t="s">
        <v>162</v>
      </c>
      <c r="K248" s="75" t="s">
        <v>509</v>
      </c>
      <c r="L248" s="75" t="s">
        <v>535</v>
      </c>
      <c r="M248" s="75" t="s">
        <v>509</v>
      </c>
      <c r="N248" s="75" t="s">
        <v>535</v>
      </c>
      <c r="O248" s="75" t="s">
        <v>926</v>
      </c>
    </row>
    <row r="249" spans="1:15" ht="15" customHeight="1">
      <c r="A249" s="63" t="s">
        <v>849</v>
      </c>
      <c r="B249" s="14" t="str">
        <f>VLOOKUP(O249,'护理记录单文书字典(数据)'!B$4:C$99,2,0)</f>
        <v>CECCF7340CFAB211B59F8A108DB59D22</v>
      </c>
      <c r="C249" s="87" t="s">
        <v>1194</v>
      </c>
      <c r="D249" s="14" t="s">
        <v>1211</v>
      </c>
      <c r="E249" s="87">
        <v>2</v>
      </c>
      <c r="F249" s="87">
        <v>2</v>
      </c>
      <c r="G249" s="14" t="s">
        <v>1097</v>
      </c>
      <c r="H249" s="75"/>
      <c r="I249" s="75"/>
      <c r="J249" s="75" t="s">
        <v>162</v>
      </c>
      <c r="K249" s="75" t="s">
        <v>509</v>
      </c>
      <c r="L249" s="75" t="s">
        <v>535</v>
      </c>
      <c r="M249" s="75" t="s">
        <v>509</v>
      </c>
      <c r="N249" s="75" t="s">
        <v>535</v>
      </c>
      <c r="O249" s="75" t="s">
        <v>926</v>
      </c>
    </row>
    <row r="250" spans="1:15" ht="15" customHeight="1">
      <c r="A250" s="63" t="s">
        <v>849</v>
      </c>
      <c r="B250" s="14" t="str">
        <f>VLOOKUP(O250,'护理记录单文书字典(数据)'!B$4:C$99,2,0)</f>
        <v>CECCF7340CFAB211B59F8A108DB59D22</v>
      </c>
      <c r="C250" s="87" t="s">
        <v>1194</v>
      </c>
      <c r="D250" s="14" t="s">
        <v>1211</v>
      </c>
      <c r="E250" s="87">
        <v>3</v>
      </c>
      <c r="F250" s="87">
        <v>3</v>
      </c>
      <c r="G250" s="14" t="s">
        <v>1098</v>
      </c>
      <c r="H250" s="75"/>
      <c r="I250" s="75"/>
      <c r="J250" s="75" t="s">
        <v>162</v>
      </c>
      <c r="K250" s="75" t="s">
        <v>509</v>
      </c>
      <c r="L250" s="75" t="s">
        <v>535</v>
      </c>
      <c r="M250" s="75" t="s">
        <v>509</v>
      </c>
      <c r="N250" s="75" t="s">
        <v>535</v>
      </c>
      <c r="O250" s="75" t="s">
        <v>926</v>
      </c>
    </row>
    <row r="251" spans="1:15" ht="15" customHeight="1">
      <c r="A251" s="63" t="s">
        <v>849</v>
      </c>
      <c r="B251" s="14" t="str">
        <f>VLOOKUP(O251,'护理记录单文书字典(数据)'!B$4:C$99,2,0)</f>
        <v>CECCF7340CFAB211B59F8A108DB59D22</v>
      </c>
      <c r="C251" s="87" t="s">
        <v>1194</v>
      </c>
      <c r="D251" s="14" t="s">
        <v>1211</v>
      </c>
      <c r="E251" s="87">
        <v>4</v>
      </c>
      <c r="F251" s="87">
        <v>4</v>
      </c>
      <c r="G251" s="14" t="s">
        <v>1093</v>
      </c>
      <c r="H251" s="75"/>
      <c r="I251" s="75"/>
      <c r="J251" s="75" t="s">
        <v>162</v>
      </c>
      <c r="K251" s="75" t="s">
        <v>509</v>
      </c>
      <c r="L251" s="75" t="s">
        <v>535</v>
      </c>
      <c r="M251" s="75" t="s">
        <v>509</v>
      </c>
      <c r="N251" s="75" t="s">
        <v>535</v>
      </c>
      <c r="O251" s="75" t="s">
        <v>926</v>
      </c>
    </row>
    <row r="252" spans="1:15" ht="14" customHeight="1">
      <c r="A252" s="63" t="s">
        <v>849</v>
      </c>
      <c r="B252" s="14" t="str">
        <f>VLOOKUP(O252,'护理记录单文书字典(数据)'!B$4:C$99,2,0)</f>
        <v>CECCF7340CFAB211B59F8A108DB59D22</v>
      </c>
      <c r="C252" s="87" t="s">
        <v>1212</v>
      </c>
      <c r="D252" s="14" t="s">
        <v>1213</v>
      </c>
      <c r="E252" s="87">
        <v>1</v>
      </c>
      <c r="F252" s="87">
        <v>1</v>
      </c>
      <c r="G252" s="14" t="s">
        <v>1214</v>
      </c>
      <c r="H252" s="75"/>
      <c r="I252" s="75"/>
      <c r="J252" s="75" t="s">
        <v>162</v>
      </c>
      <c r="K252" s="75" t="s">
        <v>509</v>
      </c>
      <c r="L252" s="75" t="s">
        <v>535</v>
      </c>
      <c r="M252" s="75" t="s">
        <v>509</v>
      </c>
      <c r="N252" s="75" t="s">
        <v>535</v>
      </c>
      <c r="O252" s="75" t="s">
        <v>926</v>
      </c>
    </row>
    <row r="253" spans="1:15" ht="15" customHeight="1">
      <c r="A253" s="63" t="s">
        <v>849</v>
      </c>
      <c r="B253" s="14" t="str">
        <f>VLOOKUP(O253,'护理记录单文书字典(数据)'!B$4:C$99,2,0)</f>
        <v>CECCF7340CFAB211B59F8A108DB59D22</v>
      </c>
      <c r="C253" s="87" t="s">
        <v>1212</v>
      </c>
      <c r="D253" s="14" t="s">
        <v>1213</v>
      </c>
      <c r="E253" s="87">
        <v>2</v>
      </c>
      <c r="F253" s="87">
        <v>2</v>
      </c>
      <c r="G253" s="14" t="s">
        <v>1215</v>
      </c>
      <c r="H253" s="75"/>
      <c r="I253" s="75"/>
      <c r="J253" s="75" t="s">
        <v>162</v>
      </c>
      <c r="K253" s="75" t="s">
        <v>509</v>
      </c>
      <c r="L253" s="75" t="s">
        <v>535</v>
      </c>
      <c r="M253" s="75" t="s">
        <v>509</v>
      </c>
      <c r="N253" s="75" t="s">
        <v>535</v>
      </c>
      <c r="O253" s="75" t="s">
        <v>926</v>
      </c>
    </row>
    <row r="254" spans="1:15" ht="14" customHeight="1">
      <c r="A254" s="63" t="s">
        <v>849</v>
      </c>
      <c r="B254" s="14" t="str">
        <f>VLOOKUP(O254,'护理记录单文书字典(数据)'!B$4:C$99,2,0)</f>
        <v>CECCF7340CFAB211B59F8A108DB59D22</v>
      </c>
      <c r="C254" s="87" t="s">
        <v>1216</v>
      </c>
      <c r="D254" s="14" t="s">
        <v>1217</v>
      </c>
      <c r="E254" s="87">
        <v>1</v>
      </c>
      <c r="F254" s="87">
        <v>1</v>
      </c>
      <c r="G254" s="14" t="s">
        <v>1218</v>
      </c>
      <c r="H254" s="75"/>
      <c r="I254" s="75"/>
      <c r="J254" s="75" t="s">
        <v>162</v>
      </c>
      <c r="K254" s="75" t="s">
        <v>509</v>
      </c>
      <c r="L254" s="75" t="s">
        <v>535</v>
      </c>
      <c r="M254" s="75" t="s">
        <v>509</v>
      </c>
      <c r="N254" s="75" t="s">
        <v>535</v>
      </c>
      <c r="O254" s="75" t="s">
        <v>926</v>
      </c>
    </row>
    <row r="255" spans="1:15" ht="15" customHeight="1">
      <c r="A255" s="63" t="s">
        <v>849</v>
      </c>
      <c r="B255" s="14" t="str">
        <f>VLOOKUP(O255,'护理记录单文书字典(数据)'!B$4:C$99,2,0)</f>
        <v>CECCF7340CFAB211B59F8A108DB59D22</v>
      </c>
      <c r="C255" s="87" t="s">
        <v>1216</v>
      </c>
      <c r="D255" s="14" t="s">
        <v>1217</v>
      </c>
      <c r="E255" s="87">
        <v>2</v>
      </c>
      <c r="F255" s="87">
        <v>2</v>
      </c>
      <c r="G255" s="14" t="s">
        <v>1219</v>
      </c>
      <c r="H255" s="75"/>
      <c r="I255" s="75"/>
      <c r="J255" s="75" t="s">
        <v>162</v>
      </c>
      <c r="K255" s="75" t="s">
        <v>509</v>
      </c>
      <c r="L255" s="75" t="s">
        <v>535</v>
      </c>
      <c r="M255" s="75" t="s">
        <v>509</v>
      </c>
      <c r="N255" s="75" t="s">
        <v>535</v>
      </c>
      <c r="O255" s="75" t="s">
        <v>926</v>
      </c>
    </row>
    <row r="256" spans="1:15" ht="15" customHeight="1">
      <c r="A256" s="63" t="s">
        <v>849</v>
      </c>
      <c r="B256" s="14" t="str">
        <f>VLOOKUP(O256,'护理记录单文书字典(数据)'!B$4:C$99,2,0)</f>
        <v>CECCF7340CFAB211B59F8A108DB59D22</v>
      </c>
      <c r="C256" s="87" t="s">
        <v>1216</v>
      </c>
      <c r="D256" s="14" t="s">
        <v>1217</v>
      </c>
      <c r="E256" s="87">
        <v>3</v>
      </c>
      <c r="F256" s="87">
        <v>3</v>
      </c>
      <c r="G256" s="14" t="s">
        <v>1220</v>
      </c>
      <c r="H256" s="75"/>
      <c r="I256" s="75"/>
      <c r="J256" s="75" t="s">
        <v>162</v>
      </c>
      <c r="K256" s="75" t="s">
        <v>509</v>
      </c>
      <c r="L256" s="75" t="s">
        <v>535</v>
      </c>
      <c r="M256" s="75" t="s">
        <v>509</v>
      </c>
      <c r="N256" s="75" t="s">
        <v>535</v>
      </c>
      <c r="O256" s="75" t="s">
        <v>926</v>
      </c>
    </row>
    <row r="257" spans="1:15" ht="14" customHeight="1">
      <c r="A257" s="63" t="s">
        <v>849</v>
      </c>
      <c r="B257" s="14" t="str">
        <f>VLOOKUP(O257,'护理记录单文书字典(数据)'!B$4:C$99,2,0)</f>
        <v>CECCF7340CFAB211B59F8A108DB59D22</v>
      </c>
      <c r="C257" s="87" t="s">
        <v>1221</v>
      </c>
      <c r="D257" s="14" t="s">
        <v>1222</v>
      </c>
      <c r="E257" s="87">
        <v>1</v>
      </c>
      <c r="F257" s="87">
        <v>1</v>
      </c>
      <c r="G257" s="14" t="s">
        <v>1096</v>
      </c>
      <c r="H257" s="75"/>
      <c r="I257" s="75"/>
      <c r="J257" s="75" t="s">
        <v>162</v>
      </c>
      <c r="K257" s="75" t="s">
        <v>509</v>
      </c>
      <c r="L257" s="75" t="s">
        <v>535</v>
      </c>
      <c r="M257" s="75" t="s">
        <v>509</v>
      </c>
      <c r="N257" s="75" t="s">
        <v>535</v>
      </c>
      <c r="O257" s="75" t="s">
        <v>926</v>
      </c>
    </row>
    <row r="258" spans="1:15" ht="15" customHeight="1">
      <c r="A258" s="63" t="s">
        <v>849</v>
      </c>
      <c r="B258" s="14" t="str">
        <f>VLOOKUP(O258,'护理记录单文书字典(数据)'!B$4:C$99,2,0)</f>
        <v>CECCF7340CFAB211B59F8A108DB59D22</v>
      </c>
      <c r="C258" s="87" t="s">
        <v>1221</v>
      </c>
      <c r="D258" s="14" t="s">
        <v>1222</v>
      </c>
      <c r="E258" s="87">
        <v>2</v>
      </c>
      <c r="F258" s="87">
        <v>2</v>
      </c>
      <c r="G258" s="14" t="s">
        <v>1223</v>
      </c>
      <c r="H258" s="75"/>
      <c r="I258" s="75"/>
      <c r="J258" s="75" t="s">
        <v>162</v>
      </c>
      <c r="K258" s="75" t="s">
        <v>509</v>
      </c>
      <c r="L258" s="75" t="s">
        <v>535</v>
      </c>
      <c r="M258" s="75" t="s">
        <v>509</v>
      </c>
      <c r="N258" s="75" t="s">
        <v>535</v>
      </c>
      <c r="O258" s="75" t="s">
        <v>926</v>
      </c>
    </row>
    <row r="259" spans="1:15" ht="14" customHeight="1">
      <c r="A259" s="63" t="s">
        <v>849</v>
      </c>
      <c r="B259" s="14" t="str">
        <f>VLOOKUP(O259,'护理记录单文书字典(数据)'!B$4:C$99,2,0)</f>
        <v>CECCF7340CFAB211B59F8A108DB59D22</v>
      </c>
      <c r="C259" s="87" t="s">
        <v>1224</v>
      </c>
      <c r="D259" s="14" t="s">
        <v>1225</v>
      </c>
      <c r="E259" s="87">
        <v>1</v>
      </c>
      <c r="F259" s="87">
        <v>1</v>
      </c>
      <c r="G259" s="14" t="s">
        <v>988</v>
      </c>
      <c r="H259" s="75"/>
      <c r="I259" s="75"/>
      <c r="J259" s="75" t="s">
        <v>162</v>
      </c>
      <c r="K259" s="75" t="s">
        <v>509</v>
      </c>
      <c r="L259" s="75" t="s">
        <v>535</v>
      </c>
      <c r="M259" s="75" t="s">
        <v>509</v>
      </c>
      <c r="N259" s="75" t="s">
        <v>535</v>
      </c>
      <c r="O259" s="75" t="s">
        <v>926</v>
      </c>
    </row>
    <row r="260" spans="1:15" ht="15" customHeight="1">
      <c r="A260" s="63" t="s">
        <v>849</v>
      </c>
      <c r="B260" s="14" t="str">
        <f>VLOOKUP(O260,'护理记录单文书字典(数据)'!B$4:C$99,2,0)</f>
        <v>CECCF7340CFAB211B59F8A108DB59D22</v>
      </c>
      <c r="C260" s="87" t="s">
        <v>1224</v>
      </c>
      <c r="D260" s="14" t="s">
        <v>1225</v>
      </c>
      <c r="E260" s="87">
        <v>2</v>
      </c>
      <c r="F260" s="87">
        <v>2</v>
      </c>
      <c r="G260" s="14" t="s">
        <v>1226</v>
      </c>
      <c r="H260" s="75"/>
      <c r="I260" s="75"/>
      <c r="J260" s="75" t="s">
        <v>162</v>
      </c>
      <c r="K260" s="75" t="s">
        <v>509</v>
      </c>
      <c r="L260" s="75" t="s">
        <v>535</v>
      </c>
      <c r="M260" s="75" t="s">
        <v>509</v>
      </c>
      <c r="N260" s="75" t="s">
        <v>535</v>
      </c>
      <c r="O260" s="75" t="s">
        <v>926</v>
      </c>
    </row>
    <row r="261" spans="1:15" ht="14" customHeight="1">
      <c r="A261" s="63" t="s">
        <v>849</v>
      </c>
      <c r="B261" s="14" t="str">
        <f>VLOOKUP(O261,'护理记录单文书字典(数据)'!B$4:C$99,2,0)</f>
        <v>CECCF7340CFAB211B59F8A108DB59D22</v>
      </c>
      <c r="C261" s="87" t="s">
        <v>1227</v>
      </c>
      <c r="D261" s="14" t="s">
        <v>1228</v>
      </c>
      <c r="E261" s="87">
        <v>1</v>
      </c>
      <c r="F261" s="87">
        <v>1</v>
      </c>
      <c r="G261" s="14" t="s">
        <v>1229</v>
      </c>
      <c r="H261" s="75"/>
      <c r="I261" s="75"/>
      <c r="J261" s="75" t="s">
        <v>162</v>
      </c>
      <c r="K261" s="75" t="s">
        <v>509</v>
      </c>
      <c r="L261" s="75" t="s">
        <v>535</v>
      </c>
      <c r="M261" s="75" t="s">
        <v>509</v>
      </c>
      <c r="N261" s="75" t="s">
        <v>535</v>
      </c>
      <c r="O261" s="75" t="s">
        <v>926</v>
      </c>
    </row>
    <row r="262" spans="1:15" ht="15" customHeight="1">
      <c r="A262" s="63" t="s">
        <v>849</v>
      </c>
      <c r="B262" s="14" t="str">
        <f>VLOOKUP(O262,'护理记录单文书字典(数据)'!B$4:C$99,2,0)</f>
        <v>CECCF7340CFAB211B59F8A108DB59D22</v>
      </c>
      <c r="C262" s="87" t="s">
        <v>1227</v>
      </c>
      <c r="D262" s="14" t="s">
        <v>1228</v>
      </c>
      <c r="E262" s="87">
        <v>2</v>
      </c>
      <c r="F262" s="87">
        <v>2</v>
      </c>
      <c r="G262" s="14" t="s">
        <v>1230</v>
      </c>
      <c r="H262" s="75"/>
      <c r="I262" s="75"/>
      <c r="J262" s="75" t="s">
        <v>162</v>
      </c>
      <c r="K262" s="75" t="s">
        <v>509</v>
      </c>
      <c r="L262" s="75" t="s">
        <v>535</v>
      </c>
      <c r="M262" s="75" t="s">
        <v>509</v>
      </c>
      <c r="N262" s="75" t="s">
        <v>535</v>
      </c>
      <c r="O262" s="75" t="s">
        <v>926</v>
      </c>
    </row>
    <row r="263" spans="1:15" ht="15" customHeight="1">
      <c r="A263" s="63" t="s">
        <v>849</v>
      </c>
      <c r="B263" s="14" t="str">
        <f>VLOOKUP(O263,'护理记录单文书字典(数据)'!B$4:C$99,2,0)</f>
        <v>CECCF7340CFAB211B59F8A108DB59D22</v>
      </c>
      <c r="C263" s="87" t="s">
        <v>1227</v>
      </c>
      <c r="D263" s="14" t="s">
        <v>1228</v>
      </c>
      <c r="E263" s="87">
        <v>3</v>
      </c>
      <c r="F263" s="87">
        <v>3</v>
      </c>
      <c r="G263" s="14" t="s">
        <v>1231</v>
      </c>
      <c r="H263" s="75"/>
      <c r="I263" s="75"/>
      <c r="J263" s="75" t="s">
        <v>162</v>
      </c>
      <c r="K263" s="75" t="s">
        <v>509</v>
      </c>
      <c r="L263" s="75" t="s">
        <v>535</v>
      </c>
      <c r="M263" s="75" t="s">
        <v>509</v>
      </c>
      <c r="N263" s="75" t="s">
        <v>535</v>
      </c>
      <c r="O263" s="75" t="s">
        <v>926</v>
      </c>
    </row>
    <row r="264" spans="1:15" ht="14" customHeight="1">
      <c r="A264" s="63" t="s">
        <v>849</v>
      </c>
      <c r="B264" s="14" t="str">
        <f>VLOOKUP(O264,'护理记录单文书字典(数据)'!B$4:C$99,2,0)</f>
        <v>CECCF7340CFAB211B59F8A108DB59D22</v>
      </c>
      <c r="C264" s="87" t="s">
        <v>1232</v>
      </c>
      <c r="D264" s="14" t="s">
        <v>1233</v>
      </c>
      <c r="E264" s="87">
        <v>1</v>
      </c>
      <c r="F264" s="87">
        <v>1</v>
      </c>
      <c r="G264" s="14" t="s">
        <v>1234</v>
      </c>
      <c r="H264" s="75"/>
      <c r="I264" s="75"/>
      <c r="J264" s="75" t="s">
        <v>162</v>
      </c>
      <c r="K264" s="75" t="s">
        <v>509</v>
      </c>
      <c r="L264" s="75" t="s">
        <v>535</v>
      </c>
      <c r="M264" s="75" t="s">
        <v>509</v>
      </c>
      <c r="N264" s="75" t="s">
        <v>535</v>
      </c>
      <c r="O264" s="75" t="s">
        <v>926</v>
      </c>
    </row>
    <row r="265" spans="1:15" ht="15" customHeight="1">
      <c r="A265" s="63" t="s">
        <v>849</v>
      </c>
      <c r="B265" s="14" t="str">
        <f>VLOOKUP(O265,'护理记录单文书字典(数据)'!B$4:C$99,2,0)</f>
        <v>CECCF7340CFAB211B59F8A108DB59D22</v>
      </c>
      <c r="C265" s="87" t="s">
        <v>1232</v>
      </c>
      <c r="D265" s="14" t="s">
        <v>1233</v>
      </c>
      <c r="E265" s="87">
        <v>2</v>
      </c>
      <c r="F265" s="87">
        <v>2</v>
      </c>
      <c r="G265" s="14" t="s">
        <v>1230</v>
      </c>
      <c r="H265" s="75"/>
      <c r="I265" s="75"/>
      <c r="J265" s="75" t="s">
        <v>162</v>
      </c>
      <c r="K265" s="75" t="s">
        <v>509</v>
      </c>
      <c r="L265" s="75" t="s">
        <v>535</v>
      </c>
      <c r="M265" s="75" t="s">
        <v>509</v>
      </c>
      <c r="N265" s="75" t="s">
        <v>535</v>
      </c>
      <c r="O265" s="75" t="s">
        <v>926</v>
      </c>
    </row>
    <row r="266" spans="1:15" ht="15" customHeight="1">
      <c r="A266" s="63" t="s">
        <v>849</v>
      </c>
      <c r="B266" s="14" t="str">
        <f>VLOOKUP(O266,'护理记录单文书字典(数据)'!B$4:C$99,2,0)</f>
        <v>CECCF7340CFAB211B59F8A108DB59D22</v>
      </c>
      <c r="C266" s="87" t="s">
        <v>1232</v>
      </c>
      <c r="D266" s="14" t="s">
        <v>1233</v>
      </c>
      <c r="E266" s="87">
        <v>3</v>
      </c>
      <c r="F266" s="87">
        <v>3</v>
      </c>
      <c r="G266" s="14" t="s">
        <v>1235</v>
      </c>
      <c r="H266" s="75"/>
      <c r="I266" s="75"/>
      <c r="J266" s="75" t="s">
        <v>162</v>
      </c>
      <c r="K266" s="75" t="s">
        <v>509</v>
      </c>
      <c r="L266" s="75" t="s">
        <v>535</v>
      </c>
      <c r="M266" s="75" t="s">
        <v>509</v>
      </c>
      <c r="N266" s="75" t="s">
        <v>535</v>
      </c>
      <c r="O266" s="75" t="s">
        <v>926</v>
      </c>
    </row>
    <row r="267" spans="1:15" ht="14" customHeight="1">
      <c r="A267" s="63" t="s">
        <v>849</v>
      </c>
      <c r="B267" s="14" t="str">
        <f>VLOOKUP(O267,'护理记录单文书字典(数据)'!B$4:C$99,2,0)</f>
        <v>CECCF7340CFAB211B59F8A108DB59D22</v>
      </c>
      <c r="C267" s="87" t="s">
        <v>1236</v>
      </c>
      <c r="D267" s="14" t="s">
        <v>1237</v>
      </c>
      <c r="E267" s="87">
        <v>1</v>
      </c>
      <c r="F267" s="87">
        <v>1</v>
      </c>
      <c r="G267" s="14" t="s">
        <v>1238</v>
      </c>
      <c r="H267" s="75"/>
      <c r="I267" s="75"/>
      <c r="J267" s="75" t="s">
        <v>162</v>
      </c>
      <c r="K267" s="75" t="s">
        <v>509</v>
      </c>
      <c r="L267" s="75" t="s">
        <v>535</v>
      </c>
      <c r="M267" s="75" t="s">
        <v>509</v>
      </c>
      <c r="N267" s="75" t="s">
        <v>535</v>
      </c>
      <c r="O267" s="75" t="s">
        <v>926</v>
      </c>
    </row>
    <row r="268" spans="1:15" ht="15" customHeight="1">
      <c r="A268" s="63" t="s">
        <v>849</v>
      </c>
      <c r="B268" s="14" t="str">
        <f>VLOOKUP(O268,'护理记录单文书字典(数据)'!B$4:C$99,2,0)</f>
        <v>CECCF7340CFAB211B59F8A108DB59D22</v>
      </c>
      <c r="C268" s="87" t="s">
        <v>1236</v>
      </c>
      <c r="D268" s="14" t="s">
        <v>1237</v>
      </c>
      <c r="E268" s="87">
        <v>2</v>
      </c>
      <c r="F268" s="87">
        <v>2</v>
      </c>
      <c r="G268" s="14" t="s">
        <v>1239</v>
      </c>
      <c r="H268" s="75"/>
      <c r="I268" s="75"/>
      <c r="J268" s="75" t="s">
        <v>162</v>
      </c>
      <c r="K268" s="75" t="s">
        <v>509</v>
      </c>
      <c r="L268" s="75" t="s">
        <v>535</v>
      </c>
      <c r="M268" s="75" t="s">
        <v>509</v>
      </c>
      <c r="N268" s="75" t="s">
        <v>535</v>
      </c>
      <c r="O268" s="75" t="s">
        <v>926</v>
      </c>
    </row>
    <row r="269" spans="1:15" ht="15" customHeight="1">
      <c r="A269" s="63" t="s">
        <v>849</v>
      </c>
      <c r="B269" s="14" t="str">
        <f>VLOOKUP(O269,'护理记录单文书字典(数据)'!B$4:C$99,2,0)</f>
        <v>CECCF7340CFAB211B59F8A108DB59D22</v>
      </c>
      <c r="C269" s="87" t="s">
        <v>1236</v>
      </c>
      <c r="D269" s="14" t="s">
        <v>1237</v>
      </c>
      <c r="E269" s="87">
        <v>3</v>
      </c>
      <c r="F269" s="87">
        <v>3</v>
      </c>
      <c r="G269" s="14" t="s">
        <v>1240</v>
      </c>
      <c r="H269" s="75"/>
      <c r="I269" s="75"/>
      <c r="J269" s="75" t="s">
        <v>162</v>
      </c>
      <c r="K269" s="75" t="s">
        <v>509</v>
      </c>
      <c r="L269" s="75" t="s">
        <v>535</v>
      </c>
      <c r="M269" s="75" t="s">
        <v>509</v>
      </c>
      <c r="N269" s="75" t="s">
        <v>535</v>
      </c>
      <c r="O269" s="75" t="s">
        <v>926</v>
      </c>
    </row>
    <row r="270" spans="1:15" ht="14" customHeight="1">
      <c r="A270" s="63" t="s">
        <v>849</v>
      </c>
      <c r="B270" s="14" t="str">
        <f>VLOOKUP(O270,'护理记录单文书字典(数据)'!B$4:C$99,2,0)</f>
        <v>CECCF7340CFAB211B59F8A108DB59D22</v>
      </c>
      <c r="C270" s="87" t="s">
        <v>1241</v>
      </c>
      <c r="D270" s="14" t="s">
        <v>1242</v>
      </c>
      <c r="E270" s="87">
        <v>1</v>
      </c>
      <c r="F270" s="87">
        <v>1</v>
      </c>
      <c r="G270" s="14" t="s">
        <v>1243</v>
      </c>
      <c r="H270" s="75"/>
      <c r="I270" s="75"/>
      <c r="J270" s="75" t="s">
        <v>162</v>
      </c>
      <c r="K270" s="75" t="s">
        <v>509</v>
      </c>
      <c r="L270" s="75" t="s">
        <v>535</v>
      </c>
      <c r="M270" s="75" t="s">
        <v>509</v>
      </c>
      <c r="N270" s="75" t="s">
        <v>535</v>
      </c>
      <c r="O270" s="75" t="s">
        <v>926</v>
      </c>
    </row>
    <row r="271" spans="1:15" ht="15" customHeight="1">
      <c r="A271" s="63" t="s">
        <v>849</v>
      </c>
      <c r="B271" s="14" t="str">
        <f>VLOOKUP(O271,'护理记录单文书字典(数据)'!B$4:C$99,2,0)</f>
        <v>CECCF7340CFAB211B59F8A108DB59D22</v>
      </c>
      <c r="C271" s="87" t="s">
        <v>1241</v>
      </c>
      <c r="D271" s="14" t="s">
        <v>1242</v>
      </c>
      <c r="E271" s="87">
        <v>2</v>
      </c>
      <c r="F271" s="87">
        <v>2</v>
      </c>
      <c r="G271" s="14" t="s">
        <v>1244</v>
      </c>
      <c r="H271" s="75"/>
      <c r="I271" s="75"/>
      <c r="J271" s="75" t="s">
        <v>162</v>
      </c>
      <c r="K271" s="75" t="s">
        <v>509</v>
      </c>
      <c r="L271" s="75" t="s">
        <v>535</v>
      </c>
      <c r="M271" s="75" t="s">
        <v>509</v>
      </c>
      <c r="N271" s="75" t="s">
        <v>535</v>
      </c>
      <c r="O271" s="75" t="s">
        <v>926</v>
      </c>
    </row>
    <row r="272" spans="1:15" ht="15" customHeight="1">
      <c r="A272" s="63" t="s">
        <v>849</v>
      </c>
      <c r="B272" s="14" t="str">
        <f>VLOOKUP(O272,'护理记录单文书字典(数据)'!B$4:C$99,2,0)</f>
        <v>CECCF7340CFAB211B59F8A108DB59D22</v>
      </c>
      <c r="C272" s="87" t="s">
        <v>1241</v>
      </c>
      <c r="D272" s="14" t="s">
        <v>1242</v>
      </c>
      <c r="E272" s="87">
        <v>3</v>
      </c>
      <c r="F272" s="87">
        <v>3</v>
      </c>
      <c r="G272" s="14" t="s">
        <v>1245</v>
      </c>
      <c r="H272" s="75"/>
      <c r="I272" s="75"/>
      <c r="J272" s="75" t="s">
        <v>162</v>
      </c>
      <c r="K272" s="75" t="s">
        <v>509</v>
      </c>
      <c r="L272" s="75" t="s">
        <v>535</v>
      </c>
      <c r="M272" s="75" t="s">
        <v>509</v>
      </c>
      <c r="N272" s="75" t="s">
        <v>535</v>
      </c>
      <c r="O272" s="75" t="s">
        <v>926</v>
      </c>
    </row>
    <row r="273" spans="1:15" ht="15" customHeight="1">
      <c r="A273" s="63" t="s">
        <v>849</v>
      </c>
      <c r="B273" s="14" t="str">
        <f>VLOOKUP(O273,'护理记录单文书字典(数据)'!B$4:C$99,2,0)</f>
        <v>D2B2FF340CFAB211AD9A5F178169A11E</v>
      </c>
      <c r="C273" s="87" t="s">
        <v>1246</v>
      </c>
      <c r="D273" s="14" t="s">
        <v>1247</v>
      </c>
      <c r="E273" s="87">
        <v>1</v>
      </c>
      <c r="F273" s="87">
        <v>1</v>
      </c>
      <c r="G273" s="14" t="s">
        <v>1248</v>
      </c>
      <c r="H273" s="75"/>
      <c r="I273" s="75"/>
      <c r="J273" s="75" t="s">
        <v>162</v>
      </c>
      <c r="K273" s="75" t="s">
        <v>509</v>
      </c>
      <c r="L273" s="75" t="s">
        <v>535</v>
      </c>
      <c r="M273" s="75" t="s">
        <v>509</v>
      </c>
      <c r="N273" s="75" t="s">
        <v>535</v>
      </c>
      <c r="O273" s="159" t="s">
        <v>1249</v>
      </c>
    </row>
    <row r="274" spans="1:15" ht="15" customHeight="1">
      <c r="A274" s="63" t="s">
        <v>849</v>
      </c>
      <c r="B274" s="14" t="str">
        <f>VLOOKUP(O274,'护理记录单文书字典(数据)'!B$4:C$99,2,0)</f>
        <v>D2B2FF340CFAB211AD9A5F178169A11E</v>
      </c>
      <c r="C274" s="87" t="s">
        <v>1246</v>
      </c>
      <c r="D274" s="14" t="s">
        <v>1247</v>
      </c>
      <c r="E274" s="87">
        <v>2</v>
      </c>
      <c r="F274" s="87">
        <v>2</v>
      </c>
      <c r="G274" s="14" t="s">
        <v>1250</v>
      </c>
      <c r="H274" s="75"/>
      <c r="I274" s="75"/>
      <c r="J274" s="75" t="s">
        <v>162</v>
      </c>
      <c r="K274" s="75" t="s">
        <v>509</v>
      </c>
      <c r="L274" s="75" t="s">
        <v>535</v>
      </c>
      <c r="M274" s="75" t="s">
        <v>509</v>
      </c>
      <c r="N274" s="75" t="s">
        <v>535</v>
      </c>
      <c r="O274" s="159" t="s">
        <v>1249</v>
      </c>
    </row>
    <row r="275" spans="1:15" ht="15" customHeight="1">
      <c r="A275" s="63" t="s">
        <v>849</v>
      </c>
      <c r="B275" s="14" t="str">
        <f>VLOOKUP(O275,'护理记录单文书字典(数据)'!B$4:C$99,2,0)</f>
        <v>D2B2FF340CFAB211AD9A5F178169A11E</v>
      </c>
      <c r="C275" s="87" t="s">
        <v>1246</v>
      </c>
      <c r="D275" s="14" t="s">
        <v>1247</v>
      </c>
      <c r="E275" s="87">
        <v>3</v>
      </c>
      <c r="F275" s="87">
        <v>3</v>
      </c>
      <c r="G275" s="14" t="s">
        <v>1251</v>
      </c>
      <c r="H275" s="75"/>
      <c r="I275" s="75"/>
      <c r="J275" s="75" t="s">
        <v>162</v>
      </c>
      <c r="K275" s="75" t="s">
        <v>509</v>
      </c>
      <c r="L275" s="75" t="s">
        <v>535</v>
      </c>
      <c r="M275" s="75" t="s">
        <v>509</v>
      </c>
      <c r="N275" s="75" t="s">
        <v>535</v>
      </c>
      <c r="O275" s="159" t="s">
        <v>1249</v>
      </c>
    </row>
    <row r="276" spans="1:15">
      <c r="A276" s="63" t="s">
        <v>849</v>
      </c>
      <c r="B276" s="14" t="str">
        <f>VLOOKUP(O276,'护理记录单文书字典(数据)'!B$4:C$99,2,0)</f>
        <v>D2B2FF340CFAB211AD9A5F178169A11E</v>
      </c>
      <c r="C276" s="75" t="s">
        <v>1252</v>
      </c>
      <c r="D276" s="14" t="s">
        <v>1253</v>
      </c>
      <c r="E276" s="87">
        <v>1</v>
      </c>
      <c r="F276" s="87">
        <v>1</v>
      </c>
      <c r="G276" s="75" t="s">
        <v>1254</v>
      </c>
      <c r="H276" s="75"/>
      <c r="I276" s="75"/>
      <c r="J276" s="75" t="s">
        <v>162</v>
      </c>
      <c r="K276" s="75" t="s">
        <v>509</v>
      </c>
      <c r="L276" s="75" t="s">
        <v>535</v>
      </c>
      <c r="M276" s="75" t="s">
        <v>509</v>
      </c>
      <c r="N276" s="75" t="s">
        <v>535</v>
      </c>
      <c r="O276" s="159" t="s">
        <v>1249</v>
      </c>
    </row>
    <row r="277" spans="1:15">
      <c r="A277" s="63" t="s">
        <v>849</v>
      </c>
      <c r="B277" s="14" t="str">
        <f>VLOOKUP(O277,'护理记录单文书字典(数据)'!B$4:C$99,2,0)</f>
        <v>D2B2FF340CFAB211AD9A5F178169A11E</v>
      </c>
      <c r="C277" s="75" t="s">
        <v>1252</v>
      </c>
      <c r="D277" s="14" t="s">
        <v>1253</v>
      </c>
      <c r="E277" s="87">
        <v>2</v>
      </c>
      <c r="F277" s="87">
        <v>2</v>
      </c>
      <c r="G277" s="75" t="s">
        <v>1255</v>
      </c>
      <c r="H277" s="75"/>
      <c r="I277" s="75"/>
      <c r="J277" s="75" t="s">
        <v>162</v>
      </c>
      <c r="K277" s="75" t="s">
        <v>509</v>
      </c>
      <c r="L277" s="75" t="s">
        <v>535</v>
      </c>
      <c r="M277" s="75" t="s">
        <v>509</v>
      </c>
      <c r="N277" s="75" t="s">
        <v>535</v>
      </c>
      <c r="O277" s="159" t="s">
        <v>1249</v>
      </c>
    </row>
    <row r="278" spans="1:15">
      <c r="A278" s="63" t="s">
        <v>849</v>
      </c>
      <c r="B278" s="14" t="str">
        <f>VLOOKUP(O278,'护理记录单文书字典(数据)'!B$4:C$99,2,0)</f>
        <v>D2B2FF340CFAB211AD9A5F178169A11E</v>
      </c>
      <c r="C278" s="75" t="s">
        <v>1252</v>
      </c>
      <c r="D278" s="14" t="s">
        <v>1253</v>
      </c>
      <c r="E278" s="87">
        <v>3</v>
      </c>
      <c r="F278" s="87">
        <v>3</v>
      </c>
      <c r="G278" s="75" t="s">
        <v>1256</v>
      </c>
      <c r="H278" s="75"/>
      <c r="I278" s="75"/>
      <c r="J278" s="75" t="s">
        <v>162</v>
      </c>
      <c r="K278" s="75" t="s">
        <v>509</v>
      </c>
      <c r="L278" s="75" t="s">
        <v>535</v>
      </c>
      <c r="M278" s="75" t="s">
        <v>509</v>
      </c>
      <c r="N278" s="75" t="s">
        <v>535</v>
      </c>
      <c r="O278" s="159" t="s">
        <v>1249</v>
      </c>
    </row>
    <row r="279" spans="1:15">
      <c r="A279" s="63" t="s">
        <v>849</v>
      </c>
      <c r="B279" s="14" t="str">
        <f>VLOOKUP(O279,'护理记录单文书字典(数据)'!B$4:C$99,2,0)</f>
        <v>D2B2FF340CFAB211AD9A5F178169A11E</v>
      </c>
      <c r="C279" s="75" t="s">
        <v>1257</v>
      </c>
      <c r="D279" s="14" t="s">
        <v>1258</v>
      </c>
      <c r="E279" s="87">
        <v>1</v>
      </c>
      <c r="F279" s="87">
        <v>1</v>
      </c>
      <c r="G279" s="75" t="s">
        <v>1259</v>
      </c>
      <c r="H279" s="75"/>
      <c r="I279" s="75"/>
      <c r="J279" s="75" t="s">
        <v>162</v>
      </c>
      <c r="K279" s="75" t="s">
        <v>509</v>
      </c>
      <c r="L279" s="75" t="s">
        <v>535</v>
      </c>
      <c r="M279" s="75" t="s">
        <v>509</v>
      </c>
      <c r="N279" s="75" t="s">
        <v>535</v>
      </c>
      <c r="O279" s="159" t="s">
        <v>1249</v>
      </c>
    </row>
    <row r="280" spans="1:15">
      <c r="A280" s="63" t="s">
        <v>849</v>
      </c>
      <c r="B280" s="14" t="str">
        <f>VLOOKUP(O280,'护理记录单文书字典(数据)'!B$4:C$99,2,0)</f>
        <v>D2B2FF340CFAB211AD9A5F178169A11E</v>
      </c>
      <c r="C280" s="75" t="s">
        <v>1257</v>
      </c>
      <c r="D280" s="14" t="s">
        <v>1258</v>
      </c>
      <c r="E280" s="87">
        <v>2</v>
      </c>
      <c r="F280" s="87">
        <v>2</v>
      </c>
      <c r="G280" s="75" t="s">
        <v>1260</v>
      </c>
      <c r="H280" s="75"/>
      <c r="I280" s="75"/>
      <c r="J280" s="75" t="s">
        <v>162</v>
      </c>
      <c r="K280" s="75" t="s">
        <v>509</v>
      </c>
      <c r="L280" s="75" t="s">
        <v>535</v>
      </c>
      <c r="M280" s="75" t="s">
        <v>509</v>
      </c>
      <c r="N280" s="75" t="s">
        <v>535</v>
      </c>
      <c r="O280" s="159" t="s">
        <v>1249</v>
      </c>
    </row>
    <row r="281" spans="1:15">
      <c r="A281" s="63" t="s">
        <v>849</v>
      </c>
      <c r="B281" s="14" t="str">
        <f>VLOOKUP(O281,'护理记录单文书字典(数据)'!B$4:C$99,2,0)</f>
        <v>D2B2FF340CFAB211AD9A5F178169A11E</v>
      </c>
      <c r="C281" s="75" t="s">
        <v>1257</v>
      </c>
      <c r="D281" s="14" t="s">
        <v>1258</v>
      </c>
      <c r="E281" s="87">
        <v>3</v>
      </c>
      <c r="F281" s="87">
        <v>3</v>
      </c>
      <c r="G281" s="75" t="s">
        <v>1261</v>
      </c>
      <c r="H281" s="75"/>
      <c r="I281" s="75"/>
      <c r="J281" s="75" t="s">
        <v>162</v>
      </c>
      <c r="K281" s="75" t="s">
        <v>509</v>
      </c>
      <c r="L281" s="75" t="s">
        <v>535</v>
      </c>
      <c r="M281" s="75" t="s">
        <v>509</v>
      </c>
      <c r="N281" s="75" t="s">
        <v>535</v>
      </c>
      <c r="O281" s="159" t="s">
        <v>1249</v>
      </c>
    </row>
    <row r="282" spans="1:15">
      <c r="A282" s="63" t="s">
        <v>849</v>
      </c>
      <c r="B282" s="14" t="str">
        <f>VLOOKUP(O282,'护理记录单文书字典(数据)'!B$4:C$99,2,0)</f>
        <v>D2B2FF340CFAB211AD9A5F178169A11E</v>
      </c>
      <c r="C282" s="75" t="s">
        <v>1262</v>
      </c>
      <c r="D282" s="75" t="s">
        <v>1263</v>
      </c>
      <c r="E282" s="92">
        <v>1</v>
      </c>
      <c r="F282" s="92">
        <v>1</v>
      </c>
      <c r="G282" s="75" t="s">
        <v>1264</v>
      </c>
      <c r="H282" s="75"/>
      <c r="I282" s="75"/>
      <c r="J282" s="75" t="s">
        <v>162</v>
      </c>
      <c r="K282" s="75" t="s">
        <v>509</v>
      </c>
      <c r="L282" s="75" t="s">
        <v>535</v>
      </c>
      <c r="M282" s="75" t="s">
        <v>509</v>
      </c>
      <c r="N282" s="75" t="s">
        <v>535</v>
      </c>
      <c r="O282" s="159" t="s">
        <v>1249</v>
      </c>
    </row>
    <row r="283" spans="1:15">
      <c r="A283" s="63" t="s">
        <v>849</v>
      </c>
      <c r="B283" s="14" t="str">
        <f>VLOOKUP(O283,'护理记录单文书字典(数据)'!B$4:C$99,2,0)</f>
        <v>D2B2FF340CFAB211AD9A5F178169A11E</v>
      </c>
      <c r="C283" s="75" t="s">
        <v>1262</v>
      </c>
      <c r="D283" s="75" t="s">
        <v>1263</v>
      </c>
      <c r="E283" s="92">
        <v>2</v>
      </c>
      <c r="F283" s="92">
        <v>2</v>
      </c>
      <c r="G283" s="75" t="s">
        <v>1265</v>
      </c>
      <c r="H283" s="75"/>
      <c r="I283" s="75"/>
      <c r="J283" s="75" t="s">
        <v>162</v>
      </c>
      <c r="K283" s="75" t="s">
        <v>509</v>
      </c>
      <c r="L283" s="75" t="s">
        <v>535</v>
      </c>
      <c r="M283" s="75" t="s">
        <v>509</v>
      </c>
      <c r="N283" s="75" t="s">
        <v>535</v>
      </c>
      <c r="O283" s="159" t="s">
        <v>1249</v>
      </c>
    </row>
    <row r="284" spans="1:15">
      <c r="A284" s="63" t="s">
        <v>849</v>
      </c>
      <c r="B284" s="14" t="str">
        <f>VLOOKUP(O284,'护理记录单文书字典(数据)'!B$4:C$99,2,0)</f>
        <v>D2B2FF340CFAB211AD9A5F178169A11E</v>
      </c>
      <c r="C284" s="75" t="s">
        <v>1262</v>
      </c>
      <c r="D284" s="75" t="s">
        <v>1263</v>
      </c>
      <c r="E284" s="92">
        <v>3</v>
      </c>
      <c r="F284" s="92">
        <v>3</v>
      </c>
      <c r="G284" s="75" t="s">
        <v>1092</v>
      </c>
      <c r="H284" s="75"/>
      <c r="I284" s="75"/>
      <c r="J284" s="75" t="s">
        <v>162</v>
      </c>
      <c r="K284" s="75" t="s">
        <v>509</v>
      </c>
      <c r="L284" s="75" t="s">
        <v>535</v>
      </c>
      <c r="M284" s="75" t="s">
        <v>509</v>
      </c>
      <c r="N284" s="75" t="s">
        <v>535</v>
      </c>
      <c r="O284" s="159" t="s">
        <v>1249</v>
      </c>
    </row>
    <row r="285" spans="1:15">
      <c r="A285" s="63" t="s">
        <v>849</v>
      </c>
      <c r="B285" s="14" t="str">
        <f>VLOOKUP(O285,'护理记录单文书字典(数据)'!B$4:C$99,2,0)</f>
        <v>D2B2FF340CFAB211AD9A5F178169A11E</v>
      </c>
      <c r="C285" s="75" t="s">
        <v>1266</v>
      </c>
      <c r="D285" s="75" t="s">
        <v>1267</v>
      </c>
      <c r="E285" s="92">
        <v>1</v>
      </c>
      <c r="F285" s="92">
        <v>1</v>
      </c>
      <c r="G285" s="75" t="s">
        <v>1096</v>
      </c>
      <c r="H285" s="75"/>
      <c r="I285" s="75"/>
      <c r="J285" s="75" t="s">
        <v>162</v>
      </c>
      <c r="K285" s="75" t="s">
        <v>509</v>
      </c>
      <c r="L285" s="75" t="s">
        <v>535</v>
      </c>
      <c r="M285" s="75" t="s">
        <v>509</v>
      </c>
      <c r="N285" s="75" t="s">
        <v>535</v>
      </c>
      <c r="O285" s="159" t="s">
        <v>1249</v>
      </c>
    </row>
    <row r="286" spans="1:15">
      <c r="A286" s="63" t="s">
        <v>849</v>
      </c>
      <c r="B286" s="14" t="str">
        <f>VLOOKUP(O286,'护理记录单文书字典(数据)'!B$4:C$99,2,0)</f>
        <v>D2B2FF340CFAB211AD9A5F178169A11E</v>
      </c>
      <c r="C286" s="75" t="s">
        <v>1266</v>
      </c>
      <c r="D286" s="75" t="s">
        <v>1267</v>
      </c>
      <c r="E286" s="92">
        <v>2</v>
      </c>
      <c r="F286" s="92">
        <v>2</v>
      </c>
      <c r="G286" s="75" t="s">
        <v>1097</v>
      </c>
      <c r="H286" s="75"/>
      <c r="I286" s="75"/>
      <c r="J286" s="75" t="s">
        <v>162</v>
      </c>
      <c r="K286" s="75" t="s">
        <v>509</v>
      </c>
      <c r="L286" s="75" t="s">
        <v>535</v>
      </c>
      <c r="M286" s="75" t="s">
        <v>509</v>
      </c>
      <c r="N286" s="75" t="s">
        <v>535</v>
      </c>
      <c r="O286" s="159" t="s">
        <v>1249</v>
      </c>
    </row>
    <row r="287" spans="1:15">
      <c r="A287" s="63" t="s">
        <v>849</v>
      </c>
      <c r="B287" s="14" t="str">
        <f>VLOOKUP(O287,'护理记录单文书字典(数据)'!B$4:C$99,2,0)</f>
        <v>D2B2FF340CFAB211AD9A5F178169A11E</v>
      </c>
      <c r="C287" s="75" t="s">
        <v>1266</v>
      </c>
      <c r="D287" s="75" t="s">
        <v>1267</v>
      </c>
      <c r="E287" s="92">
        <v>3</v>
      </c>
      <c r="F287" s="92">
        <v>3</v>
      </c>
      <c r="G287" s="75" t="s">
        <v>1256</v>
      </c>
      <c r="H287" s="75"/>
      <c r="I287" s="75"/>
      <c r="J287" s="75" t="s">
        <v>162</v>
      </c>
      <c r="K287" s="75" t="s">
        <v>509</v>
      </c>
      <c r="L287" s="75" t="s">
        <v>535</v>
      </c>
      <c r="M287" s="75" t="s">
        <v>509</v>
      </c>
      <c r="N287" s="75" t="s">
        <v>535</v>
      </c>
      <c r="O287" s="159" t="s">
        <v>1249</v>
      </c>
    </row>
    <row r="288" spans="1:15">
      <c r="A288" s="63" t="s">
        <v>849</v>
      </c>
      <c r="B288" s="14" t="str">
        <f>VLOOKUP(O288,'护理记录单文书字典(数据)'!B$4:C$99,2,0)</f>
        <v>D2B2FF340CFAB211AD9A5F178169A11E</v>
      </c>
      <c r="C288" s="75" t="s">
        <v>1266</v>
      </c>
      <c r="D288" s="75" t="s">
        <v>1267</v>
      </c>
      <c r="E288" s="92">
        <v>4</v>
      </c>
      <c r="F288" s="92">
        <v>4</v>
      </c>
      <c r="G288" s="75" t="s">
        <v>1093</v>
      </c>
      <c r="H288" s="75"/>
      <c r="I288" s="75"/>
      <c r="J288" s="75" t="s">
        <v>162</v>
      </c>
      <c r="K288" s="75" t="s">
        <v>509</v>
      </c>
      <c r="L288" s="75" t="s">
        <v>535</v>
      </c>
      <c r="M288" s="75" t="s">
        <v>509</v>
      </c>
      <c r="N288" s="75" t="s">
        <v>535</v>
      </c>
      <c r="O288" s="159" t="s">
        <v>1249</v>
      </c>
    </row>
    <row r="289" spans="1:15">
      <c r="A289" s="63" t="s">
        <v>849</v>
      </c>
      <c r="B289" s="14" t="str">
        <f>VLOOKUP(O289,'护理记录单文书字典(数据)'!B$4:C$99,2,0)</f>
        <v>D2B2FF340CFAB211AD9A5F178169A11E</v>
      </c>
      <c r="C289" s="87" t="s">
        <v>1216</v>
      </c>
      <c r="D289" s="14" t="s">
        <v>1217</v>
      </c>
      <c r="E289" s="87">
        <v>1</v>
      </c>
      <c r="F289" s="87">
        <v>1</v>
      </c>
      <c r="G289" s="14" t="s">
        <v>1218</v>
      </c>
      <c r="H289" s="75"/>
      <c r="I289" s="75"/>
      <c r="J289" s="75" t="s">
        <v>162</v>
      </c>
      <c r="K289" s="75" t="s">
        <v>509</v>
      </c>
      <c r="L289" s="75" t="s">
        <v>535</v>
      </c>
      <c r="M289" s="75" t="s">
        <v>509</v>
      </c>
      <c r="N289" s="75" t="s">
        <v>535</v>
      </c>
      <c r="O289" s="159" t="s">
        <v>1249</v>
      </c>
    </row>
    <row r="290" spans="1:15">
      <c r="A290" s="63" t="s">
        <v>849</v>
      </c>
      <c r="B290" s="14" t="str">
        <f>VLOOKUP(O290,'护理记录单文书字典(数据)'!B$4:C$99,2,0)</f>
        <v>D2B2FF340CFAB211AD9A5F178169A11E</v>
      </c>
      <c r="C290" s="87" t="s">
        <v>1216</v>
      </c>
      <c r="D290" s="14" t="s">
        <v>1217</v>
      </c>
      <c r="E290" s="87">
        <v>2</v>
      </c>
      <c r="F290" s="87">
        <v>2</v>
      </c>
      <c r="G290" s="14" t="s">
        <v>1219</v>
      </c>
      <c r="H290" s="75"/>
      <c r="I290" s="75"/>
      <c r="J290" s="75" t="s">
        <v>162</v>
      </c>
      <c r="K290" s="75" t="s">
        <v>509</v>
      </c>
      <c r="L290" s="75" t="s">
        <v>535</v>
      </c>
      <c r="M290" s="75" t="s">
        <v>509</v>
      </c>
      <c r="N290" s="75" t="s">
        <v>535</v>
      </c>
      <c r="O290" s="159" t="s">
        <v>1249</v>
      </c>
    </row>
    <row r="291" spans="1:15">
      <c r="A291" s="63" t="s">
        <v>849</v>
      </c>
      <c r="B291" s="14" t="str">
        <f>VLOOKUP(O291,'护理记录单文书字典(数据)'!B$4:C$99,2,0)</f>
        <v>D2B2FF340CFAB211AD9A5F178169A11E</v>
      </c>
      <c r="C291" s="87" t="s">
        <v>1216</v>
      </c>
      <c r="D291" s="14" t="s">
        <v>1217</v>
      </c>
      <c r="E291" s="87">
        <v>3</v>
      </c>
      <c r="F291" s="87">
        <v>3</v>
      </c>
      <c r="G291" s="14" t="s">
        <v>1220</v>
      </c>
      <c r="H291" s="75"/>
      <c r="I291" s="75"/>
      <c r="J291" s="75" t="s">
        <v>162</v>
      </c>
      <c r="K291" s="75" t="s">
        <v>509</v>
      </c>
      <c r="L291" s="75" t="s">
        <v>535</v>
      </c>
      <c r="M291" s="75" t="s">
        <v>509</v>
      </c>
      <c r="N291" s="75" t="s">
        <v>535</v>
      </c>
      <c r="O291" s="159" t="s">
        <v>1249</v>
      </c>
    </row>
    <row r="292" spans="1:15">
      <c r="A292" s="63" t="s">
        <v>849</v>
      </c>
      <c r="B292" s="14" t="str">
        <f>VLOOKUP(O292,'护理记录单文书字典(数据)'!B$4:C$99,2,0)</f>
        <v>D2B2FF340CFAB211AD9A5F178169A11E</v>
      </c>
      <c r="C292" s="87" t="s">
        <v>1221</v>
      </c>
      <c r="D292" s="14" t="s">
        <v>1222</v>
      </c>
      <c r="E292" s="87">
        <v>1</v>
      </c>
      <c r="F292" s="87">
        <v>1</v>
      </c>
      <c r="G292" s="14" t="s">
        <v>1096</v>
      </c>
      <c r="H292" s="75"/>
      <c r="I292" s="75"/>
      <c r="J292" s="75" t="s">
        <v>162</v>
      </c>
      <c r="K292" s="75" t="s">
        <v>509</v>
      </c>
      <c r="L292" s="75" t="s">
        <v>535</v>
      </c>
      <c r="M292" s="75" t="s">
        <v>509</v>
      </c>
      <c r="N292" s="75" t="s">
        <v>535</v>
      </c>
      <c r="O292" s="159" t="s">
        <v>1249</v>
      </c>
    </row>
    <row r="293" spans="1:15">
      <c r="A293" s="63" t="s">
        <v>849</v>
      </c>
      <c r="B293" s="14" t="str">
        <f>VLOOKUP(O293,'护理记录单文书字典(数据)'!B$4:C$99,2,0)</f>
        <v>D2B2FF340CFAB211AD9A5F178169A11E</v>
      </c>
      <c r="C293" s="87" t="s">
        <v>1221</v>
      </c>
      <c r="D293" s="14" t="s">
        <v>1222</v>
      </c>
      <c r="E293" s="87">
        <v>2</v>
      </c>
      <c r="F293" s="87">
        <v>2</v>
      </c>
      <c r="G293" s="14" t="s">
        <v>1223</v>
      </c>
      <c r="H293" s="75"/>
      <c r="I293" s="75"/>
      <c r="J293" s="75" t="s">
        <v>162</v>
      </c>
      <c r="K293" s="75" t="s">
        <v>509</v>
      </c>
      <c r="L293" s="75" t="s">
        <v>535</v>
      </c>
      <c r="M293" s="75" t="s">
        <v>509</v>
      </c>
      <c r="N293" s="75" t="s">
        <v>535</v>
      </c>
      <c r="O293" s="159" t="s">
        <v>1249</v>
      </c>
    </row>
    <row r="294" spans="1:15">
      <c r="A294" s="63" t="s">
        <v>849</v>
      </c>
      <c r="B294" s="14" t="str">
        <f>VLOOKUP(O294,'护理记录单文书字典(数据)'!B$4:C$99,2,0)</f>
        <v>D2B2FF340CFAB211AD9A5F178169A11E</v>
      </c>
      <c r="C294" s="75" t="s">
        <v>1268</v>
      </c>
      <c r="D294" s="75" t="s">
        <v>1269</v>
      </c>
      <c r="E294" s="92">
        <v>1</v>
      </c>
      <c r="F294" s="92">
        <v>1</v>
      </c>
      <c r="G294" s="75" t="s">
        <v>1117</v>
      </c>
      <c r="H294" s="75"/>
      <c r="I294" s="75"/>
      <c r="J294" s="75" t="s">
        <v>162</v>
      </c>
      <c r="K294" s="75" t="s">
        <v>509</v>
      </c>
      <c r="L294" s="75" t="s">
        <v>535</v>
      </c>
      <c r="M294" s="75" t="s">
        <v>509</v>
      </c>
      <c r="N294" s="75" t="s">
        <v>535</v>
      </c>
      <c r="O294" s="159" t="s">
        <v>1249</v>
      </c>
    </row>
    <row r="295" spans="1:15">
      <c r="A295" s="63" t="s">
        <v>849</v>
      </c>
      <c r="B295" s="14" t="str">
        <f>VLOOKUP(O295,'护理记录单文书字典(数据)'!B$4:C$99,2,0)</f>
        <v>D2B2FF340CFAB211AD9A5F178169A11E</v>
      </c>
      <c r="C295" s="75" t="s">
        <v>1268</v>
      </c>
      <c r="D295" s="75" t="s">
        <v>1269</v>
      </c>
      <c r="E295" s="92">
        <v>2</v>
      </c>
      <c r="F295" s="92">
        <v>2</v>
      </c>
      <c r="G295" s="75" t="s">
        <v>1112</v>
      </c>
      <c r="H295" s="75"/>
      <c r="I295" s="75"/>
      <c r="J295" s="75" t="s">
        <v>162</v>
      </c>
      <c r="K295" s="75" t="s">
        <v>509</v>
      </c>
      <c r="L295" s="75" t="s">
        <v>535</v>
      </c>
      <c r="M295" s="75" t="s">
        <v>509</v>
      </c>
      <c r="N295" s="75" t="s">
        <v>535</v>
      </c>
      <c r="O295" s="159" t="s">
        <v>1249</v>
      </c>
    </row>
    <row r="296" spans="1:15">
      <c r="A296" s="63" t="s">
        <v>849</v>
      </c>
      <c r="B296" s="14" t="str">
        <f>VLOOKUP(O296,'护理记录单文书字典(数据)'!B$4:C$99,2,0)</f>
        <v>D2B2FF340CFAB211AD9A5F178169A11E</v>
      </c>
      <c r="C296" s="75" t="s">
        <v>1268</v>
      </c>
      <c r="D296" s="75" t="s">
        <v>1269</v>
      </c>
      <c r="E296" s="92">
        <v>3</v>
      </c>
      <c r="F296" s="92">
        <v>3</v>
      </c>
      <c r="G296" s="75" t="s">
        <v>1116</v>
      </c>
      <c r="H296" s="75"/>
      <c r="I296" s="75"/>
      <c r="J296" s="75" t="s">
        <v>162</v>
      </c>
      <c r="K296" s="75" t="s">
        <v>509</v>
      </c>
      <c r="L296" s="75" t="s">
        <v>535</v>
      </c>
      <c r="M296" s="75" t="s">
        <v>509</v>
      </c>
      <c r="N296" s="75" t="s">
        <v>535</v>
      </c>
      <c r="O296" s="159" t="s">
        <v>1249</v>
      </c>
    </row>
    <row r="297" spans="1:15">
      <c r="A297" s="63" t="s">
        <v>849</v>
      </c>
      <c r="B297" s="14" t="str">
        <f>VLOOKUP(O297,'护理记录单文书字典(数据)'!B$4:C$99,2,0)</f>
        <v>D2B2FF340CFAB211AD9A5F178169A11E</v>
      </c>
      <c r="C297" s="75" t="s">
        <v>1270</v>
      </c>
      <c r="D297" s="14" t="s">
        <v>1271</v>
      </c>
      <c r="E297" s="92">
        <v>1</v>
      </c>
      <c r="F297" s="92">
        <v>1</v>
      </c>
      <c r="G297" s="75" t="s">
        <v>1229</v>
      </c>
      <c r="H297" s="75"/>
      <c r="I297" s="75"/>
      <c r="J297" s="75" t="s">
        <v>162</v>
      </c>
      <c r="K297" s="75" t="s">
        <v>509</v>
      </c>
      <c r="L297" s="75" t="s">
        <v>535</v>
      </c>
      <c r="M297" s="75" t="s">
        <v>509</v>
      </c>
      <c r="N297" s="75" t="s">
        <v>535</v>
      </c>
      <c r="O297" s="159" t="s">
        <v>1249</v>
      </c>
    </row>
    <row r="298" spans="1:15">
      <c r="A298" s="63" t="s">
        <v>849</v>
      </c>
      <c r="B298" s="14" t="str">
        <f>VLOOKUP(O298,'护理记录单文书字典(数据)'!B$4:C$99,2,0)</f>
        <v>D2B2FF340CFAB211AD9A5F178169A11E</v>
      </c>
      <c r="C298" s="75" t="s">
        <v>1270</v>
      </c>
      <c r="D298" s="14" t="s">
        <v>1271</v>
      </c>
      <c r="E298" s="92">
        <v>2</v>
      </c>
      <c r="F298" s="92">
        <v>2</v>
      </c>
      <c r="G298" s="75" t="s">
        <v>1230</v>
      </c>
      <c r="H298" s="75"/>
      <c r="I298" s="75"/>
      <c r="J298" s="75" t="s">
        <v>162</v>
      </c>
      <c r="K298" s="75" t="s">
        <v>509</v>
      </c>
      <c r="L298" s="75" t="s">
        <v>535</v>
      </c>
      <c r="M298" s="75" t="s">
        <v>509</v>
      </c>
      <c r="N298" s="75" t="s">
        <v>535</v>
      </c>
      <c r="O298" s="159" t="s">
        <v>1249</v>
      </c>
    </row>
    <row r="299" spans="1:15">
      <c r="A299" s="63" t="s">
        <v>849</v>
      </c>
      <c r="B299" s="14" t="str">
        <f>VLOOKUP(O299,'护理记录单文书字典(数据)'!B$4:C$99,2,0)</f>
        <v>D2B2FF340CFAB211AD9A5F178169A11E</v>
      </c>
      <c r="C299" s="75" t="s">
        <v>1270</v>
      </c>
      <c r="D299" s="14" t="s">
        <v>1271</v>
      </c>
      <c r="E299" s="92">
        <v>3</v>
      </c>
      <c r="F299" s="92">
        <v>3</v>
      </c>
      <c r="G299" s="75" t="s">
        <v>1231</v>
      </c>
      <c r="H299" s="75"/>
      <c r="I299" s="75"/>
      <c r="J299" s="75" t="s">
        <v>162</v>
      </c>
      <c r="K299" s="75" t="s">
        <v>509</v>
      </c>
      <c r="L299" s="75" t="s">
        <v>535</v>
      </c>
      <c r="M299" s="75" t="s">
        <v>509</v>
      </c>
      <c r="N299" s="75" t="s">
        <v>535</v>
      </c>
      <c r="O299" s="159" t="s">
        <v>1249</v>
      </c>
    </row>
    <row r="300" spans="1:15">
      <c r="A300" s="63" t="s">
        <v>849</v>
      </c>
      <c r="B300" s="14" t="str">
        <f>VLOOKUP(O300,'护理记录单文书字典(数据)'!B$4:C$99,2,0)</f>
        <v>D2B2FF340CFAB211AD9A5F178169A11E</v>
      </c>
      <c r="C300" s="75" t="s">
        <v>1272</v>
      </c>
      <c r="D300" s="75" t="s">
        <v>1273</v>
      </c>
      <c r="E300" s="92">
        <v>1</v>
      </c>
      <c r="F300" s="92">
        <v>1</v>
      </c>
      <c r="G300" s="75" t="s">
        <v>1234</v>
      </c>
      <c r="H300" s="75"/>
      <c r="I300" s="75"/>
      <c r="J300" s="75" t="s">
        <v>162</v>
      </c>
      <c r="K300" s="75" t="s">
        <v>509</v>
      </c>
      <c r="L300" s="75" t="s">
        <v>535</v>
      </c>
      <c r="M300" s="75" t="s">
        <v>509</v>
      </c>
      <c r="N300" s="75" t="s">
        <v>535</v>
      </c>
      <c r="O300" s="159" t="s">
        <v>1249</v>
      </c>
    </row>
    <row r="301" spans="1:15">
      <c r="A301" s="63" t="s">
        <v>849</v>
      </c>
      <c r="B301" s="14" t="str">
        <f>VLOOKUP(O301,'护理记录单文书字典(数据)'!B$4:C$99,2,0)</f>
        <v>D2B2FF340CFAB211AD9A5F178169A11E</v>
      </c>
      <c r="C301" s="75" t="s">
        <v>1272</v>
      </c>
      <c r="D301" s="75" t="s">
        <v>1273</v>
      </c>
      <c r="E301" s="92">
        <v>2</v>
      </c>
      <c r="F301" s="92">
        <v>2</v>
      </c>
      <c r="G301" s="75" t="s">
        <v>1230</v>
      </c>
      <c r="H301" s="75"/>
      <c r="I301" s="75"/>
      <c r="J301" s="75" t="s">
        <v>162</v>
      </c>
      <c r="K301" s="75" t="s">
        <v>509</v>
      </c>
      <c r="L301" s="75" t="s">
        <v>535</v>
      </c>
      <c r="M301" s="75" t="s">
        <v>509</v>
      </c>
      <c r="N301" s="75" t="s">
        <v>535</v>
      </c>
      <c r="O301" s="159" t="s">
        <v>1249</v>
      </c>
    </row>
    <row r="302" spans="1:15">
      <c r="A302" s="63" t="s">
        <v>849</v>
      </c>
      <c r="B302" s="14" t="str">
        <f>VLOOKUP(O302,'护理记录单文书字典(数据)'!B$4:C$99,2,0)</f>
        <v>D2B2FF340CFAB211AD9A5F178169A11E</v>
      </c>
      <c r="C302" s="75" t="s">
        <v>1272</v>
      </c>
      <c r="D302" s="75" t="s">
        <v>1273</v>
      </c>
      <c r="E302" s="92">
        <v>3</v>
      </c>
      <c r="F302" s="92">
        <v>3</v>
      </c>
      <c r="G302" s="75" t="s">
        <v>1235</v>
      </c>
      <c r="H302" s="75"/>
      <c r="I302" s="75"/>
      <c r="J302" s="75" t="s">
        <v>162</v>
      </c>
      <c r="K302" s="75" t="s">
        <v>509</v>
      </c>
      <c r="L302" s="75" t="s">
        <v>535</v>
      </c>
      <c r="M302" s="75" t="s">
        <v>509</v>
      </c>
      <c r="N302" s="75" t="s">
        <v>535</v>
      </c>
      <c r="O302" s="159" t="s">
        <v>1249</v>
      </c>
    </row>
    <row r="303" spans="1:15">
      <c r="A303" s="63" t="s">
        <v>849</v>
      </c>
      <c r="B303" s="14" t="str">
        <f>VLOOKUP(O303,'护理记录单文书字典(数据)'!B$4:C$99,2,0)</f>
        <v>D2B2FF340CFAB211AD9A5F178169A11E</v>
      </c>
      <c r="C303" s="75" t="s">
        <v>1274</v>
      </c>
      <c r="D303" s="75" t="s">
        <v>1275</v>
      </c>
      <c r="E303" s="92">
        <v>1</v>
      </c>
      <c r="F303" s="92">
        <v>1</v>
      </c>
      <c r="G303" s="75" t="s">
        <v>1276</v>
      </c>
      <c r="H303" s="75"/>
      <c r="I303" s="75"/>
      <c r="J303" s="75" t="s">
        <v>162</v>
      </c>
      <c r="K303" s="75" t="s">
        <v>509</v>
      </c>
      <c r="L303" s="75" t="s">
        <v>535</v>
      </c>
      <c r="M303" s="75" t="s">
        <v>509</v>
      </c>
      <c r="N303" s="75" t="s">
        <v>535</v>
      </c>
      <c r="O303" s="159" t="s">
        <v>1249</v>
      </c>
    </row>
    <row r="304" spans="1:15">
      <c r="A304" s="63" t="s">
        <v>849</v>
      </c>
      <c r="B304" s="14" t="str">
        <f>VLOOKUP(O304,'护理记录单文书字典(数据)'!B$4:C$99,2,0)</f>
        <v>D2B2FF340CFAB211AD9A5F178169A11E</v>
      </c>
      <c r="C304" s="75" t="s">
        <v>1274</v>
      </c>
      <c r="D304" s="75" t="s">
        <v>1275</v>
      </c>
      <c r="E304" s="92">
        <v>2</v>
      </c>
      <c r="F304" s="92">
        <v>2</v>
      </c>
      <c r="G304" s="75" t="s">
        <v>1230</v>
      </c>
      <c r="H304" s="75"/>
      <c r="I304" s="75"/>
      <c r="J304" s="75" t="s">
        <v>162</v>
      </c>
      <c r="K304" s="75" t="s">
        <v>509</v>
      </c>
      <c r="L304" s="75" t="s">
        <v>535</v>
      </c>
      <c r="M304" s="75" t="s">
        <v>509</v>
      </c>
      <c r="N304" s="75" t="s">
        <v>535</v>
      </c>
      <c r="O304" s="159" t="s">
        <v>1249</v>
      </c>
    </row>
    <row r="305" spans="1:15">
      <c r="A305" s="63" t="s">
        <v>849</v>
      </c>
      <c r="B305" s="14" t="str">
        <f>VLOOKUP(O305,'护理记录单文书字典(数据)'!B$4:C$99,2,0)</f>
        <v>D2B2FF340CFAB211AD9A5F178169A11E</v>
      </c>
      <c r="C305" s="75" t="s">
        <v>1274</v>
      </c>
      <c r="D305" s="75" t="s">
        <v>1275</v>
      </c>
      <c r="E305" s="92">
        <v>3</v>
      </c>
      <c r="F305" s="92">
        <v>3</v>
      </c>
      <c r="G305" s="75" t="s">
        <v>1199</v>
      </c>
      <c r="H305" s="75"/>
      <c r="I305" s="75"/>
      <c r="J305" s="75" t="s">
        <v>162</v>
      </c>
      <c r="K305" s="75" t="s">
        <v>509</v>
      </c>
      <c r="L305" s="75" t="s">
        <v>535</v>
      </c>
      <c r="M305" s="75" t="s">
        <v>509</v>
      </c>
      <c r="N305" s="75" t="s">
        <v>535</v>
      </c>
      <c r="O305" s="159" t="s">
        <v>1249</v>
      </c>
    </row>
    <row r="306" spans="1:15">
      <c r="A306" s="63" t="s">
        <v>849</v>
      </c>
      <c r="B306" s="14" t="str">
        <f>VLOOKUP(O306,'护理记录单文书字典(数据)'!B$4:C$99,2,0)</f>
        <v>D2B2FF340CFAB211AD9A5F178169A11E</v>
      </c>
      <c r="C306" s="170" t="s">
        <v>3494</v>
      </c>
      <c r="D306" s="170" t="s">
        <v>3495</v>
      </c>
      <c r="E306" s="171">
        <v>1</v>
      </c>
      <c r="F306" s="171">
        <v>0</v>
      </c>
      <c r="G306" s="170" t="s">
        <v>961</v>
      </c>
      <c r="H306" s="170"/>
      <c r="I306" s="170"/>
      <c r="J306" s="170" t="s">
        <v>162</v>
      </c>
      <c r="K306" s="170" t="s">
        <v>509</v>
      </c>
      <c r="L306" s="170" t="s">
        <v>535</v>
      </c>
      <c r="M306" s="170" t="s">
        <v>509</v>
      </c>
      <c r="N306" s="170" t="s">
        <v>535</v>
      </c>
      <c r="O306" s="170" t="s">
        <v>3496</v>
      </c>
    </row>
    <row r="307" spans="1:15">
      <c r="A307" s="63" t="s">
        <v>849</v>
      </c>
      <c r="B307" s="14" t="str">
        <f>VLOOKUP(O307,'护理记录单文书字典(数据)'!B$4:C$99,2,0)</f>
        <v>D2B2FF340CFAB211AD9A5F178169A11E</v>
      </c>
      <c r="C307" s="170" t="s">
        <v>3494</v>
      </c>
      <c r="D307" s="170" t="s">
        <v>3495</v>
      </c>
      <c r="E307" s="171">
        <v>2</v>
      </c>
      <c r="F307" s="171">
        <v>1</v>
      </c>
      <c r="G307" s="170" t="s">
        <v>962</v>
      </c>
      <c r="H307" s="170"/>
      <c r="I307" s="170"/>
      <c r="J307" s="170" t="s">
        <v>162</v>
      </c>
      <c r="K307" s="170" t="s">
        <v>509</v>
      </c>
      <c r="L307" s="170" t="s">
        <v>535</v>
      </c>
      <c r="M307" s="170" t="s">
        <v>509</v>
      </c>
      <c r="N307" s="170" t="s">
        <v>535</v>
      </c>
      <c r="O307" s="170" t="s">
        <v>1249</v>
      </c>
    </row>
    <row r="308" spans="1:15">
      <c r="A308" s="63" t="s">
        <v>849</v>
      </c>
      <c r="B308" s="14" t="str">
        <f>VLOOKUP(O308,'护理记录单文书字典(数据)'!B$4:C$99,2,0)</f>
        <v>D2B2FF340CFAB211AD9A5F178169A11E</v>
      </c>
      <c r="C308" s="170" t="s">
        <v>3497</v>
      </c>
      <c r="D308" s="170" t="s">
        <v>3498</v>
      </c>
      <c r="E308" s="171">
        <v>1</v>
      </c>
      <c r="F308" s="171">
        <v>0</v>
      </c>
      <c r="G308" s="170" t="s">
        <v>192</v>
      </c>
      <c r="H308" s="170"/>
      <c r="I308" s="170"/>
      <c r="J308" s="170" t="s">
        <v>162</v>
      </c>
      <c r="K308" s="170" t="s">
        <v>509</v>
      </c>
      <c r="L308" s="170" t="s">
        <v>535</v>
      </c>
      <c r="M308" s="170" t="s">
        <v>509</v>
      </c>
      <c r="N308" s="170" t="s">
        <v>535</v>
      </c>
      <c r="O308" s="170" t="s">
        <v>1249</v>
      </c>
    </row>
    <row r="309" spans="1:15">
      <c r="A309" s="63" t="s">
        <v>849</v>
      </c>
      <c r="B309" s="14" t="str">
        <f>VLOOKUP(O309,'护理记录单文书字典(数据)'!B$4:C$99,2,0)</f>
        <v>D2B2FF340CFAB211AD9A5F178169A11E</v>
      </c>
      <c r="C309" s="170" t="s">
        <v>3497</v>
      </c>
      <c r="D309" s="170" t="s">
        <v>3498</v>
      </c>
      <c r="E309" s="171">
        <v>2</v>
      </c>
      <c r="F309" s="171">
        <v>1</v>
      </c>
      <c r="G309" s="170" t="s">
        <v>191</v>
      </c>
      <c r="H309" s="170"/>
      <c r="I309" s="170"/>
      <c r="J309" s="170" t="s">
        <v>162</v>
      </c>
      <c r="K309" s="170" t="s">
        <v>509</v>
      </c>
      <c r="L309" s="170" t="s">
        <v>535</v>
      </c>
      <c r="M309" s="170" t="s">
        <v>509</v>
      </c>
      <c r="N309" s="170" t="s">
        <v>535</v>
      </c>
      <c r="O309" s="170" t="s">
        <v>1249</v>
      </c>
    </row>
    <row r="310" spans="1:15">
      <c r="A310" s="63" t="s">
        <v>849</v>
      </c>
      <c r="B310" s="14" t="str">
        <f>VLOOKUP(O310,'护理记录单文书字典(数据)'!B$4:C$99,2,0)</f>
        <v>E3730E350CFAB21190811B66F2621D5F</v>
      </c>
      <c r="C310" s="75" t="s">
        <v>1118</v>
      </c>
      <c r="D310" s="75" t="s">
        <v>1119</v>
      </c>
      <c r="E310" s="92">
        <v>1</v>
      </c>
      <c r="F310" s="92">
        <v>1</v>
      </c>
      <c r="G310" s="75" t="s">
        <v>1120</v>
      </c>
      <c r="H310" s="75"/>
      <c r="I310" s="75"/>
      <c r="J310" s="75" t="s">
        <v>162</v>
      </c>
      <c r="K310" s="75" t="s">
        <v>509</v>
      </c>
      <c r="L310" s="75" t="s">
        <v>535</v>
      </c>
      <c r="M310" s="75" t="s">
        <v>509</v>
      </c>
      <c r="N310" s="75" t="s">
        <v>535</v>
      </c>
      <c r="O310" s="75" t="s">
        <v>1277</v>
      </c>
    </row>
    <row r="311" spans="1:15">
      <c r="A311" s="63" t="s">
        <v>849</v>
      </c>
      <c r="B311" s="14" t="str">
        <f>VLOOKUP(O311,'护理记录单文书字典(数据)'!B$4:C$99,2,0)</f>
        <v>E3730E350CFAB21190811B66F2621D5F</v>
      </c>
      <c r="C311" s="75" t="s">
        <v>1118</v>
      </c>
      <c r="D311" s="75" t="s">
        <v>1119</v>
      </c>
      <c r="E311" s="92">
        <v>2</v>
      </c>
      <c r="F311" s="92">
        <v>2</v>
      </c>
      <c r="G311" s="75" t="s">
        <v>1122</v>
      </c>
      <c r="H311" s="75"/>
      <c r="I311" s="75"/>
      <c r="J311" s="75" t="s">
        <v>162</v>
      </c>
      <c r="K311" s="75" t="s">
        <v>509</v>
      </c>
      <c r="L311" s="75" t="s">
        <v>535</v>
      </c>
      <c r="M311" s="75" t="s">
        <v>509</v>
      </c>
      <c r="N311" s="75" t="s">
        <v>535</v>
      </c>
      <c r="O311" s="75" t="s">
        <v>1277</v>
      </c>
    </row>
    <row r="312" spans="1:15">
      <c r="A312" s="63" t="s">
        <v>849</v>
      </c>
      <c r="B312" s="14" t="str">
        <f>VLOOKUP(O312,'护理记录单文书字典(数据)'!B$4:C$99,2,0)</f>
        <v>E3730E350CFAB21190811B66F2621D5F</v>
      </c>
      <c r="C312" s="75" t="s">
        <v>1118</v>
      </c>
      <c r="D312" s="75" t="s">
        <v>1119</v>
      </c>
      <c r="E312" s="92">
        <v>3</v>
      </c>
      <c r="F312" s="92">
        <v>3</v>
      </c>
      <c r="G312" s="75" t="s">
        <v>1123</v>
      </c>
      <c r="H312" s="75"/>
      <c r="I312" s="75"/>
      <c r="J312" s="75" t="s">
        <v>162</v>
      </c>
      <c r="K312" s="75" t="s">
        <v>509</v>
      </c>
      <c r="L312" s="75" t="s">
        <v>535</v>
      </c>
      <c r="M312" s="75" t="s">
        <v>509</v>
      </c>
      <c r="N312" s="75" t="s">
        <v>535</v>
      </c>
      <c r="O312" s="75" t="s">
        <v>1277</v>
      </c>
    </row>
    <row r="313" spans="1:15">
      <c r="A313" s="63" t="s">
        <v>849</v>
      </c>
      <c r="B313" s="14" t="str">
        <f>VLOOKUP(O313,'护理记录单文书字典(数据)'!B$4:C$99,2,0)</f>
        <v>E3730E350CFAB21190811B66F2621D5F</v>
      </c>
      <c r="C313" s="75" t="s">
        <v>1118</v>
      </c>
      <c r="D313" s="75" t="s">
        <v>1119</v>
      </c>
      <c r="E313" s="92">
        <v>4</v>
      </c>
      <c r="F313" s="92">
        <v>4</v>
      </c>
      <c r="G313" s="75" t="s">
        <v>1124</v>
      </c>
      <c r="H313" s="75"/>
      <c r="I313" s="75"/>
      <c r="J313" s="75" t="s">
        <v>162</v>
      </c>
      <c r="K313" s="75" t="s">
        <v>509</v>
      </c>
      <c r="L313" s="75" t="s">
        <v>535</v>
      </c>
      <c r="M313" s="75" t="s">
        <v>509</v>
      </c>
      <c r="N313" s="75" t="s">
        <v>535</v>
      </c>
      <c r="O313" s="75" t="s">
        <v>1277</v>
      </c>
    </row>
    <row r="314" spans="1:15">
      <c r="A314" s="63" t="s">
        <v>849</v>
      </c>
      <c r="B314" s="14" t="str">
        <f>VLOOKUP(O314,'护理记录单文书字典(数据)'!B$4:C$99,2,0)</f>
        <v>E3730E350CFAB21190811B66F2621D5F</v>
      </c>
      <c r="C314" s="75" t="s">
        <v>1118</v>
      </c>
      <c r="D314" s="75" t="s">
        <v>1119</v>
      </c>
      <c r="E314" s="92">
        <v>5</v>
      </c>
      <c r="F314" s="92">
        <v>5</v>
      </c>
      <c r="G314" s="75" t="s">
        <v>1125</v>
      </c>
      <c r="H314" s="75"/>
      <c r="I314" s="75"/>
      <c r="J314" s="75" t="s">
        <v>162</v>
      </c>
      <c r="K314" s="75" t="s">
        <v>509</v>
      </c>
      <c r="L314" s="75" t="s">
        <v>535</v>
      </c>
      <c r="M314" s="75" t="s">
        <v>509</v>
      </c>
      <c r="N314" s="75" t="s">
        <v>535</v>
      </c>
      <c r="O314" s="75" t="s">
        <v>1277</v>
      </c>
    </row>
    <row r="315" spans="1:15">
      <c r="A315" s="63" t="s">
        <v>849</v>
      </c>
      <c r="B315" s="14" t="str">
        <f>VLOOKUP(O315,'护理记录单文书字典(数据)'!B$4:C$99,2,0)</f>
        <v>E3730E350CFAB21190811B66F2621D5F</v>
      </c>
      <c r="C315" s="75" t="s">
        <v>1118</v>
      </c>
      <c r="D315" s="75" t="s">
        <v>1119</v>
      </c>
      <c r="E315" s="92">
        <v>6</v>
      </c>
      <c r="F315" s="92">
        <v>6</v>
      </c>
      <c r="G315" s="160" t="s">
        <v>1093</v>
      </c>
      <c r="H315" s="75"/>
      <c r="I315" s="75"/>
      <c r="J315" s="75" t="s">
        <v>162</v>
      </c>
      <c r="K315" s="75" t="s">
        <v>509</v>
      </c>
      <c r="L315" s="75" t="s">
        <v>535</v>
      </c>
      <c r="M315" s="75" t="s">
        <v>509</v>
      </c>
      <c r="N315" s="75" t="s">
        <v>535</v>
      </c>
      <c r="O315" s="75" t="s">
        <v>1277</v>
      </c>
    </row>
    <row r="316" spans="1:15">
      <c r="A316" s="63" t="s">
        <v>849</v>
      </c>
      <c r="B316" s="14" t="str">
        <f>VLOOKUP(O316,'护理记录单文书字典(数据)'!B$4:C$99,2,0)</f>
        <v>E3730E350CFAB21190811B66F2621D5F</v>
      </c>
      <c r="C316" s="75" t="s">
        <v>1278</v>
      </c>
      <c r="D316" s="75" t="s">
        <v>1095</v>
      </c>
      <c r="E316" s="92">
        <v>1</v>
      </c>
      <c r="F316" s="92">
        <v>1</v>
      </c>
      <c r="G316" s="75" t="s">
        <v>1127</v>
      </c>
      <c r="H316" s="75"/>
      <c r="I316" s="75"/>
      <c r="J316" s="75" t="s">
        <v>162</v>
      </c>
      <c r="K316" s="75" t="s">
        <v>509</v>
      </c>
      <c r="L316" s="75" t="s">
        <v>535</v>
      </c>
      <c r="M316" s="75" t="s">
        <v>509</v>
      </c>
      <c r="N316" s="75" t="s">
        <v>535</v>
      </c>
      <c r="O316" s="75" t="s">
        <v>1277</v>
      </c>
    </row>
    <row r="317" spans="1:15">
      <c r="A317" s="63" t="s">
        <v>849</v>
      </c>
      <c r="B317" s="14" t="str">
        <f>VLOOKUP(O317,'护理记录单文书字典(数据)'!B$4:C$99,2,0)</f>
        <v>E3730E350CFAB21190811B66F2621D5F</v>
      </c>
      <c r="C317" s="75" t="s">
        <v>1278</v>
      </c>
      <c r="D317" s="75" t="s">
        <v>1095</v>
      </c>
      <c r="E317" s="92">
        <v>2</v>
      </c>
      <c r="F317" s="92">
        <v>2</v>
      </c>
      <c r="G317" s="75" t="s">
        <v>1128</v>
      </c>
      <c r="H317" s="75"/>
      <c r="I317" s="75"/>
      <c r="J317" s="75" t="s">
        <v>162</v>
      </c>
      <c r="K317" s="75" t="s">
        <v>509</v>
      </c>
      <c r="L317" s="75" t="s">
        <v>535</v>
      </c>
      <c r="M317" s="75" t="s">
        <v>509</v>
      </c>
      <c r="N317" s="75" t="s">
        <v>535</v>
      </c>
      <c r="O317" s="75" t="s">
        <v>1277</v>
      </c>
    </row>
    <row r="318" spans="1:15">
      <c r="A318" s="63" t="s">
        <v>849</v>
      </c>
      <c r="B318" s="14" t="str">
        <f>VLOOKUP(O318,'护理记录单文书字典(数据)'!B$4:C$99,2,0)</f>
        <v>E3730E350CFAB21190811B66F2621D5F</v>
      </c>
      <c r="C318" s="75" t="s">
        <v>1278</v>
      </c>
      <c r="D318" s="75" t="s">
        <v>1095</v>
      </c>
      <c r="E318" s="92">
        <v>3</v>
      </c>
      <c r="F318" s="92">
        <v>3</v>
      </c>
      <c r="G318" s="75" t="s">
        <v>1129</v>
      </c>
      <c r="H318" s="75"/>
      <c r="I318" s="75"/>
      <c r="J318" s="75" t="s">
        <v>162</v>
      </c>
      <c r="K318" s="75" t="s">
        <v>509</v>
      </c>
      <c r="L318" s="75" t="s">
        <v>535</v>
      </c>
      <c r="M318" s="75" t="s">
        <v>509</v>
      </c>
      <c r="N318" s="75" t="s">
        <v>535</v>
      </c>
      <c r="O318" s="75" t="s">
        <v>1277</v>
      </c>
    </row>
    <row r="319" spans="1:15">
      <c r="A319" s="63" t="s">
        <v>849</v>
      </c>
      <c r="B319" s="14" t="str">
        <f>VLOOKUP(O319,'护理记录单文书字典(数据)'!B$4:C$99,2,0)</f>
        <v>E3730E350CFAB21190811B66F2621D5F</v>
      </c>
      <c r="C319" s="75" t="s">
        <v>1279</v>
      </c>
      <c r="D319" s="75" t="s">
        <v>1280</v>
      </c>
      <c r="E319" s="92">
        <v>1</v>
      </c>
      <c r="F319" s="92">
        <v>1</v>
      </c>
      <c r="G319" s="75" t="s">
        <v>962</v>
      </c>
      <c r="H319" s="75"/>
      <c r="I319" s="75"/>
      <c r="J319" s="75" t="s">
        <v>162</v>
      </c>
      <c r="K319" s="75" t="s">
        <v>509</v>
      </c>
      <c r="L319" s="75" t="s">
        <v>535</v>
      </c>
      <c r="M319" s="75" t="s">
        <v>509</v>
      </c>
      <c r="N319" s="75" t="s">
        <v>535</v>
      </c>
      <c r="O319" s="75" t="s">
        <v>1277</v>
      </c>
    </row>
    <row r="320" spans="1:15">
      <c r="A320" s="63" t="s">
        <v>849</v>
      </c>
      <c r="B320" s="14" t="str">
        <f>VLOOKUP(O320,'护理记录单文书字典(数据)'!B$4:C$99,2,0)</f>
        <v>E3730E350CFAB21190811B66F2621D5F</v>
      </c>
      <c r="C320" s="75" t="s">
        <v>1279</v>
      </c>
      <c r="D320" s="75" t="s">
        <v>1280</v>
      </c>
      <c r="E320" s="92">
        <v>2</v>
      </c>
      <c r="F320" s="92">
        <v>2</v>
      </c>
      <c r="G320" s="75" t="s">
        <v>1105</v>
      </c>
      <c r="H320" s="75"/>
      <c r="I320" s="75"/>
      <c r="J320" s="75" t="s">
        <v>162</v>
      </c>
      <c r="K320" s="75" t="s">
        <v>509</v>
      </c>
      <c r="L320" s="75" t="s">
        <v>535</v>
      </c>
      <c r="M320" s="75" t="s">
        <v>509</v>
      </c>
      <c r="N320" s="75" t="s">
        <v>535</v>
      </c>
      <c r="O320" s="75" t="s">
        <v>1277</v>
      </c>
    </row>
    <row r="321" spans="1:15">
      <c r="A321" s="63" t="s">
        <v>849</v>
      </c>
      <c r="B321" s="14" t="str">
        <f>VLOOKUP(O321,'护理记录单文书字典(数据)'!B$4:C$99,2,0)</f>
        <v>E3730E350CFAB21190811B66F2621D5F</v>
      </c>
      <c r="C321" s="75" t="s">
        <v>1279</v>
      </c>
      <c r="D321" s="75" t="s">
        <v>1280</v>
      </c>
      <c r="E321" s="92">
        <v>3</v>
      </c>
      <c r="F321" s="92">
        <v>3</v>
      </c>
      <c r="G321" s="75" t="s">
        <v>1106</v>
      </c>
      <c r="H321" s="75"/>
      <c r="I321" s="75"/>
      <c r="J321" s="75" t="s">
        <v>162</v>
      </c>
      <c r="K321" s="75" t="s">
        <v>509</v>
      </c>
      <c r="L321" s="75" t="s">
        <v>535</v>
      </c>
      <c r="M321" s="75" t="s">
        <v>509</v>
      </c>
      <c r="N321" s="75" t="s">
        <v>535</v>
      </c>
      <c r="O321" s="75" t="s">
        <v>1277</v>
      </c>
    </row>
    <row r="322" spans="1:15">
      <c r="A322" s="63" t="s">
        <v>849</v>
      </c>
      <c r="B322" s="14" t="str">
        <f>VLOOKUP(O322,'护理记录单文书字典(数据)'!B$4:C$99,2,0)</f>
        <v>E3730E350CFAB21190811B66F2621D5F</v>
      </c>
      <c r="C322" s="75" t="s">
        <v>1279</v>
      </c>
      <c r="D322" s="75" t="s">
        <v>1280</v>
      </c>
      <c r="E322" s="92">
        <v>4</v>
      </c>
      <c r="F322" s="92">
        <v>4</v>
      </c>
      <c r="G322" s="75" t="s">
        <v>1107</v>
      </c>
      <c r="H322" s="75"/>
      <c r="I322" s="75"/>
      <c r="J322" s="75" t="s">
        <v>162</v>
      </c>
      <c r="K322" s="75" t="s">
        <v>509</v>
      </c>
      <c r="L322" s="75" t="s">
        <v>535</v>
      </c>
      <c r="M322" s="75" t="s">
        <v>509</v>
      </c>
      <c r="N322" s="75" t="s">
        <v>535</v>
      </c>
      <c r="O322" s="75" t="s">
        <v>1277</v>
      </c>
    </row>
    <row r="323" spans="1:15">
      <c r="A323" s="63" t="s">
        <v>849</v>
      </c>
      <c r="B323" s="14" t="str">
        <f>VLOOKUP(O323,'护理记录单文书字典(数据)'!B$4:C$99,2,0)</f>
        <v>E3730E350CFAB21190811B66F2621D5F</v>
      </c>
      <c r="C323" s="75" t="s">
        <v>1281</v>
      </c>
      <c r="D323" s="75" t="s">
        <v>1100</v>
      </c>
      <c r="E323" s="92">
        <v>1</v>
      </c>
      <c r="F323" s="92">
        <v>1</v>
      </c>
      <c r="G323" s="75" t="s">
        <v>962</v>
      </c>
      <c r="H323" s="75"/>
      <c r="I323" s="75"/>
      <c r="J323" s="75" t="s">
        <v>162</v>
      </c>
      <c r="K323" s="75" t="s">
        <v>509</v>
      </c>
      <c r="L323" s="75" t="s">
        <v>535</v>
      </c>
      <c r="M323" s="75" t="s">
        <v>509</v>
      </c>
      <c r="N323" s="75" t="s">
        <v>535</v>
      </c>
      <c r="O323" s="75" t="s">
        <v>1277</v>
      </c>
    </row>
    <row r="324" spans="1:15">
      <c r="A324" s="63" t="s">
        <v>849</v>
      </c>
      <c r="B324" s="14" t="str">
        <f>VLOOKUP(O324,'护理记录单文书字典(数据)'!B$4:C$99,2,0)</f>
        <v>E3730E350CFAB21190811B66F2621D5F</v>
      </c>
      <c r="C324" s="75" t="s">
        <v>1281</v>
      </c>
      <c r="D324" s="75" t="s">
        <v>1100</v>
      </c>
      <c r="E324" s="92">
        <v>2</v>
      </c>
      <c r="F324" s="92">
        <v>2</v>
      </c>
      <c r="G324" s="75" t="s">
        <v>1101</v>
      </c>
      <c r="H324" s="75"/>
      <c r="I324" s="75"/>
      <c r="J324" s="75" t="s">
        <v>162</v>
      </c>
      <c r="K324" s="75" t="s">
        <v>509</v>
      </c>
      <c r="L324" s="75" t="s">
        <v>535</v>
      </c>
      <c r="M324" s="75" t="s">
        <v>509</v>
      </c>
      <c r="N324" s="75" t="s">
        <v>535</v>
      </c>
      <c r="O324" s="75" t="s">
        <v>1277</v>
      </c>
    </row>
    <row r="325" spans="1:15">
      <c r="A325" s="63" t="s">
        <v>849</v>
      </c>
      <c r="B325" s="14" t="str">
        <f>VLOOKUP(O325,'护理记录单文书字典(数据)'!B$4:C$99,2,0)</f>
        <v>E3730E350CFAB21190811B66F2621D5F</v>
      </c>
      <c r="C325" s="75" t="s">
        <v>1281</v>
      </c>
      <c r="D325" s="75" t="s">
        <v>1100</v>
      </c>
      <c r="E325" s="92">
        <v>3</v>
      </c>
      <c r="F325" s="92">
        <v>3</v>
      </c>
      <c r="G325" s="75" t="s">
        <v>1102</v>
      </c>
      <c r="H325" s="75"/>
      <c r="I325" s="75"/>
      <c r="J325" s="75" t="s">
        <v>162</v>
      </c>
      <c r="K325" s="75" t="s">
        <v>509</v>
      </c>
      <c r="L325" s="75" t="s">
        <v>535</v>
      </c>
      <c r="M325" s="75" t="s">
        <v>509</v>
      </c>
      <c r="N325" s="75" t="s">
        <v>535</v>
      </c>
      <c r="O325" s="75" t="s">
        <v>1277</v>
      </c>
    </row>
    <row r="326" spans="1:15">
      <c r="A326" s="63" t="s">
        <v>849</v>
      </c>
      <c r="B326" s="14" t="str">
        <f>VLOOKUP(O326,'护理记录单文书字典(数据)'!B$4:C$99,2,0)</f>
        <v>E3730E350CFAB21190811B66F2621D5F</v>
      </c>
      <c r="C326" s="75" t="s">
        <v>1130</v>
      </c>
      <c r="D326" s="75" t="s">
        <v>1131</v>
      </c>
      <c r="E326" s="92">
        <v>1</v>
      </c>
      <c r="F326" s="92">
        <v>1</v>
      </c>
      <c r="G326" s="75" t="s">
        <v>1132</v>
      </c>
      <c r="H326" s="75"/>
      <c r="I326" s="75"/>
      <c r="J326" s="75" t="s">
        <v>162</v>
      </c>
      <c r="K326" s="75" t="s">
        <v>509</v>
      </c>
      <c r="L326" s="75" t="s">
        <v>535</v>
      </c>
      <c r="M326" s="75" t="s">
        <v>509</v>
      </c>
      <c r="N326" s="75" t="s">
        <v>535</v>
      </c>
      <c r="O326" s="75" t="s">
        <v>1277</v>
      </c>
    </row>
    <row r="327" spans="1:15">
      <c r="A327" s="63" t="s">
        <v>849</v>
      </c>
      <c r="B327" s="14" t="str">
        <f>VLOOKUP(O327,'护理记录单文书字典(数据)'!B$4:C$99,2,0)</f>
        <v>E3730E350CFAB21190811B66F2621D5F</v>
      </c>
      <c r="C327" s="75" t="s">
        <v>1130</v>
      </c>
      <c r="D327" s="75" t="s">
        <v>1131</v>
      </c>
      <c r="E327" s="92">
        <v>2</v>
      </c>
      <c r="F327" s="92">
        <v>2</v>
      </c>
      <c r="G327" s="75" t="s">
        <v>1133</v>
      </c>
      <c r="H327" s="75"/>
      <c r="I327" s="75"/>
      <c r="J327" s="75" t="s">
        <v>162</v>
      </c>
      <c r="K327" s="75" t="s">
        <v>509</v>
      </c>
      <c r="L327" s="75" t="s">
        <v>535</v>
      </c>
      <c r="M327" s="75" t="s">
        <v>509</v>
      </c>
      <c r="N327" s="75" t="s">
        <v>535</v>
      </c>
      <c r="O327" s="75" t="s">
        <v>1277</v>
      </c>
    </row>
    <row r="328" spans="1:15">
      <c r="A328" s="63" t="s">
        <v>849</v>
      </c>
      <c r="B328" s="14" t="str">
        <f>VLOOKUP(O328,'护理记录单文书字典(数据)'!B$4:C$99,2,0)</f>
        <v>E3730E350CFAB21190811B66F2621D5F</v>
      </c>
      <c r="C328" s="75" t="s">
        <v>1130</v>
      </c>
      <c r="D328" s="75" t="s">
        <v>1131</v>
      </c>
      <c r="E328" s="92">
        <v>3</v>
      </c>
      <c r="F328" s="92">
        <v>3</v>
      </c>
      <c r="G328" s="75" t="s">
        <v>1134</v>
      </c>
      <c r="H328" s="75"/>
      <c r="I328" s="75"/>
      <c r="J328" s="75" t="s">
        <v>162</v>
      </c>
      <c r="K328" s="75" t="s">
        <v>509</v>
      </c>
      <c r="L328" s="75" t="s">
        <v>535</v>
      </c>
      <c r="M328" s="75" t="s">
        <v>509</v>
      </c>
      <c r="N328" s="75" t="s">
        <v>535</v>
      </c>
      <c r="O328" s="75" t="s">
        <v>1277</v>
      </c>
    </row>
    <row r="329" spans="1:15">
      <c r="A329" s="63" t="s">
        <v>849</v>
      </c>
      <c r="B329" s="14" t="str">
        <f>VLOOKUP(O329,'护理记录单文书字典(数据)'!B$4:C$99,2,0)</f>
        <v>E3730E350CFAB21190811B66F2621D5F</v>
      </c>
      <c r="C329" s="75" t="s">
        <v>1282</v>
      </c>
      <c r="D329" s="75" t="s">
        <v>1283</v>
      </c>
      <c r="E329" s="92">
        <v>1</v>
      </c>
      <c r="F329" s="92">
        <v>1</v>
      </c>
      <c r="G329" s="75" t="s">
        <v>981</v>
      </c>
      <c r="H329" s="75"/>
      <c r="I329" s="75"/>
      <c r="J329" s="75" t="s">
        <v>162</v>
      </c>
      <c r="K329" s="75" t="s">
        <v>509</v>
      </c>
      <c r="L329" s="75" t="s">
        <v>535</v>
      </c>
      <c r="M329" s="75" t="s">
        <v>509</v>
      </c>
      <c r="N329" s="75" t="s">
        <v>535</v>
      </c>
      <c r="O329" s="75" t="s">
        <v>1277</v>
      </c>
    </row>
    <row r="330" spans="1:15">
      <c r="A330" s="63" t="s">
        <v>849</v>
      </c>
      <c r="B330" s="14" t="str">
        <f>VLOOKUP(O330,'护理记录单文书字典(数据)'!B$4:C$99,2,0)</f>
        <v>E3730E350CFAB21190811B66F2621D5F</v>
      </c>
      <c r="C330" s="75" t="s">
        <v>1282</v>
      </c>
      <c r="D330" s="75" t="s">
        <v>1283</v>
      </c>
      <c r="E330" s="92">
        <v>2</v>
      </c>
      <c r="F330" s="92">
        <v>2</v>
      </c>
      <c r="G330" s="75" t="s">
        <v>982</v>
      </c>
      <c r="H330" s="75"/>
      <c r="I330" s="75"/>
      <c r="J330" s="75" t="s">
        <v>162</v>
      </c>
      <c r="K330" s="75" t="s">
        <v>509</v>
      </c>
      <c r="L330" s="75" t="s">
        <v>535</v>
      </c>
      <c r="M330" s="75" t="s">
        <v>509</v>
      </c>
      <c r="N330" s="75" t="s">
        <v>535</v>
      </c>
      <c r="O330" s="75" t="s">
        <v>1277</v>
      </c>
    </row>
    <row r="331" spans="1:15">
      <c r="A331" s="63" t="s">
        <v>849</v>
      </c>
      <c r="B331" s="14" t="str">
        <f>VLOOKUP(O331,'护理记录单文书字典(数据)'!B$4:C$99,2,0)</f>
        <v>E3730E350CFAB21190811B66F2621D5F</v>
      </c>
      <c r="C331" s="75" t="s">
        <v>1282</v>
      </c>
      <c r="D331" s="75" t="s">
        <v>1283</v>
      </c>
      <c r="E331" s="92">
        <v>3</v>
      </c>
      <c r="F331" s="92">
        <v>3</v>
      </c>
      <c r="G331" s="75" t="s">
        <v>1284</v>
      </c>
      <c r="H331" s="75"/>
      <c r="I331" s="75"/>
      <c r="J331" s="75" t="s">
        <v>162</v>
      </c>
      <c r="K331" s="75" t="s">
        <v>509</v>
      </c>
      <c r="L331" s="75" t="s">
        <v>535</v>
      </c>
      <c r="M331" s="75" t="s">
        <v>509</v>
      </c>
      <c r="N331" s="75" t="s">
        <v>535</v>
      </c>
      <c r="O331" s="75" t="s">
        <v>1277</v>
      </c>
    </row>
    <row r="332" spans="1:15">
      <c r="A332" s="63" t="s">
        <v>849</v>
      </c>
      <c r="B332" s="14" t="str">
        <f>VLOOKUP(O332,'护理记录单文书字典(数据)'!B$4:C$99,2,0)</f>
        <v>E3730E350CFAB21190811B66F2621D5F</v>
      </c>
      <c r="C332" s="75" t="s">
        <v>1285</v>
      </c>
      <c r="D332" s="75" t="s">
        <v>1286</v>
      </c>
      <c r="E332" s="92">
        <v>1</v>
      </c>
      <c r="F332" s="92">
        <v>1</v>
      </c>
      <c r="G332" s="75" t="s">
        <v>1287</v>
      </c>
      <c r="H332" s="75"/>
      <c r="I332" s="75"/>
      <c r="J332" s="75" t="s">
        <v>162</v>
      </c>
      <c r="K332" s="75" t="s">
        <v>509</v>
      </c>
      <c r="L332" s="75" t="s">
        <v>535</v>
      </c>
      <c r="M332" s="75" t="s">
        <v>509</v>
      </c>
      <c r="N332" s="75" t="s">
        <v>535</v>
      </c>
      <c r="O332" s="75" t="s">
        <v>1277</v>
      </c>
    </row>
    <row r="333" spans="1:15">
      <c r="A333" s="63" t="s">
        <v>849</v>
      </c>
      <c r="B333" s="14" t="str">
        <f>VLOOKUP(O333,'护理记录单文书字典(数据)'!B$4:C$99,2,0)</f>
        <v>E3730E350CFAB21190811B66F2621D5F</v>
      </c>
      <c r="C333" s="75" t="s">
        <v>1285</v>
      </c>
      <c r="D333" s="75" t="s">
        <v>1286</v>
      </c>
      <c r="E333" s="92">
        <v>2</v>
      </c>
      <c r="F333" s="92">
        <v>2</v>
      </c>
      <c r="G333" s="75" t="s">
        <v>1288</v>
      </c>
      <c r="H333" s="75"/>
      <c r="I333" s="75"/>
      <c r="J333" s="75" t="s">
        <v>162</v>
      </c>
      <c r="K333" s="75" t="s">
        <v>509</v>
      </c>
      <c r="L333" s="75" t="s">
        <v>535</v>
      </c>
      <c r="M333" s="75" t="s">
        <v>509</v>
      </c>
      <c r="N333" s="75" t="s">
        <v>535</v>
      </c>
      <c r="O333" s="75" t="s">
        <v>1277</v>
      </c>
    </row>
    <row r="334" spans="1:15">
      <c r="A334" s="63" t="s">
        <v>849</v>
      </c>
      <c r="B334" s="14" t="str">
        <f>VLOOKUP(O334,'护理记录单文书字典(数据)'!B$4:C$99,2,0)</f>
        <v>E3730E350CFAB21190811B66F2621D5F</v>
      </c>
      <c r="C334" s="75" t="s">
        <v>1289</v>
      </c>
      <c r="D334" s="75" t="s">
        <v>1290</v>
      </c>
      <c r="E334" s="92">
        <v>1</v>
      </c>
      <c r="F334" s="92">
        <v>1</v>
      </c>
      <c r="G334" s="75" t="s">
        <v>981</v>
      </c>
      <c r="H334" s="75"/>
      <c r="I334" s="75"/>
      <c r="J334" s="75" t="s">
        <v>162</v>
      </c>
      <c r="K334" s="75" t="s">
        <v>509</v>
      </c>
      <c r="L334" s="75" t="s">
        <v>535</v>
      </c>
      <c r="M334" s="75" t="s">
        <v>509</v>
      </c>
      <c r="N334" s="75" t="s">
        <v>535</v>
      </c>
      <c r="O334" s="75" t="s">
        <v>1277</v>
      </c>
    </row>
    <row r="335" spans="1:15">
      <c r="A335" s="63" t="s">
        <v>849</v>
      </c>
      <c r="B335" s="14" t="str">
        <f>VLOOKUP(O335,'护理记录单文书字典(数据)'!B$4:C$99,2,0)</f>
        <v>E3730E350CFAB21190811B66F2621D5F</v>
      </c>
      <c r="C335" s="75" t="s">
        <v>1289</v>
      </c>
      <c r="D335" s="75" t="s">
        <v>1290</v>
      </c>
      <c r="E335" s="92">
        <v>2</v>
      </c>
      <c r="F335" s="92">
        <v>2</v>
      </c>
      <c r="G335" s="75" t="s">
        <v>982</v>
      </c>
      <c r="H335" s="75"/>
      <c r="I335" s="75"/>
      <c r="J335" s="75" t="s">
        <v>162</v>
      </c>
      <c r="K335" s="75" t="s">
        <v>509</v>
      </c>
      <c r="L335" s="75" t="s">
        <v>535</v>
      </c>
      <c r="M335" s="75" t="s">
        <v>509</v>
      </c>
      <c r="N335" s="75" t="s">
        <v>535</v>
      </c>
      <c r="O335" s="75" t="s">
        <v>1277</v>
      </c>
    </row>
    <row r="336" spans="1:15">
      <c r="A336" s="63" t="s">
        <v>849</v>
      </c>
      <c r="B336" s="14" t="str">
        <f>VLOOKUP(O336,'护理记录单文书字典(数据)'!B$4:C$99,2,0)</f>
        <v>E3730E350CFAB21190811B66F2621D5F</v>
      </c>
      <c r="C336" s="75" t="s">
        <v>1289</v>
      </c>
      <c r="D336" s="75" t="s">
        <v>1290</v>
      </c>
      <c r="E336" s="92">
        <v>3</v>
      </c>
      <c r="F336" s="92">
        <v>3</v>
      </c>
      <c r="G336" s="75" t="s">
        <v>1284</v>
      </c>
      <c r="H336" s="75"/>
      <c r="I336" s="75"/>
      <c r="J336" s="75" t="s">
        <v>162</v>
      </c>
      <c r="K336" s="75" t="s">
        <v>509</v>
      </c>
      <c r="L336" s="75" t="s">
        <v>535</v>
      </c>
      <c r="M336" s="75" t="s">
        <v>509</v>
      </c>
      <c r="N336" s="75" t="s">
        <v>535</v>
      </c>
      <c r="O336" s="75" t="s">
        <v>1277</v>
      </c>
    </row>
    <row r="337" spans="1:15">
      <c r="A337" s="63" t="s">
        <v>849</v>
      </c>
      <c r="B337" s="14" t="str">
        <f>VLOOKUP(O337,'护理记录单文书字典(数据)'!B$4:C$99,2,0)</f>
        <v>E3730E350CFAB21190811B66F2621D5F</v>
      </c>
      <c r="C337" s="170" t="s">
        <v>2815</v>
      </c>
      <c r="D337" s="170" t="s">
        <v>2816</v>
      </c>
      <c r="E337" s="171">
        <v>1</v>
      </c>
      <c r="F337" s="171">
        <v>0</v>
      </c>
      <c r="G337" s="170" t="s">
        <v>192</v>
      </c>
      <c r="H337" s="170"/>
      <c r="I337" s="170"/>
      <c r="J337" s="170" t="s">
        <v>162</v>
      </c>
      <c r="K337" s="170" t="s">
        <v>509</v>
      </c>
      <c r="L337" s="170" t="s">
        <v>535</v>
      </c>
      <c r="M337" s="170" t="s">
        <v>509</v>
      </c>
      <c r="N337" s="170" t="s">
        <v>535</v>
      </c>
      <c r="O337" s="170" t="s">
        <v>2817</v>
      </c>
    </row>
    <row r="338" spans="1:15">
      <c r="A338" s="63" t="s">
        <v>849</v>
      </c>
      <c r="B338" s="14" t="str">
        <f>VLOOKUP(O338,'护理记录单文书字典(数据)'!B$4:C$99,2,0)</f>
        <v>E3730E350CFAB21190811B66F2621D5F</v>
      </c>
      <c r="C338" s="170" t="s">
        <v>2815</v>
      </c>
      <c r="D338" s="170" t="s">
        <v>2816</v>
      </c>
      <c r="E338" s="171">
        <v>2</v>
      </c>
      <c r="F338" s="171">
        <v>1</v>
      </c>
      <c r="G338" s="170" t="s">
        <v>191</v>
      </c>
      <c r="H338" s="170"/>
      <c r="I338" s="170"/>
      <c r="J338" s="170" t="s">
        <v>162</v>
      </c>
      <c r="K338" s="170" t="s">
        <v>509</v>
      </c>
      <c r="L338" s="170" t="s">
        <v>535</v>
      </c>
      <c r="M338" s="170" t="s">
        <v>509</v>
      </c>
      <c r="N338" s="170" t="s">
        <v>535</v>
      </c>
      <c r="O338" s="170" t="s">
        <v>1277</v>
      </c>
    </row>
    <row r="339" spans="1:15">
      <c r="A339" s="63" t="s">
        <v>849</v>
      </c>
      <c r="B339" s="14" t="str">
        <f>VLOOKUP(O339,'护理记录单文书字典(数据)'!B$4:C$99,2,0)</f>
        <v>7B1825350CFAB21135B72E43AD487853</v>
      </c>
      <c r="C339" s="75" t="s">
        <v>1291</v>
      </c>
      <c r="D339" s="75" t="s">
        <v>1292</v>
      </c>
      <c r="E339" s="92">
        <v>1</v>
      </c>
      <c r="F339" s="92">
        <v>1</v>
      </c>
      <c r="G339" s="75" t="s">
        <v>1293</v>
      </c>
      <c r="H339" s="75"/>
      <c r="I339" s="75"/>
      <c r="J339" s="75" t="s">
        <v>162</v>
      </c>
      <c r="K339" s="75" t="s">
        <v>509</v>
      </c>
      <c r="L339" s="75" t="s">
        <v>535</v>
      </c>
      <c r="M339" s="75" t="s">
        <v>509</v>
      </c>
      <c r="N339" s="75" t="s">
        <v>535</v>
      </c>
      <c r="O339" s="86" t="s">
        <v>1294</v>
      </c>
    </row>
    <row r="340" spans="1:15">
      <c r="A340" s="63" t="s">
        <v>849</v>
      </c>
      <c r="B340" s="14" t="str">
        <f>VLOOKUP(O340,'护理记录单文书字典(数据)'!B$4:C$99,2,0)</f>
        <v>7B1825350CFAB21135B72E43AD487853</v>
      </c>
      <c r="C340" s="75" t="s">
        <v>1291</v>
      </c>
      <c r="D340" s="75" t="s">
        <v>1292</v>
      </c>
      <c r="E340" s="92">
        <v>2</v>
      </c>
      <c r="F340" s="92">
        <v>2</v>
      </c>
      <c r="G340" s="75" t="s">
        <v>1295</v>
      </c>
      <c r="H340" s="75"/>
      <c r="I340" s="75"/>
      <c r="J340" s="75" t="s">
        <v>162</v>
      </c>
      <c r="K340" s="75" t="s">
        <v>509</v>
      </c>
      <c r="L340" s="75" t="s">
        <v>535</v>
      </c>
      <c r="M340" s="75" t="s">
        <v>509</v>
      </c>
      <c r="N340" s="75" t="s">
        <v>535</v>
      </c>
      <c r="O340" s="86" t="s">
        <v>1294</v>
      </c>
    </row>
    <row r="341" spans="1:15">
      <c r="A341" s="63" t="s">
        <v>849</v>
      </c>
      <c r="B341" s="14" t="str">
        <f>VLOOKUP(O341,'护理记录单文书字典(数据)'!B$4:C$99,2,0)</f>
        <v>7B1825350CFAB21135B72E43AD487853</v>
      </c>
      <c r="C341" s="75" t="s">
        <v>1296</v>
      </c>
      <c r="D341" s="75" t="s">
        <v>1297</v>
      </c>
      <c r="E341" s="92">
        <v>1</v>
      </c>
      <c r="F341" s="92">
        <v>1</v>
      </c>
      <c r="G341" s="75" t="s">
        <v>1298</v>
      </c>
      <c r="H341" s="75"/>
      <c r="I341" s="75"/>
      <c r="J341" s="75" t="s">
        <v>162</v>
      </c>
      <c r="K341" s="75" t="s">
        <v>509</v>
      </c>
      <c r="L341" s="75" t="s">
        <v>535</v>
      </c>
      <c r="M341" s="75" t="s">
        <v>509</v>
      </c>
      <c r="N341" s="75" t="s">
        <v>535</v>
      </c>
      <c r="O341" s="86" t="s">
        <v>1294</v>
      </c>
    </row>
    <row r="342" spans="1:15">
      <c r="A342" s="63" t="s">
        <v>849</v>
      </c>
      <c r="B342" s="14" t="str">
        <f>VLOOKUP(O342,'护理记录单文书字典(数据)'!B$4:C$99,2,0)</f>
        <v>7B1825350CFAB21135B72E43AD487853</v>
      </c>
      <c r="C342" s="75" t="s">
        <v>1296</v>
      </c>
      <c r="D342" s="75" t="s">
        <v>1297</v>
      </c>
      <c r="E342" s="92">
        <v>2</v>
      </c>
      <c r="F342" s="92">
        <v>2</v>
      </c>
      <c r="G342" s="75" t="s">
        <v>1299</v>
      </c>
      <c r="H342" s="75"/>
      <c r="I342" s="75"/>
      <c r="J342" s="75" t="s">
        <v>162</v>
      </c>
      <c r="K342" s="75" t="s">
        <v>509</v>
      </c>
      <c r="L342" s="75" t="s">
        <v>535</v>
      </c>
      <c r="M342" s="75" t="s">
        <v>509</v>
      </c>
      <c r="N342" s="75" t="s">
        <v>535</v>
      </c>
      <c r="O342" s="86" t="s">
        <v>1294</v>
      </c>
    </row>
    <row r="343" spans="1:15">
      <c r="A343" s="63" t="s">
        <v>849</v>
      </c>
      <c r="B343" s="14" t="str">
        <f>VLOOKUP(O343,'护理记录单文书字典(数据)'!B$4:C$99,2,0)</f>
        <v>7B1825350CFAB21135B72E43AD487853</v>
      </c>
      <c r="C343" s="75" t="s">
        <v>1300</v>
      </c>
      <c r="D343" s="75" t="s">
        <v>1301</v>
      </c>
      <c r="E343" s="92">
        <v>1</v>
      </c>
      <c r="F343" s="92">
        <v>1</v>
      </c>
      <c r="G343" s="75" t="s">
        <v>1293</v>
      </c>
      <c r="H343" s="75"/>
      <c r="I343" s="75"/>
      <c r="J343" s="75" t="s">
        <v>162</v>
      </c>
      <c r="K343" s="75" t="s">
        <v>509</v>
      </c>
      <c r="L343" s="75" t="s">
        <v>535</v>
      </c>
      <c r="M343" s="75" t="s">
        <v>509</v>
      </c>
      <c r="N343" s="75" t="s">
        <v>535</v>
      </c>
      <c r="O343" s="86" t="s">
        <v>1294</v>
      </c>
    </row>
    <row r="344" spans="1:15">
      <c r="A344" s="63" t="s">
        <v>849</v>
      </c>
      <c r="B344" s="14" t="str">
        <f>VLOOKUP(O344,'护理记录单文书字典(数据)'!B$4:C$99,2,0)</f>
        <v>7B1825350CFAB21135B72E43AD487853</v>
      </c>
      <c r="C344" s="75" t="s">
        <v>1300</v>
      </c>
      <c r="D344" s="75" t="s">
        <v>1301</v>
      </c>
      <c r="E344" s="92">
        <v>2</v>
      </c>
      <c r="F344" s="92">
        <v>2</v>
      </c>
      <c r="G344" s="75" t="s">
        <v>1295</v>
      </c>
      <c r="H344" s="75"/>
      <c r="I344" s="75"/>
      <c r="J344" s="75" t="s">
        <v>162</v>
      </c>
      <c r="K344" s="75" t="s">
        <v>509</v>
      </c>
      <c r="L344" s="75" t="s">
        <v>535</v>
      </c>
      <c r="M344" s="75" t="s">
        <v>509</v>
      </c>
      <c r="N344" s="75" t="s">
        <v>535</v>
      </c>
      <c r="O344" s="86" t="s">
        <v>1294</v>
      </c>
    </row>
    <row r="345" spans="1:15">
      <c r="A345" s="63" t="s">
        <v>849</v>
      </c>
      <c r="B345" s="14" t="str">
        <f>VLOOKUP(O345,'护理记录单文书字典(数据)'!B$4:C$99,2,0)</f>
        <v>7B1825350CFAB21135B72E43AD487853</v>
      </c>
      <c r="C345" s="75" t="s">
        <v>1302</v>
      </c>
      <c r="D345" s="75" t="s">
        <v>1303</v>
      </c>
      <c r="E345" s="92">
        <v>1</v>
      </c>
      <c r="F345" s="92">
        <v>1</v>
      </c>
      <c r="G345" s="75" t="s">
        <v>1298</v>
      </c>
      <c r="H345" s="75"/>
      <c r="I345" s="75"/>
      <c r="J345" s="75" t="s">
        <v>162</v>
      </c>
      <c r="K345" s="75" t="s">
        <v>509</v>
      </c>
      <c r="L345" s="75" t="s">
        <v>535</v>
      </c>
      <c r="M345" s="75" t="s">
        <v>509</v>
      </c>
      <c r="N345" s="75" t="s">
        <v>535</v>
      </c>
      <c r="O345" s="86" t="s">
        <v>1294</v>
      </c>
    </row>
    <row r="346" spans="1:15">
      <c r="A346" s="63" t="s">
        <v>849</v>
      </c>
      <c r="B346" s="14" t="str">
        <f>VLOOKUP(O346,'护理记录单文书字典(数据)'!B$4:C$99,2,0)</f>
        <v>7B1825350CFAB21135B72E43AD487853</v>
      </c>
      <c r="C346" s="75" t="s">
        <v>1302</v>
      </c>
      <c r="D346" s="75" t="s">
        <v>1303</v>
      </c>
      <c r="E346" s="92">
        <v>2</v>
      </c>
      <c r="F346" s="92">
        <v>2</v>
      </c>
      <c r="G346" s="75" t="s">
        <v>1299</v>
      </c>
      <c r="H346" s="75"/>
      <c r="I346" s="75"/>
      <c r="J346" s="75" t="s">
        <v>162</v>
      </c>
      <c r="K346" s="75" t="s">
        <v>509</v>
      </c>
      <c r="L346" s="75" t="s">
        <v>535</v>
      </c>
      <c r="M346" s="75" t="s">
        <v>509</v>
      </c>
      <c r="N346" s="75" t="s">
        <v>535</v>
      </c>
      <c r="O346" s="86" t="s">
        <v>1294</v>
      </c>
    </row>
    <row r="347" spans="1:15">
      <c r="A347" s="63" t="s">
        <v>849</v>
      </c>
      <c r="B347" s="14" t="str">
        <f>VLOOKUP(O347,'护理记录单文书字典(数据)'!B$4:C$99,2,0)</f>
        <v>7B1825350CFAB21135B72E43AD487853</v>
      </c>
      <c r="C347" s="75" t="s">
        <v>1304</v>
      </c>
      <c r="D347" s="75" t="s">
        <v>1305</v>
      </c>
      <c r="E347" s="92">
        <v>1</v>
      </c>
      <c r="F347" s="92">
        <v>1</v>
      </c>
      <c r="G347" s="75" t="s">
        <v>1306</v>
      </c>
      <c r="H347" s="75"/>
      <c r="I347" s="75"/>
      <c r="J347" s="75" t="s">
        <v>162</v>
      </c>
      <c r="K347" s="75" t="s">
        <v>509</v>
      </c>
      <c r="L347" s="75" t="s">
        <v>535</v>
      </c>
      <c r="M347" s="75" t="s">
        <v>509</v>
      </c>
      <c r="N347" s="75" t="s">
        <v>535</v>
      </c>
      <c r="O347" s="86" t="s">
        <v>1294</v>
      </c>
    </row>
    <row r="348" spans="1:15">
      <c r="A348" s="63" t="s">
        <v>849</v>
      </c>
      <c r="B348" s="14" t="str">
        <f>VLOOKUP(O348,'护理记录单文书字典(数据)'!B$4:C$99,2,0)</f>
        <v>7B1825350CFAB21135B72E43AD487853</v>
      </c>
      <c r="C348" s="75" t="s">
        <v>1304</v>
      </c>
      <c r="D348" s="75" t="s">
        <v>1305</v>
      </c>
      <c r="E348" s="92">
        <v>2</v>
      </c>
      <c r="F348" s="92">
        <v>2</v>
      </c>
      <c r="G348" s="75" t="s">
        <v>1307</v>
      </c>
      <c r="H348" s="75"/>
      <c r="I348" s="75"/>
      <c r="J348" s="75" t="s">
        <v>162</v>
      </c>
      <c r="K348" s="75" t="s">
        <v>509</v>
      </c>
      <c r="L348" s="75" t="s">
        <v>535</v>
      </c>
      <c r="M348" s="75" t="s">
        <v>509</v>
      </c>
      <c r="N348" s="75" t="s">
        <v>535</v>
      </c>
      <c r="O348" s="86" t="s">
        <v>1294</v>
      </c>
    </row>
    <row r="349" spans="1:15">
      <c r="A349" s="63" t="s">
        <v>849</v>
      </c>
      <c r="B349" s="14" t="str">
        <f>VLOOKUP(O349,'护理记录单文书字典(数据)'!B$4:C$99,2,0)</f>
        <v>7B1825350CFAB21135B72E43AD487853</v>
      </c>
      <c r="C349" s="75" t="s">
        <v>1308</v>
      </c>
      <c r="D349" s="75" t="s">
        <v>1309</v>
      </c>
      <c r="E349" s="92">
        <v>1</v>
      </c>
      <c r="F349" s="92">
        <v>1</v>
      </c>
      <c r="G349" s="75" t="s">
        <v>1310</v>
      </c>
      <c r="H349" s="75"/>
      <c r="I349" s="75"/>
      <c r="J349" s="75" t="s">
        <v>162</v>
      </c>
      <c r="K349" s="75" t="s">
        <v>509</v>
      </c>
      <c r="L349" s="75" t="s">
        <v>535</v>
      </c>
      <c r="M349" s="75" t="s">
        <v>509</v>
      </c>
      <c r="N349" s="75" t="s">
        <v>535</v>
      </c>
      <c r="O349" s="86" t="s">
        <v>1294</v>
      </c>
    </row>
    <row r="350" spans="1:15">
      <c r="A350" s="63" t="s">
        <v>849</v>
      </c>
      <c r="B350" s="14" t="str">
        <f>VLOOKUP(O350,'护理记录单文书字典(数据)'!B$4:C$99,2,0)</f>
        <v>7B1825350CFAB21135B72E43AD487853</v>
      </c>
      <c r="C350" s="75" t="s">
        <v>1308</v>
      </c>
      <c r="D350" s="75" t="s">
        <v>1309</v>
      </c>
      <c r="E350" s="92">
        <v>2</v>
      </c>
      <c r="F350" s="92">
        <v>2</v>
      </c>
      <c r="G350" s="75" t="s">
        <v>1311</v>
      </c>
      <c r="H350" s="75"/>
      <c r="I350" s="75"/>
      <c r="J350" s="75" t="s">
        <v>162</v>
      </c>
      <c r="K350" s="75" t="s">
        <v>509</v>
      </c>
      <c r="L350" s="75" t="s">
        <v>535</v>
      </c>
      <c r="M350" s="75" t="s">
        <v>509</v>
      </c>
      <c r="N350" s="75" t="s">
        <v>535</v>
      </c>
      <c r="O350" s="86" t="s">
        <v>1294</v>
      </c>
    </row>
    <row r="351" spans="1:15">
      <c r="A351" s="63" t="s">
        <v>849</v>
      </c>
      <c r="B351" s="14" t="str">
        <f>VLOOKUP(O351,'护理记录单文书字典(数据)'!B$4:C$99,2,0)</f>
        <v>7B1825350CFAB21135B72E43AD487853</v>
      </c>
      <c r="C351" s="75" t="s">
        <v>1312</v>
      </c>
      <c r="D351" s="75" t="s">
        <v>1313</v>
      </c>
      <c r="E351" s="92">
        <v>1</v>
      </c>
      <c r="F351" s="92">
        <v>1</v>
      </c>
      <c r="G351" s="75" t="s">
        <v>1287</v>
      </c>
      <c r="H351" s="75"/>
      <c r="I351" s="75"/>
      <c r="J351" s="75" t="s">
        <v>162</v>
      </c>
      <c r="K351" s="75" t="s">
        <v>509</v>
      </c>
      <c r="L351" s="75" t="s">
        <v>535</v>
      </c>
      <c r="M351" s="75" t="s">
        <v>509</v>
      </c>
      <c r="N351" s="75" t="s">
        <v>535</v>
      </c>
      <c r="O351" s="86" t="s">
        <v>1294</v>
      </c>
    </row>
    <row r="352" spans="1:15">
      <c r="A352" s="63" t="s">
        <v>849</v>
      </c>
      <c r="B352" s="14" t="str">
        <f>VLOOKUP(O352,'护理记录单文书字典(数据)'!B$4:C$99,2,0)</f>
        <v>7B1825350CFAB21135B72E43AD487853</v>
      </c>
      <c r="C352" s="75" t="s">
        <v>1312</v>
      </c>
      <c r="D352" s="75" t="s">
        <v>1313</v>
      </c>
      <c r="E352" s="92">
        <v>2</v>
      </c>
      <c r="F352" s="92">
        <v>2</v>
      </c>
      <c r="G352" s="75" t="s">
        <v>1314</v>
      </c>
      <c r="H352" s="75"/>
      <c r="I352" s="75"/>
      <c r="J352" s="75" t="s">
        <v>162</v>
      </c>
      <c r="K352" s="75" t="s">
        <v>509</v>
      </c>
      <c r="L352" s="75" t="s">
        <v>535</v>
      </c>
      <c r="M352" s="75" t="s">
        <v>509</v>
      </c>
      <c r="N352" s="75" t="s">
        <v>535</v>
      </c>
      <c r="O352" s="86" t="s">
        <v>1294</v>
      </c>
    </row>
    <row r="353" spans="1:15">
      <c r="A353" s="63" t="s">
        <v>849</v>
      </c>
      <c r="B353" s="14" t="str">
        <f>VLOOKUP(O353,'护理记录单文书字典(数据)'!B$4:C$99,2,0)</f>
        <v>7B1825350CFAB21135B72E43AD487853</v>
      </c>
      <c r="C353" s="75" t="s">
        <v>1312</v>
      </c>
      <c r="D353" s="75" t="s">
        <v>1313</v>
      </c>
      <c r="E353" s="92">
        <v>3</v>
      </c>
      <c r="F353" s="92">
        <v>3</v>
      </c>
      <c r="G353" s="75" t="s">
        <v>1315</v>
      </c>
      <c r="H353" s="75"/>
      <c r="I353" s="75"/>
      <c r="J353" s="75" t="s">
        <v>162</v>
      </c>
      <c r="K353" s="75" t="s">
        <v>509</v>
      </c>
      <c r="L353" s="75" t="s">
        <v>535</v>
      </c>
      <c r="M353" s="75" t="s">
        <v>509</v>
      </c>
      <c r="N353" s="75" t="s">
        <v>535</v>
      </c>
      <c r="O353" s="86" t="s">
        <v>1294</v>
      </c>
    </row>
    <row r="354" spans="1:15">
      <c r="A354" s="63" t="s">
        <v>849</v>
      </c>
      <c r="B354" s="14" t="str">
        <f>VLOOKUP(O354,'护理记录单文书字典(数据)'!B$4:C$99,2,0)</f>
        <v>7B1825350CFAB21135B72E43AD487853</v>
      </c>
      <c r="C354" s="75" t="s">
        <v>1316</v>
      </c>
      <c r="D354" s="75" t="s">
        <v>1317</v>
      </c>
      <c r="E354" s="92">
        <v>1</v>
      </c>
      <c r="F354" s="92">
        <v>1</v>
      </c>
      <c r="G354" s="75" t="s">
        <v>1190</v>
      </c>
      <c r="H354" s="75"/>
      <c r="I354" s="75"/>
      <c r="J354" s="75" t="s">
        <v>162</v>
      </c>
      <c r="K354" s="75" t="s">
        <v>509</v>
      </c>
      <c r="L354" s="75" t="s">
        <v>535</v>
      </c>
      <c r="M354" s="75" t="s">
        <v>509</v>
      </c>
      <c r="N354" s="75" t="s">
        <v>535</v>
      </c>
      <c r="O354" s="86" t="s">
        <v>1294</v>
      </c>
    </row>
    <row r="355" spans="1:15">
      <c r="A355" s="63" t="s">
        <v>849</v>
      </c>
      <c r="B355" s="14" t="str">
        <f>VLOOKUP(O355,'护理记录单文书字典(数据)'!B$4:C$99,2,0)</f>
        <v>7B1825350CFAB21135B72E43AD487853</v>
      </c>
      <c r="C355" s="75" t="s">
        <v>1316</v>
      </c>
      <c r="D355" s="75" t="s">
        <v>1317</v>
      </c>
      <c r="E355" s="92">
        <v>2</v>
      </c>
      <c r="F355" s="92">
        <v>2</v>
      </c>
      <c r="G355" s="75" t="s">
        <v>1191</v>
      </c>
      <c r="H355" s="75"/>
      <c r="I355" s="75"/>
      <c r="J355" s="75" t="s">
        <v>162</v>
      </c>
      <c r="K355" s="75" t="s">
        <v>509</v>
      </c>
      <c r="L355" s="75" t="s">
        <v>535</v>
      </c>
      <c r="M355" s="75" t="s">
        <v>509</v>
      </c>
      <c r="N355" s="75" t="s">
        <v>535</v>
      </c>
      <c r="O355" s="86" t="s">
        <v>1294</v>
      </c>
    </row>
    <row r="356" spans="1:15">
      <c r="A356" s="63" t="s">
        <v>849</v>
      </c>
      <c r="B356" s="14" t="str">
        <f>VLOOKUP(O356,'护理记录单文书字典(数据)'!B$4:C$99,2,0)</f>
        <v>7B1825350CFAB21135B72E43AD487853</v>
      </c>
      <c r="C356" s="75" t="s">
        <v>1316</v>
      </c>
      <c r="D356" s="75" t="s">
        <v>1317</v>
      </c>
      <c r="E356" s="92">
        <v>3</v>
      </c>
      <c r="F356" s="92">
        <v>3</v>
      </c>
      <c r="G356" s="75" t="s">
        <v>1192</v>
      </c>
      <c r="H356" s="75"/>
      <c r="I356" s="75"/>
      <c r="J356" s="75" t="s">
        <v>162</v>
      </c>
      <c r="K356" s="75" t="s">
        <v>509</v>
      </c>
      <c r="L356" s="75" t="s">
        <v>535</v>
      </c>
      <c r="M356" s="75" t="s">
        <v>509</v>
      </c>
      <c r="N356" s="75" t="s">
        <v>535</v>
      </c>
      <c r="O356" s="86" t="s">
        <v>1294</v>
      </c>
    </row>
    <row r="357" spans="1:15">
      <c r="A357" s="63" t="s">
        <v>849</v>
      </c>
      <c r="B357" s="14" t="str">
        <f>VLOOKUP(O357,'护理记录单文书字典(数据)'!B$4:C$99,2,0)</f>
        <v>7B1825350CFAB21135B72E43AD487853</v>
      </c>
      <c r="C357" s="75" t="s">
        <v>1318</v>
      </c>
      <c r="D357" s="75" t="s">
        <v>1319</v>
      </c>
      <c r="E357" s="92">
        <v>1</v>
      </c>
      <c r="F357" s="92">
        <v>1</v>
      </c>
      <c r="G357" s="75" t="s">
        <v>962</v>
      </c>
      <c r="H357" s="75"/>
      <c r="I357" s="75"/>
      <c r="J357" s="75" t="s">
        <v>162</v>
      </c>
      <c r="K357" s="75" t="s">
        <v>509</v>
      </c>
      <c r="L357" s="75" t="s">
        <v>535</v>
      </c>
      <c r="M357" s="75" t="s">
        <v>509</v>
      </c>
      <c r="N357" s="75" t="s">
        <v>535</v>
      </c>
      <c r="O357" s="86" t="s">
        <v>1294</v>
      </c>
    </row>
    <row r="358" spans="1:15">
      <c r="A358" s="63" t="s">
        <v>849</v>
      </c>
      <c r="B358" s="14" t="str">
        <f>VLOOKUP(O358,'护理记录单文书字典(数据)'!B$4:C$99,2,0)</f>
        <v>7B1825350CFAB21135B72E43AD487853</v>
      </c>
      <c r="C358" s="75" t="s">
        <v>1318</v>
      </c>
      <c r="D358" s="75" t="s">
        <v>1319</v>
      </c>
      <c r="E358" s="92">
        <v>2</v>
      </c>
      <c r="F358" s="92">
        <v>2</v>
      </c>
      <c r="G358" s="75" t="s">
        <v>1320</v>
      </c>
      <c r="H358" s="75"/>
      <c r="I358" s="75"/>
      <c r="J358" s="75" t="s">
        <v>162</v>
      </c>
      <c r="K358" s="75" t="s">
        <v>509</v>
      </c>
      <c r="L358" s="75" t="s">
        <v>535</v>
      </c>
      <c r="M358" s="75" t="s">
        <v>509</v>
      </c>
      <c r="N358" s="75" t="s">
        <v>535</v>
      </c>
      <c r="O358" s="86" t="s">
        <v>1294</v>
      </c>
    </row>
    <row r="359" spans="1:15">
      <c r="A359" s="63" t="s">
        <v>849</v>
      </c>
      <c r="B359" s="14" t="str">
        <f>VLOOKUP(O359,'护理记录单文书字典(数据)'!B$4:C$99,2,0)</f>
        <v>7B1825350CFAB21135B72E43AD487853</v>
      </c>
      <c r="C359" s="75" t="s">
        <v>1318</v>
      </c>
      <c r="D359" s="75" t="s">
        <v>1319</v>
      </c>
      <c r="E359" s="92">
        <v>3</v>
      </c>
      <c r="F359" s="92">
        <v>3</v>
      </c>
      <c r="G359" s="75" t="s">
        <v>1321</v>
      </c>
      <c r="H359" s="75"/>
      <c r="I359" s="75"/>
      <c r="J359" s="75" t="s">
        <v>162</v>
      </c>
      <c r="K359" s="75" t="s">
        <v>509</v>
      </c>
      <c r="L359" s="75" t="s">
        <v>535</v>
      </c>
      <c r="M359" s="75" t="s">
        <v>509</v>
      </c>
      <c r="N359" s="75" t="s">
        <v>535</v>
      </c>
      <c r="O359" s="86" t="s">
        <v>1294</v>
      </c>
    </row>
    <row r="360" spans="1:15">
      <c r="A360" s="63" t="s">
        <v>849</v>
      </c>
      <c r="B360" s="14" t="str">
        <f>VLOOKUP(O360,'护理记录单文书字典(数据)'!B$4:C$99,2,0)</f>
        <v>7B1825350CFAB21135B72E43AD487853</v>
      </c>
      <c r="C360" s="75" t="s">
        <v>1318</v>
      </c>
      <c r="D360" s="75" t="s">
        <v>1319</v>
      </c>
      <c r="E360" s="92">
        <v>4</v>
      </c>
      <c r="F360" s="92">
        <v>4</v>
      </c>
      <c r="G360" s="75" t="s">
        <v>1322</v>
      </c>
      <c r="H360" s="75"/>
      <c r="I360" s="75"/>
      <c r="J360" s="75" t="s">
        <v>162</v>
      </c>
      <c r="K360" s="75" t="s">
        <v>509</v>
      </c>
      <c r="L360" s="75" t="s">
        <v>535</v>
      </c>
      <c r="M360" s="75" t="s">
        <v>509</v>
      </c>
      <c r="N360" s="75" t="s">
        <v>535</v>
      </c>
      <c r="O360" s="86" t="s">
        <v>1294</v>
      </c>
    </row>
    <row r="361" spans="1:15">
      <c r="A361" s="63" t="s">
        <v>849</v>
      </c>
      <c r="B361" s="14" t="str">
        <f>VLOOKUP(O361,'护理记录单文书字典(数据)'!B$4:C$99,2,0)</f>
        <v>7B1825350CFAB21135B72E43AD487853</v>
      </c>
      <c r="C361" s="75" t="s">
        <v>1323</v>
      </c>
      <c r="D361" s="75" t="s">
        <v>1324</v>
      </c>
      <c r="E361" s="92">
        <v>1</v>
      </c>
      <c r="F361" s="92">
        <v>1</v>
      </c>
      <c r="G361" s="75" t="s">
        <v>962</v>
      </c>
      <c r="H361" s="75"/>
      <c r="I361" s="75"/>
      <c r="J361" s="75" t="s">
        <v>162</v>
      </c>
      <c r="K361" s="75" t="s">
        <v>509</v>
      </c>
      <c r="L361" s="75" t="s">
        <v>535</v>
      </c>
      <c r="M361" s="75" t="s">
        <v>509</v>
      </c>
      <c r="N361" s="75" t="s">
        <v>535</v>
      </c>
      <c r="O361" s="86" t="s">
        <v>1294</v>
      </c>
    </row>
    <row r="362" spans="1:15">
      <c r="A362" s="63" t="s">
        <v>849</v>
      </c>
      <c r="B362" s="14" t="str">
        <f>VLOOKUP(O362,'护理记录单文书字典(数据)'!B$4:C$99,2,0)</f>
        <v>7B1825350CFAB21135B72E43AD487853</v>
      </c>
      <c r="C362" s="75" t="s">
        <v>1323</v>
      </c>
      <c r="D362" s="75" t="s">
        <v>1324</v>
      </c>
      <c r="E362" s="92">
        <v>2</v>
      </c>
      <c r="F362" s="92">
        <v>2</v>
      </c>
      <c r="G362" s="75" t="s">
        <v>1325</v>
      </c>
      <c r="H362" s="75"/>
      <c r="I362" s="75"/>
      <c r="J362" s="75" t="s">
        <v>162</v>
      </c>
      <c r="K362" s="75" t="s">
        <v>509</v>
      </c>
      <c r="L362" s="75" t="s">
        <v>535</v>
      </c>
      <c r="M362" s="75" t="s">
        <v>509</v>
      </c>
      <c r="N362" s="75" t="s">
        <v>535</v>
      </c>
      <c r="O362" s="86" t="s">
        <v>1294</v>
      </c>
    </row>
    <row r="363" spans="1:15">
      <c r="A363" s="63" t="s">
        <v>849</v>
      </c>
      <c r="B363" s="14" t="str">
        <f>VLOOKUP(O363,'护理记录单文书字典(数据)'!B$4:C$99,2,0)</f>
        <v>7B1825350CFAB21135B72E43AD487853</v>
      </c>
      <c r="C363" s="75" t="s">
        <v>1323</v>
      </c>
      <c r="D363" s="75" t="s">
        <v>1324</v>
      </c>
      <c r="E363" s="92">
        <v>3</v>
      </c>
      <c r="F363" s="92">
        <v>3</v>
      </c>
      <c r="G363" s="75" t="s">
        <v>1326</v>
      </c>
      <c r="H363" s="75"/>
      <c r="I363" s="75"/>
      <c r="J363" s="75" t="s">
        <v>162</v>
      </c>
      <c r="K363" s="75" t="s">
        <v>509</v>
      </c>
      <c r="L363" s="75" t="s">
        <v>535</v>
      </c>
      <c r="M363" s="75" t="s">
        <v>509</v>
      </c>
      <c r="N363" s="75" t="s">
        <v>535</v>
      </c>
      <c r="O363" s="86" t="s">
        <v>1294</v>
      </c>
    </row>
    <row r="364" spans="1:15">
      <c r="A364" s="63" t="s">
        <v>849</v>
      </c>
      <c r="B364" s="14" t="str">
        <f>VLOOKUP(O364,'护理记录单文书字典(数据)'!B$4:C$99,2,0)</f>
        <v>7B1825350CFAB21135B72E43AD487853</v>
      </c>
      <c r="C364" s="75" t="s">
        <v>1323</v>
      </c>
      <c r="D364" s="75" t="s">
        <v>1324</v>
      </c>
      <c r="E364" s="92">
        <v>4</v>
      </c>
      <c r="F364" s="92">
        <v>4</v>
      </c>
      <c r="G364" s="75" t="s">
        <v>1265</v>
      </c>
      <c r="H364" s="75"/>
      <c r="I364" s="75"/>
      <c r="J364" s="75" t="s">
        <v>162</v>
      </c>
      <c r="K364" s="75" t="s">
        <v>509</v>
      </c>
      <c r="L364" s="75" t="s">
        <v>535</v>
      </c>
      <c r="M364" s="75" t="s">
        <v>509</v>
      </c>
      <c r="N364" s="75" t="s">
        <v>535</v>
      </c>
      <c r="O364" s="86" t="s">
        <v>1294</v>
      </c>
    </row>
    <row r="365" spans="1:15">
      <c r="A365" s="63" t="s">
        <v>849</v>
      </c>
      <c r="B365" s="14" t="str">
        <f>VLOOKUP(O365,'护理记录单文书字典(数据)'!B$4:C$99,2,0)</f>
        <v>7B1825350CFAB21135B72E43AD487853</v>
      </c>
      <c r="C365" s="170" t="s">
        <v>4058</v>
      </c>
      <c r="D365" s="170" t="s">
        <v>3493</v>
      </c>
      <c r="E365" s="171">
        <v>1</v>
      </c>
      <c r="F365" s="171">
        <v>0</v>
      </c>
      <c r="G365" s="170" t="s">
        <v>192</v>
      </c>
      <c r="H365" s="170"/>
      <c r="I365" s="170"/>
      <c r="J365" s="170" t="s">
        <v>162</v>
      </c>
      <c r="K365" s="170" t="s">
        <v>509</v>
      </c>
      <c r="L365" s="170" t="s">
        <v>535</v>
      </c>
      <c r="M365" s="170" t="s">
        <v>509</v>
      </c>
      <c r="N365" s="170" t="s">
        <v>535</v>
      </c>
      <c r="O365" s="86" t="s">
        <v>1294</v>
      </c>
    </row>
    <row r="366" spans="1:15">
      <c r="A366" s="63" t="s">
        <v>849</v>
      </c>
      <c r="B366" s="14" t="str">
        <f>VLOOKUP(O366,'护理记录单文书字典(数据)'!B$4:C$99,2,0)</f>
        <v>7B1825350CFAB21135B72E43AD487853</v>
      </c>
      <c r="C366" s="170" t="s">
        <v>4057</v>
      </c>
      <c r="D366" s="170" t="s">
        <v>3493</v>
      </c>
      <c r="E366" s="171">
        <v>2</v>
      </c>
      <c r="F366" s="171">
        <v>1</v>
      </c>
      <c r="G366" s="170" t="s">
        <v>191</v>
      </c>
      <c r="H366" s="170"/>
      <c r="I366" s="170"/>
      <c r="J366" s="170" t="s">
        <v>162</v>
      </c>
      <c r="K366" s="170" t="s">
        <v>509</v>
      </c>
      <c r="L366" s="170" t="s">
        <v>535</v>
      </c>
      <c r="M366" s="170" t="s">
        <v>509</v>
      </c>
      <c r="N366" s="170" t="s">
        <v>535</v>
      </c>
      <c r="O366" s="170" t="s">
        <v>1294</v>
      </c>
    </row>
    <row r="367" spans="1:15">
      <c r="A367" s="63" t="s">
        <v>849</v>
      </c>
      <c r="B367" s="14" t="str">
        <f>VLOOKUP(O367,'护理记录单文书字典(数据)'!B$4:C$99,2,0)</f>
        <v>89F92B350CFAB2115BA083669CA3277E</v>
      </c>
      <c r="C367" s="75" t="s">
        <v>1327</v>
      </c>
      <c r="D367" s="75" t="s">
        <v>1328</v>
      </c>
      <c r="E367" s="92">
        <v>1</v>
      </c>
      <c r="F367" s="92">
        <v>1</v>
      </c>
      <c r="G367" s="75" t="s">
        <v>962</v>
      </c>
      <c r="H367" s="75"/>
      <c r="I367" s="75"/>
      <c r="J367" s="75" t="s">
        <v>162</v>
      </c>
      <c r="K367" s="75" t="s">
        <v>509</v>
      </c>
      <c r="L367" s="75" t="s">
        <v>535</v>
      </c>
      <c r="M367" s="75" t="s">
        <v>509</v>
      </c>
      <c r="N367" s="75" t="s">
        <v>535</v>
      </c>
      <c r="O367" s="86" t="s">
        <v>1329</v>
      </c>
    </row>
    <row r="368" spans="1:15">
      <c r="A368" s="63" t="s">
        <v>849</v>
      </c>
      <c r="B368" s="14" t="str">
        <f>VLOOKUP(O368,'护理记录单文书字典(数据)'!B$4:C$99,2,0)</f>
        <v>89F92B350CFAB2115BA083669CA3277E</v>
      </c>
      <c r="C368" s="75" t="s">
        <v>1327</v>
      </c>
      <c r="D368" s="75" t="s">
        <v>1328</v>
      </c>
      <c r="E368" s="92">
        <v>2</v>
      </c>
      <c r="F368" s="92">
        <v>2</v>
      </c>
      <c r="G368" s="75" t="s">
        <v>1190</v>
      </c>
      <c r="H368" s="75"/>
      <c r="I368" s="75"/>
      <c r="J368" s="75" t="s">
        <v>162</v>
      </c>
      <c r="K368" s="75" t="s">
        <v>509</v>
      </c>
      <c r="L368" s="75" t="s">
        <v>535</v>
      </c>
      <c r="M368" s="75" t="s">
        <v>509</v>
      </c>
      <c r="N368" s="75" t="s">
        <v>535</v>
      </c>
      <c r="O368" s="86" t="s">
        <v>1329</v>
      </c>
    </row>
    <row r="369" spans="1:15">
      <c r="A369" s="63" t="s">
        <v>849</v>
      </c>
      <c r="B369" s="14" t="str">
        <f>VLOOKUP(O369,'护理记录单文书字典(数据)'!B$4:C$99,2,0)</f>
        <v>89F92B350CFAB2115BA083669CA3277E</v>
      </c>
      <c r="C369" s="75" t="s">
        <v>1327</v>
      </c>
      <c r="D369" s="75" t="s">
        <v>1328</v>
      </c>
      <c r="E369" s="92">
        <v>3</v>
      </c>
      <c r="F369" s="92">
        <v>3</v>
      </c>
      <c r="G369" s="75" t="s">
        <v>1191</v>
      </c>
      <c r="H369" s="75"/>
      <c r="I369" s="75"/>
      <c r="J369" s="75" t="s">
        <v>162</v>
      </c>
      <c r="K369" s="75" t="s">
        <v>509</v>
      </c>
      <c r="L369" s="75" t="s">
        <v>535</v>
      </c>
      <c r="M369" s="75" t="s">
        <v>509</v>
      </c>
      <c r="N369" s="75" t="s">
        <v>535</v>
      </c>
      <c r="O369" s="86" t="s">
        <v>1329</v>
      </c>
    </row>
    <row r="370" spans="1:15">
      <c r="A370" s="63" t="s">
        <v>849</v>
      </c>
      <c r="B370" s="14" t="str">
        <f>VLOOKUP(O370,'护理记录单文书字典(数据)'!B$4:C$99,2,0)</f>
        <v>89F92B350CFAB2115BA083669CA3277E</v>
      </c>
      <c r="C370" s="75" t="s">
        <v>1327</v>
      </c>
      <c r="D370" s="75" t="s">
        <v>1328</v>
      </c>
      <c r="E370" s="92">
        <v>4</v>
      </c>
      <c r="F370" s="92">
        <v>4</v>
      </c>
      <c r="G370" s="75" t="s">
        <v>1192</v>
      </c>
      <c r="H370" s="75"/>
      <c r="I370" s="75"/>
      <c r="J370" s="75" t="s">
        <v>162</v>
      </c>
      <c r="K370" s="75" t="s">
        <v>509</v>
      </c>
      <c r="L370" s="75" t="s">
        <v>535</v>
      </c>
      <c r="M370" s="75" t="s">
        <v>509</v>
      </c>
      <c r="N370" s="75" t="s">
        <v>535</v>
      </c>
      <c r="O370" s="86" t="s">
        <v>1329</v>
      </c>
    </row>
    <row r="371" spans="1:15">
      <c r="A371" s="63" t="s">
        <v>849</v>
      </c>
      <c r="B371" s="14" t="str">
        <f>VLOOKUP(O371,'护理记录单文书字典(数据)'!B$4:C$99,2,0)</f>
        <v>89F92B350CFAB2115BA083669CA3277E</v>
      </c>
      <c r="C371" s="75" t="s">
        <v>1330</v>
      </c>
      <c r="D371" s="75" t="s">
        <v>1331</v>
      </c>
      <c r="E371" s="92">
        <v>1</v>
      </c>
      <c r="F371" s="92">
        <v>1</v>
      </c>
      <c r="G371" s="75" t="s">
        <v>1332</v>
      </c>
      <c r="H371" s="75"/>
      <c r="I371" s="75"/>
      <c r="J371" s="75" t="s">
        <v>162</v>
      </c>
      <c r="K371" s="75" t="s">
        <v>509</v>
      </c>
      <c r="L371" s="75" t="s">
        <v>535</v>
      </c>
      <c r="M371" s="75" t="s">
        <v>509</v>
      </c>
      <c r="N371" s="75" t="s">
        <v>535</v>
      </c>
      <c r="O371" s="86" t="s">
        <v>1329</v>
      </c>
    </row>
    <row r="372" spans="1:15">
      <c r="A372" s="63" t="s">
        <v>849</v>
      </c>
      <c r="B372" s="14" t="str">
        <f>VLOOKUP(O372,'护理记录单文书字典(数据)'!B$4:C$99,2,0)</f>
        <v>89F92B350CFAB2115BA083669CA3277E</v>
      </c>
      <c r="C372" s="75" t="s">
        <v>1330</v>
      </c>
      <c r="D372" s="75" t="s">
        <v>1331</v>
      </c>
      <c r="E372" s="92">
        <v>2</v>
      </c>
      <c r="F372" s="92">
        <v>2</v>
      </c>
      <c r="G372" s="75" t="s">
        <v>1333</v>
      </c>
      <c r="H372" s="75"/>
      <c r="I372" s="75"/>
      <c r="J372" s="75" t="s">
        <v>162</v>
      </c>
      <c r="K372" s="75" t="s">
        <v>509</v>
      </c>
      <c r="L372" s="75" t="s">
        <v>535</v>
      </c>
      <c r="M372" s="75" t="s">
        <v>509</v>
      </c>
      <c r="N372" s="75" t="s">
        <v>535</v>
      </c>
      <c r="O372" s="86" t="s">
        <v>1329</v>
      </c>
    </row>
    <row r="373" spans="1:15">
      <c r="A373" s="63" t="s">
        <v>849</v>
      </c>
      <c r="B373" s="14" t="str">
        <f>VLOOKUP(O373,'护理记录单文书字典(数据)'!B$4:C$99,2,0)</f>
        <v>89F92B350CFAB2115BA083669CA3277E</v>
      </c>
      <c r="C373" s="75" t="s">
        <v>1330</v>
      </c>
      <c r="D373" s="75" t="s">
        <v>1331</v>
      </c>
      <c r="E373" s="92">
        <v>3</v>
      </c>
      <c r="F373" s="92">
        <v>3</v>
      </c>
      <c r="G373" s="75" t="s">
        <v>1334</v>
      </c>
      <c r="H373" s="75"/>
      <c r="I373" s="75"/>
      <c r="J373" s="75" t="s">
        <v>162</v>
      </c>
      <c r="K373" s="75" t="s">
        <v>509</v>
      </c>
      <c r="L373" s="75" t="s">
        <v>535</v>
      </c>
      <c r="M373" s="75" t="s">
        <v>509</v>
      </c>
      <c r="N373" s="75" t="s">
        <v>535</v>
      </c>
      <c r="O373" s="86" t="s">
        <v>1329</v>
      </c>
    </row>
    <row r="374" spans="1:15">
      <c r="A374" s="63" t="s">
        <v>849</v>
      </c>
      <c r="B374" s="14" t="str">
        <f>VLOOKUP(O374,'护理记录单文书字典(数据)'!B$4:C$99,2,0)</f>
        <v>89F92B350CFAB2115BA083669CA3277E</v>
      </c>
      <c r="C374" s="75" t="s">
        <v>1330</v>
      </c>
      <c r="D374" s="75" t="s">
        <v>1331</v>
      </c>
      <c r="E374" s="92">
        <v>4</v>
      </c>
      <c r="F374" s="92">
        <v>4</v>
      </c>
      <c r="G374" s="75" t="s">
        <v>1093</v>
      </c>
      <c r="H374" s="75"/>
      <c r="I374" s="75"/>
      <c r="J374" s="75" t="s">
        <v>162</v>
      </c>
      <c r="K374" s="75" t="s">
        <v>509</v>
      </c>
      <c r="L374" s="75" t="s">
        <v>535</v>
      </c>
      <c r="M374" s="75" t="s">
        <v>509</v>
      </c>
      <c r="N374" s="75" t="s">
        <v>535</v>
      </c>
      <c r="O374" s="86" t="s">
        <v>1329</v>
      </c>
    </row>
    <row r="375" spans="1:15">
      <c r="A375" s="63" t="s">
        <v>849</v>
      </c>
      <c r="B375" s="14" t="str">
        <f>VLOOKUP(O375,'护理记录单文书字典(数据)'!B$4:C$99,2,0)</f>
        <v>89F92B350CFAB2115BA083669CA3277E</v>
      </c>
      <c r="C375" s="75" t="s">
        <v>1335</v>
      </c>
      <c r="D375" s="75" t="s">
        <v>1336</v>
      </c>
      <c r="E375" s="92">
        <v>1</v>
      </c>
      <c r="F375" s="92">
        <v>1</v>
      </c>
      <c r="G375" s="75" t="s">
        <v>1337</v>
      </c>
      <c r="H375" s="75"/>
      <c r="I375" s="75"/>
      <c r="J375" s="75" t="s">
        <v>162</v>
      </c>
      <c r="K375" s="75" t="s">
        <v>509</v>
      </c>
      <c r="L375" s="75" t="s">
        <v>535</v>
      </c>
      <c r="M375" s="75" t="s">
        <v>509</v>
      </c>
      <c r="N375" s="75" t="s">
        <v>535</v>
      </c>
      <c r="O375" s="86" t="s">
        <v>1329</v>
      </c>
    </row>
    <row r="376" spans="1:15">
      <c r="A376" s="63" t="s">
        <v>849</v>
      </c>
      <c r="B376" s="14" t="str">
        <f>VLOOKUP(O376,'护理记录单文书字典(数据)'!B$4:C$99,2,0)</f>
        <v>89F92B350CFAB2115BA083669CA3277E</v>
      </c>
      <c r="C376" s="75" t="s">
        <v>1335</v>
      </c>
      <c r="D376" s="75" t="s">
        <v>1336</v>
      </c>
      <c r="E376" s="92">
        <v>2</v>
      </c>
      <c r="F376" s="92">
        <v>2</v>
      </c>
      <c r="G376" s="75" t="s">
        <v>1338</v>
      </c>
      <c r="H376" s="75"/>
      <c r="I376" s="75"/>
      <c r="J376" s="75" t="s">
        <v>162</v>
      </c>
      <c r="K376" s="75" t="s">
        <v>509</v>
      </c>
      <c r="L376" s="75" t="s">
        <v>535</v>
      </c>
      <c r="M376" s="75" t="s">
        <v>509</v>
      </c>
      <c r="N376" s="75" t="s">
        <v>535</v>
      </c>
      <c r="O376" s="86" t="s">
        <v>1329</v>
      </c>
    </row>
    <row r="377" spans="1:15">
      <c r="A377" s="63" t="s">
        <v>849</v>
      </c>
      <c r="B377" s="14" t="str">
        <f>VLOOKUP(O377,'护理记录单文书字典(数据)'!B$4:C$99,2,0)</f>
        <v>89F92B350CFAB2115BA083669CA3277E</v>
      </c>
      <c r="C377" s="75" t="s">
        <v>1335</v>
      </c>
      <c r="D377" s="75" t="s">
        <v>1336</v>
      </c>
      <c r="E377" s="92">
        <v>3</v>
      </c>
      <c r="F377" s="92">
        <v>3</v>
      </c>
      <c r="G377" s="75" t="s">
        <v>1339</v>
      </c>
      <c r="H377" s="75"/>
      <c r="I377" s="75"/>
      <c r="J377" s="75" t="s">
        <v>162</v>
      </c>
      <c r="K377" s="75" t="s">
        <v>509</v>
      </c>
      <c r="L377" s="75" t="s">
        <v>535</v>
      </c>
      <c r="M377" s="75" t="s">
        <v>509</v>
      </c>
      <c r="N377" s="75" t="s">
        <v>535</v>
      </c>
      <c r="O377" s="86" t="s">
        <v>1329</v>
      </c>
    </row>
    <row r="378" spans="1:15">
      <c r="A378" s="63" t="s">
        <v>849</v>
      </c>
      <c r="B378" s="14" t="str">
        <f>VLOOKUP(O378,'护理记录单文书字典(数据)'!B$4:C$99,2,0)</f>
        <v>89F92B350CFAB2115BA083669CA3277E</v>
      </c>
      <c r="C378" s="75" t="s">
        <v>1340</v>
      </c>
      <c r="D378" s="75" t="s">
        <v>1341</v>
      </c>
      <c r="E378" s="92">
        <v>1</v>
      </c>
      <c r="F378" s="92">
        <v>1</v>
      </c>
      <c r="G378" s="75" t="s">
        <v>981</v>
      </c>
      <c r="H378" s="75"/>
      <c r="I378" s="75"/>
      <c r="J378" s="75" t="s">
        <v>162</v>
      </c>
      <c r="K378" s="75" t="s">
        <v>509</v>
      </c>
      <c r="L378" s="75" t="s">
        <v>535</v>
      </c>
      <c r="M378" s="75" t="s">
        <v>509</v>
      </c>
      <c r="N378" s="75" t="s">
        <v>535</v>
      </c>
      <c r="O378" s="86" t="s">
        <v>1329</v>
      </c>
    </row>
    <row r="379" spans="1:15">
      <c r="A379" s="63" t="s">
        <v>849</v>
      </c>
      <c r="B379" s="14" t="str">
        <f>VLOOKUP(O379,'护理记录单文书字典(数据)'!B$4:C$99,2,0)</f>
        <v>89F92B350CFAB2115BA083669CA3277E</v>
      </c>
      <c r="C379" s="75" t="s">
        <v>1340</v>
      </c>
      <c r="D379" s="75" t="s">
        <v>1341</v>
      </c>
      <c r="E379" s="92">
        <v>2</v>
      </c>
      <c r="F379" s="92">
        <v>2</v>
      </c>
      <c r="G379" s="75" t="s">
        <v>982</v>
      </c>
      <c r="H379" s="75"/>
      <c r="I379" s="75"/>
      <c r="J379" s="75" t="s">
        <v>162</v>
      </c>
      <c r="K379" s="75" t="s">
        <v>509</v>
      </c>
      <c r="L379" s="75" t="s">
        <v>535</v>
      </c>
      <c r="M379" s="75" t="s">
        <v>509</v>
      </c>
      <c r="N379" s="75" t="s">
        <v>535</v>
      </c>
      <c r="O379" s="86" t="s">
        <v>1329</v>
      </c>
    </row>
    <row r="380" spans="1:15">
      <c r="A380" s="63" t="s">
        <v>849</v>
      </c>
      <c r="B380" s="14" t="str">
        <f>VLOOKUP(O380,'护理记录单文书字典(数据)'!B$4:C$99,2,0)</f>
        <v>89F92B350CFAB2115BA083669CA3277E</v>
      </c>
      <c r="C380" s="75" t="s">
        <v>1340</v>
      </c>
      <c r="D380" s="75" t="s">
        <v>1341</v>
      </c>
      <c r="E380" s="92">
        <v>3</v>
      </c>
      <c r="F380" s="92">
        <v>3</v>
      </c>
      <c r="G380" s="75" t="s">
        <v>983</v>
      </c>
      <c r="H380" s="75"/>
      <c r="I380" s="75"/>
      <c r="J380" s="75" t="s">
        <v>162</v>
      </c>
      <c r="K380" s="75" t="s">
        <v>509</v>
      </c>
      <c r="L380" s="75" t="s">
        <v>535</v>
      </c>
      <c r="M380" s="75" t="s">
        <v>509</v>
      </c>
      <c r="N380" s="75" t="s">
        <v>535</v>
      </c>
      <c r="O380" s="86" t="s">
        <v>1329</v>
      </c>
    </row>
    <row r="381" spans="1:15">
      <c r="A381" s="63" t="s">
        <v>849</v>
      </c>
      <c r="B381" s="14" t="str">
        <f>VLOOKUP(O381,'护理记录单文书字典(数据)'!B$4:C$99,2,0)</f>
        <v>89F92B350CFAB2115BA083669CA3277E</v>
      </c>
      <c r="C381" s="75" t="s">
        <v>1342</v>
      </c>
      <c r="D381" s="75" t="s">
        <v>1343</v>
      </c>
      <c r="E381" s="92">
        <v>1</v>
      </c>
      <c r="F381" s="92">
        <v>1</v>
      </c>
      <c r="G381" s="75" t="s">
        <v>1344</v>
      </c>
      <c r="H381" s="75"/>
      <c r="I381" s="75"/>
      <c r="J381" s="75" t="s">
        <v>162</v>
      </c>
      <c r="K381" s="75" t="s">
        <v>509</v>
      </c>
      <c r="L381" s="75" t="s">
        <v>535</v>
      </c>
      <c r="M381" s="75" t="s">
        <v>509</v>
      </c>
      <c r="N381" s="75" t="s">
        <v>535</v>
      </c>
      <c r="O381" s="86" t="s">
        <v>1329</v>
      </c>
    </row>
    <row r="382" spans="1:15">
      <c r="A382" s="63" t="s">
        <v>849</v>
      </c>
      <c r="B382" s="14" t="str">
        <f>VLOOKUP(O382,'护理记录单文书字典(数据)'!B$4:C$99,2,0)</f>
        <v>89F92B350CFAB2115BA083669CA3277E</v>
      </c>
      <c r="C382" s="75" t="s">
        <v>1342</v>
      </c>
      <c r="D382" s="75" t="s">
        <v>1343</v>
      </c>
      <c r="E382" s="92">
        <v>2</v>
      </c>
      <c r="F382" s="92">
        <v>2</v>
      </c>
      <c r="G382" s="75" t="s">
        <v>1345</v>
      </c>
      <c r="H382" s="75"/>
      <c r="I382" s="75"/>
      <c r="J382" s="75" t="s">
        <v>162</v>
      </c>
      <c r="K382" s="75" t="s">
        <v>509</v>
      </c>
      <c r="L382" s="75" t="s">
        <v>535</v>
      </c>
      <c r="M382" s="75" t="s">
        <v>509</v>
      </c>
      <c r="N382" s="75" t="s">
        <v>535</v>
      </c>
      <c r="O382" s="86" t="s">
        <v>1329</v>
      </c>
    </row>
    <row r="383" spans="1:15">
      <c r="A383" s="63" t="s">
        <v>849</v>
      </c>
      <c r="B383" s="14" t="str">
        <f>VLOOKUP(O383,'护理记录单文书字典(数据)'!B$4:C$99,2,0)</f>
        <v>89F92B350CFAB2115BA083669CA3277E</v>
      </c>
      <c r="C383" s="75" t="s">
        <v>1342</v>
      </c>
      <c r="D383" s="75" t="s">
        <v>1343</v>
      </c>
      <c r="E383" s="92">
        <v>3</v>
      </c>
      <c r="F383" s="92">
        <v>3</v>
      </c>
      <c r="G383" s="75" t="s">
        <v>1346</v>
      </c>
      <c r="H383" s="75"/>
      <c r="I383" s="75"/>
      <c r="J383" s="75" t="s">
        <v>162</v>
      </c>
      <c r="K383" s="75" t="s">
        <v>509</v>
      </c>
      <c r="L383" s="75" t="s">
        <v>535</v>
      </c>
      <c r="M383" s="75" t="s">
        <v>509</v>
      </c>
      <c r="N383" s="75" t="s">
        <v>535</v>
      </c>
      <c r="O383" s="86" t="s">
        <v>1329</v>
      </c>
    </row>
    <row r="384" spans="1:15">
      <c r="A384" s="63" t="s">
        <v>849</v>
      </c>
      <c r="B384" s="14" t="str">
        <f>VLOOKUP(O384,'护理记录单文书字典(数据)'!B$4:C$99,2,0)</f>
        <v>89F92B350CFAB2115BA083669CA3277E</v>
      </c>
      <c r="C384" s="75" t="s">
        <v>1347</v>
      </c>
      <c r="D384" s="75" t="s">
        <v>1348</v>
      </c>
      <c r="E384" s="92">
        <v>1</v>
      </c>
      <c r="F384" s="92">
        <v>1</v>
      </c>
      <c r="G384" s="75" t="s">
        <v>1349</v>
      </c>
      <c r="H384" s="75"/>
      <c r="I384" s="75"/>
      <c r="J384" s="75" t="s">
        <v>162</v>
      </c>
      <c r="K384" s="75" t="s">
        <v>509</v>
      </c>
      <c r="L384" s="75" t="s">
        <v>535</v>
      </c>
      <c r="M384" s="75" t="s">
        <v>509</v>
      </c>
      <c r="N384" s="75" t="s">
        <v>535</v>
      </c>
      <c r="O384" s="86" t="s">
        <v>1329</v>
      </c>
    </row>
    <row r="385" spans="1:15">
      <c r="A385" s="63" t="s">
        <v>849</v>
      </c>
      <c r="B385" s="14" t="str">
        <f>VLOOKUP(O385,'护理记录单文书字典(数据)'!B$4:C$99,2,0)</f>
        <v>89F92B350CFAB2115BA083669CA3277E</v>
      </c>
      <c r="C385" s="75" t="s">
        <v>1347</v>
      </c>
      <c r="D385" s="75" t="s">
        <v>1348</v>
      </c>
      <c r="E385" s="92">
        <v>2</v>
      </c>
      <c r="F385" s="92">
        <v>2</v>
      </c>
      <c r="G385" s="75" t="s">
        <v>1350</v>
      </c>
      <c r="H385" s="75"/>
      <c r="I385" s="75"/>
      <c r="J385" s="75" t="s">
        <v>162</v>
      </c>
      <c r="K385" s="75" t="s">
        <v>509</v>
      </c>
      <c r="L385" s="75" t="s">
        <v>535</v>
      </c>
      <c r="M385" s="75" t="s">
        <v>509</v>
      </c>
      <c r="N385" s="75" t="s">
        <v>535</v>
      </c>
      <c r="O385" s="86" t="s">
        <v>1329</v>
      </c>
    </row>
    <row r="386" spans="1:15">
      <c r="A386" s="63" t="s">
        <v>849</v>
      </c>
      <c r="B386" s="14" t="str">
        <f>VLOOKUP(O386,'护理记录单文书字典(数据)'!B$4:C$99,2,0)</f>
        <v>89F92B350CFAB2115BA083669CA3277E</v>
      </c>
      <c r="C386" s="75" t="s">
        <v>1347</v>
      </c>
      <c r="D386" s="75" t="s">
        <v>1348</v>
      </c>
      <c r="E386" s="92">
        <v>3</v>
      </c>
      <c r="F386" s="92">
        <v>3</v>
      </c>
      <c r="G386" s="75" t="s">
        <v>1351</v>
      </c>
      <c r="H386" s="75"/>
      <c r="I386" s="75"/>
      <c r="J386" s="75" t="s">
        <v>162</v>
      </c>
      <c r="K386" s="75" t="s">
        <v>509</v>
      </c>
      <c r="L386" s="75" t="s">
        <v>535</v>
      </c>
      <c r="M386" s="75" t="s">
        <v>509</v>
      </c>
      <c r="N386" s="75" t="s">
        <v>535</v>
      </c>
      <c r="O386" s="86" t="s">
        <v>1329</v>
      </c>
    </row>
    <row r="387" spans="1:15">
      <c r="A387" s="63" t="s">
        <v>849</v>
      </c>
      <c r="B387" s="14" t="str">
        <f>VLOOKUP(O387,'护理记录单文书字典(数据)'!B$4:C$99,2,0)</f>
        <v>89F92B350CFAB2115BA083669CA3277E</v>
      </c>
      <c r="C387" s="75" t="s">
        <v>1352</v>
      </c>
      <c r="D387" s="75" t="s">
        <v>1353</v>
      </c>
      <c r="E387" s="92">
        <v>1</v>
      </c>
      <c r="F387" s="92">
        <v>1</v>
      </c>
      <c r="G387" s="75" t="s">
        <v>1096</v>
      </c>
      <c r="H387" s="75"/>
      <c r="I387" s="75"/>
      <c r="J387" s="75" t="s">
        <v>162</v>
      </c>
      <c r="K387" s="75" t="s">
        <v>509</v>
      </c>
      <c r="L387" s="75" t="s">
        <v>535</v>
      </c>
      <c r="M387" s="75" t="s">
        <v>509</v>
      </c>
      <c r="N387" s="75" t="s">
        <v>535</v>
      </c>
      <c r="O387" s="86" t="s">
        <v>1329</v>
      </c>
    </row>
    <row r="388" spans="1:15">
      <c r="A388" s="63" t="s">
        <v>849</v>
      </c>
      <c r="B388" s="14" t="str">
        <f>VLOOKUP(O388,'护理记录单文书字典(数据)'!B$4:C$99,2,0)</f>
        <v>89F92B350CFAB2115BA083669CA3277E</v>
      </c>
      <c r="C388" s="75" t="s">
        <v>1352</v>
      </c>
      <c r="D388" s="75" t="s">
        <v>1353</v>
      </c>
      <c r="E388" s="92">
        <v>2</v>
      </c>
      <c r="F388" s="92">
        <v>2</v>
      </c>
      <c r="G388" s="75" t="s">
        <v>1354</v>
      </c>
      <c r="H388" s="75"/>
      <c r="I388" s="75"/>
      <c r="J388" s="75" t="s">
        <v>162</v>
      </c>
      <c r="K388" s="75" t="s">
        <v>509</v>
      </c>
      <c r="L388" s="75" t="s">
        <v>535</v>
      </c>
      <c r="M388" s="75" t="s">
        <v>509</v>
      </c>
      <c r="N388" s="75" t="s">
        <v>535</v>
      </c>
      <c r="O388" s="86" t="s">
        <v>1329</v>
      </c>
    </row>
    <row r="389" spans="1:15">
      <c r="A389" s="63" t="s">
        <v>849</v>
      </c>
      <c r="B389" s="14" t="str">
        <f>VLOOKUP(O389,'护理记录单文书字典(数据)'!B$4:C$99,2,0)</f>
        <v>89F92B350CFAB2115BA083669CA3277E</v>
      </c>
      <c r="C389" s="75" t="s">
        <v>1352</v>
      </c>
      <c r="D389" s="75" t="s">
        <v>1353</v>
      </c>
      <c r="E389" s="92">
        <v>3</v>
      </c>
      <c r="F389" s="92">
        <v>3</v>
      </c>
      <c r="G389" s="75" t="s">
        <v>1355</v>
      </c>
      <c r="H389" s="75"/>
      <c r="I389" s="75"/>
      <c r="J389" s="75" t="s">
        <v>162</v>
      </c>
      <c r="K389" s="75" t="s">
        <v>509</v>
      </c>
      <c r="L389" s="75" t="s">
        <v>535</v>
      </c>
      <c r="M389" s="75" t="s">
        <v>509</v>
      </c>
      <c r="N389" s="75" t="s">
        <v>535</v>
      </c>
      <c r="O389" s="86" t="s">
        <v>1329</v>
      </c>
    </row>
    <row r="390" spans="1:15">
      <c r="A390" s="63" t="s">
        <v>849</v>
      </c>
      <c r="B390" s="14" t="str">
        <f>VLOOKUP(O390,'护理记录单文书字典(数据)'!B$4:C$99,2,0)</f>
        <v>89F92B350CFAB2115BA083669CA3277E</v>
      </c>
      <c r="C390" s="75" t="s">
        <v>1356</v>
      </c>
      <c r="D390" s="75" t="s">
        <v>1357</v>
      </c>
      <c r="E390" s="92">
        <v>1</v>
      </c>
      <c r="F390" s="92">
        <v>1</v>
      </c>
      <c r="G390" s="75" t="s">
        <v>981</v>
      </c>
      <c r="H390" s="75"/>
      <c r="I390" s="75"/>
      <c r="J390" s="75" t="s">
        <v>162</v>
      </c>
      <c r="K390" s="75" t="s">
        <v>509</v>
      </c>
      <c r="L390" s="75" t="s">
        <v>535</v>
      </c>
      <c r="M390" s="75" t="s">
        <v>509</v>
      </c>
      <c r="N390" s="75" t="s">
        <v>535</v>
      </c>
      <c r="O390" s="86" t="s">
        <v>1329</v>
      </c>
    </row>
    <row r="391" spans="1:15">
      <c r="A391" s="63" t="s">
        <v>849</v>
      </c>
      <c r="B391" s="14" t="str">
        <f>VLOOKUP(O391,'护理记录单文书字典(数据)'!B$4:C$99,2,0)</f>
        <v>89F92B350CFAB2115BA083669CA3277E</v>
      </c>
      <c r="C391" s="75" t="s">
        <v>1356</v>
      </c>
      <c r="D391" s="75" t="s">
        <v>1357</v>
      </c>
      <c r="E391" s="92">
        <v>2</v>
      </c>
      <c r="F391" s="92">
        <v>2</v>
      </c>
      <c r="G391" s="75" t="s">
        <v>1358</v>
      </c>
      <c r="H391" s="75"/>
      <c r="I391" s="75"/>
      <c r="J391" s="75" t="s">
        <v>162</v>
      </c>
      <c r="K391" s="75" t="s">
        <v>509</v>
      </c>
      <c r="L391" s="75" t="s">
        <v>535</v>
      </c>
      <c r="M391" s="75" t="s">
        <v>509</v>
      </c>
      <c r="N391" s="75" t="s">
        <v>535</v>
      </c>
      <c r="O391" s="86" t="s">
        <v>1329</v>
      </c>
    </row>
    <row r="392" spans="1:15">
      <c r="A392" s="63" t="s">
        <v>849</v>
      </c>
      <c r="B392" s="14" t="str">
        <f>VLOOKUP(O392,'护理记录单文书字典(数据)'!B$4:C$99,2,0)</f>
        <v>89F92B350CFAB2115BA083669CA3277E</v>
      </c>
      <c r="C392" s="75" t="s">
        <v>1356</v>
      </c>
      <c r="D392" s="75" t="s">
        <v>1357</v>
      </c>
      <c r="E392" s="92">
        <v>3</v>
      </c>
      <c r="F392" s="92">
        <v>3</v>
      </c>
      <c r="G392" s="75" t="s">
        <v>1359</v>
      </c>
      <c r="H392" s="75"/>
      <c r="I392" s="75"/>
      <c r="J392" s="75" t="s">
        <v>162</v>
      </c>
      <c r="K392" s="75" t="s">
        <v>509</v>
      </c>
      <c r="L392" s="75" t="s">
        <v>535</v>
      </c>
      <c r="M392" s="75" t="s">
        <v>509</v>
      </c>
      <c r="N392" s="75" t="s">
        <v>535</v>
      </c>
      <c r="O392" s="86" t="s">
        <v>1329</v>
      </c>
    </row>
    <row r="393" spans="1:15">
      <c r="A393" s="63" t="s">
        <v>849</v>
      </c>
      <c r="B393" s="14" t="str">
        <f>VLOOKUP(O393,'护理记录单文书字典(数据)'!B$4:C$99,2,0)</f>
        <v>89F92B350CFAB2115BA083669CA3277E</v>
      </c>
      <c r="C393" s="75" t="s">
        <v>1360</v>
      </c>
      <c r="D393" s="75" t="s">
        <v>1361</v>
      </c>
      <c r="E393" s="92">
        <v>1</v>
      </c>
      <c r="F393" s="92">
        <v>1</v>
      </c>
      <c r="G393" s="75" t="s">
        <v>1362</v>
      </c>
      <c r="H393" s="75"/>
      <c r="I393" s="75"/>
      <c r="J393" s="75" t="s">
        <v>162</v>
      </c>
      <c r="K393" s="75" t="s">
        <v>509</v>
      </c>
      <c r="L393" s="75" t="s">
        <v>535</v>
      </c>
      <c r="M393" s="75" t="s">
        <v>509</v>
      </c>
      <c r="N393" s="75" t="s">
        <v>535</v>
      </c>
      <c r="O393" s="86" t="s">
        <v>1329</v>
      </c>
    </row>
    <row r="394" spans="1:15">
      <c r="A394" s="63" t="s">
        <v>849</v>
      </c>
      <c r="B394" s="14" t="str">
        <f>VLOOKUP(O394,'护理记录单文书字典(数据)'!B$4:C$99,2,0)</f>
        <v>89F92B350CFAB2115BA083669CA3277E</v>
      </c>
      <c r="C394" s="75" t="s">
        <v>1360</v>
      </c>
      <c r="D394" s="75" t="s">
        <v>1361</v>
      </c>
      <c r="E394" s="92">
        <v>2</v>
      </c>
      <c r="F394" s="92">
        <v>2</v>
      </c>
      <c r="G394" s="75" t="s">
        <v>1363</v>
      </c>
      <c r="H394" s="75"/>
      <c r="I394" s="75"/>
      <c r="J394" s="75" t="s">
        <v>162</v>
      </c>
      <c r="K394" s="75" t="s">
        <v>509</v>
      </c>
      <c r="L394" s="75" t="s">
        <v>535</v>
      </c>
      <c r="M394" s="75" t="s">
        <v>509</v>
      </c>
      <c r="N394" s="75" t="s">
        <v>535</v>
      </c>
      <c r="O394" s="86" t="s">
        <v>1329</v>
      </c>
    </row>
    <row r="395" spans="1:15">
      <c r="A395" s="63" t="s">
        <v>849</v>
      </c>
      <c r="B395" s="14" t="str">
        <f>VLOOKUP(O395,'护理记录单文书字典(数据)'!B$4:C$99,2,0)</f>
        <v>89F92B350CFAB2115BA083669CA3277E</v>
      </c>
      <c r="C395" s="75" t="s">
        <v>1360</v>
      </c>
      <c r="D395" s="75" t="s">
        <v>1361</v>
      </c>
      <c r="E395" s="92">
        <v>3</v>
      </c>
      <c r="F395" s="92">
        <v>3</v>
      </c>
      <c r="G395" s="75" t="s">
        <v>1364</v>
      </c>
      <c r="H395" s="75"/>
      <c r="I395" s="75"/>
      <c r="J395" s="75" t="s">
        <v>162</v>
      </c>
      <c r="K395" s="75" t="s">
        <v>509</v>
      </c>
      <c r="L395" s="75" t="s">
        <v>535</v>
      </c>
      <c r="M395" s="75" t="s">
        <v>509</v>
      </c>
      <c r="N395" s="75" t="s">
        <v>535</v>
      </c>
      <c r="O395" s="86" t="s">
        <v>1329</v>
      </c>
    </row>
    <row r="396" spans="1:15">
      <c r="A396" s="63" t="s">
        <v>849</v>
      </c>
      <c r="B396" s="14" t="str">
        <f>VLOOKUP(O396,'护理记录单文书字典(数据)'!B$4:C$99,2,0)</f>
        <v>89F92B350CFAB2115BA083669CA3277E</v>
      </c>
      <c r="C396" s="75" t="s">
        <v>1365</v>
      </c>
      <c r="D396" s="75" t="s">
        <v>1366</v>
      </c>
      <c r="E396" s="92">
        <v>1</v>
      </c>
      <c r="F396" s="92">
        <v>1</v>
      </c>
      <c r="G396" s="75" t="s">
        <v>1362</v>
      </c>
      <c r="H396" s="75"/>
      <c r="I396" s="75"/>
      <c r="J396" s="75" t="s">
        <v>162</v>
      </c>
      <c r="K396" s="75" t="s">
        <v>509</v>
      </c>
      <c r="L396" s="75" t="s">
        <v>535</v>
      </c>
      <c r="M396" s="75" t="s">
        <v>509</v>
      </c>
      <c r="N396" s="75" t="s">
        <v>535</v>
      </c>
      <c r="O396" s="86" t="s">
        <v>1329</v>
      </c>
    </row>
    <row r="397" spans="1:15">
      <c r="A397" s="63" t="s">
        <v>849</v>
      </c>
      <c r="B397" s="14" t="str">
        <f>VLOOKUP(O397,'护理记录单文书字典(数据)'!B$4:C$99,2,0)</f>
        <v>89F92B350CFAB2115BA083669CA3277E</v>
      </c>
      <c r="C397" s="75" t="s">
        <v>1365</v>
      </c>
      <c r="D397" s="75" t="s">
        <v>1366</v>
      </c>
      <c r="E397" s="92">
        <v>2</v>
      </c>
      <c r="F397" s="92">
        <v>2</v>
      </c>
      <c r="G397" s="75" t="s">
        <v>1363</v>
      </c>
      <c r="H397" s="75"/>
      <c r="I397" s="75"/>
      <c r="J397" s="75" t="s">
        <v>162</v>
      </c>
      <c r="K397" s="75" t="s">
        <v>509</v>
      </c>
      <c r="L397" s="75" t="s">
        <v>535</v>
      </c>
      <c r="M397" s="75" t="s">
        <v>509</v>
      </c>
      <c r="N397" s="75" t="s">
        <v>535</v>
      </c>
      <c r="O397" s="86" t="s">
        <v>1329</v>
      </c>
    </row>
    <row r="398" spans="1:15">
      <c r="A398" s="63" t="s">
        <v>849</v>
      </c>
      <c r="B398" s="14" t="str">
        <f>VLOOKUP(O398,'护理记录单文书字典(数据)'!B$4:C$99,2,0)</f>
        <v>89F92B350CFAB2115BA083669CA3277E</v>
      </c>
      <c r="C398" s="75" t="s">
        <v>1365</v>
      </c>
      <c r="D398" s="75" t="s">
        <v>1366</v>
      </c>
      <c r="E398" s="92">
        <v>3</v>
      </c>
      <c r="F398" s="92">
        <v>3</v>
      </c>
      <c r="G398" s="75" t="s">
        <v>1364</v>
      </c>
      <c r="H398" s="75"/>
      <c r="I398" s="75"/>
      <c r="J398" s="75" t="s">
        <v>162</v>
      </c>
      <c r="K398" s="75" t="s">
        <v>509</v>
      </c>
      <c r="L398" s="75" t="s">
        <v>535</v>
      </c>
      <c r="M398" s="75" t="s">
        <v>509</v>
      </c>
      <c r="N398" s="75" t="s">
        <v>535</v>
      </c>
      <c r="O398" s="86" t="s">
        <v>1329</v>
      </c>
    </row>
    <row r="399" spans="1:15">
      <c r="A399" s="63" t="s">
        <v>849</v>
      </c>
      <c r="B399" s="14" t="str">
        <f>VLOOKUP(O399,'护理记录单文书字典(数据)'!B$4:C$99,2,0)</f>
        <v>89F92B350CFAB2115BA083669CA3277E</v>
      </c>
      <c r="C399" s="75" t="s">
        <v>1367</v>
      </c>
      <c r="D399" s="75" t="s">
        <v>1368</v>
      </c>
      <c r="E399" s="92">
        <v>1</v>
      </c>
      <c r="F399" s="92">
        <v>1</v>
      </c>
      <c r="G399" s="75" t="s">
        <v>1362</v>
      </c>
      <c r="H399" s="75"/>
      <c r="I399" s="75"/>
      <c r="J399" s="75" t="s">
        <v>162</v>
      </c>
      <c r="K399" s="75" t="s">
        <v>509</v>
      </c>
      <c r="L399" s="75" t="s">
        <v>535</v>
      </c>
      <c r="M399" s="75" t="s">
        <v>509</v>
      </c>
      <c r="N399" s="75" t="s">
        <v>535</v>
      </c>
      <c r="O399" s="86" t="s">
        <v>1329</v>
      </c>
    </row>
    <row r="400" spans="1:15">
      <c r="A400" s="63" t="s">
        <v>849</v>
      </c>
      <c r="B400" s="14" t="str">
        <f>VLOOKUP(O400,'护理记录单文书字典(数据)'!B$4:C$99,2,0)</f>
        <v>89F92B350CFAB2115BA083669CA3277E</v>
      </c>
      <c r="C400" s="75" t="s">
        <v>1367</v>
      </c>
      <c r="D400" s="75" t="s">
        <v>1368</v>
      </c>
      <c r="E400" s="92">
        <v>2</v>
      </c>
      <c r="F400" s="92">
        <v>2</v>
      </c>
      <c r="G400" s="75" t="s">
        <v>1363</v>
      </c>
      <c r="H400" s="75"/>
      <c r="I400" s="75"/>
      <c r="J400" s="75" t="s">
        <v>162</v>
      </c>
      <c r="K400" s="75" t="s">
        <v>509</v>
      </c>
      <c r="L400" s="75" t="s">
        <v>535</v>
      </c>
      <c r="M400" s="75" t="s">
        <v>509</v>
      </c>
      <c r="N400" s="75" t="s">
        <v>535</v>
      </c>
      <c r="O400" s="86" t="s">
        <v>1329</v>
      </c>
    </row>
    <row r="401" spans="1:15">
      <c r="A401" s="63" t="s">
        <v>849</v>
      </c>
      <c r="B401" s="14" t="str">
        <f>VLOOKUP(O401,'护理记录单文书字典(数据)'!B$4:C$99,2,0)</f>
        <v>89F92B350CFAB2115BA083669CA3277E</v>
      </c>
      <c r="C401" s="75" t="s">
        <v>1367</v>
      </c>
      <c r="D401" s="75" t="s">
        <v>1368</v>
      </c>
      <c r="E401" s="92">
        <v>3</v>
      </c>
      <c r="F401" s="92">
        <v>3</v>
      </c>
      <c r="G401" s="75" t="s">
        <v>1364</v>
      </c>
      <c r="H401" s="75"/>
      <c r="I401" s="75"/>
      <c r="J401" s="75" t="s">
        <v>162</v>
      </c>
      <c r="K401" s="75" t="s">
        <v>509</v>
      </c>
      <c r="L401" s="75" t="s">
        <v>535</v>
      </c>
      <c r="M401" s="75" t="s">
        <v>509</v>
      </c>
      <c r="N401" s="75" t="s">
        <v>535</v>
      </c>
      <c r="O401" s="86" t="s">
        <v>1329</v>
      </c>
    </row>
    <row r="402" spans="1:15">
      <c r="A402" s="63" t="s">
        <v>849</v>
      </c>
      <c r="B402" s="14" t="str">
        <f>VLOOKUP(O402,'护理记录单文书字典(数据)'!B$4:C$99,2,0)</f>
        <v>89F92B350CFAB2115BA083669CA3277E</v>
      </c>
      <c r="C402" s="170" t="s">
        <v>4056</v>
      </c>
      <c r="D402" s="170" t="s">
        <v>3491</v>
      </c>
      <c r="E402" s="171">
        <v>1</v>
      </c>
      <c r="F402" s="171">
        <v>0</v>
      </c>
      <c r="G402" s="170" t="s">
        <v>961</v>
      </c>
      <c r="H402" s="170"/>
      <c r="I402" s="170"/>
      <c r="J402" s="170" t="s">
        <v>162</v>
      </c>
      <c r="K402" s="170" t="s">
        <v>509</v>
      </c>
      <c r="L402" s="170" t="s">
        <v>535</v>
      </c>
      <c r="M402" s="170" t="s">
        <v>509</v>
      </c>
      <c r="N402" s="170" t="s">
        <v>535</v>
      </c>
      <c r="O402" s="86" t="s">
        <v>3492</v>
      </c>
    </row>
    <row r="403" spans="1:15">
      <c r="A403" s="63" t="s">
        <v>849</v>
      </c>
      <c r="B403" s="14" t="str">
        <f>VLOOKUP(O403,'护理记录单文书字典(数据)'!B$4:C$99,2,0)</f>
        <v>89F92B350CFAB2115BA083669CA3277E</v>
      </c>
      <c r="C403" s="170" t="s">
        <v>3490</v>
      </c>
      <c r="D403" s="170" t="s">
        <v>3491</v>
      </c>
      <c r="E403" s="171">
        <v>2</v>
      </c>
      <c r="F403" s="171">
        <v>1</v>
      </c>
      <c r="G403" s="170" t="s">
        <v>962</v>
      </c>
      <c r="H403" s="170"/>
      <c r="I403" s="170"/>
      <c r="J403" s="170" t="s">
        <v>162</v>
      </c>
      <c r="K403" s="170" t="s">
        <v>509</v>
      </c>
      <c r="L403" s="170" t="s">
        <v>535</v>
      </c>
      <c r="M403" s="170" t="s">
        <v>509</v>
      </c>
      <c r="N403" s="170" t="s">
        <v>535</v>
      </c>
      <c r="O403" s="86" t="s">
        <v>1329</v>
      </c>
    </row>
    <row r="404" spans="1:15">
      <c r="A404" s="63" t="s">
        <v>849</v>
      </c>
      <c r="B404" s="14" t="str">
        <f>VLOOKUP(O404,'护理记录单文书字典(数据)'!B$4:C$99,2,0)</f>
        <v>AE4433350CFAB21146BDB153457CAC40</v>
      </c>
      <c r="C404" s="75" t="s">
        <v>1369</v>
      </c>
      <c r="D404" s="75" t="s">
        <v>1370</v>
      </c>
      <c r="E404" s="92">
        <v>1</v>
      </c>
      <c r="F404" s="92">
        <v>1</v>
      </c>
      <c r="G404" s="75" t="s">
        <v>962</v>
      </c>
      <c r="H404" s="75"/>
      <c r="I404" s="75"/>
      <c r="J404" s="75" t="s">
        <v>162</v>
      </c>
      <c r="K404" s="75" t="s">
        <v>509</v>
      </c>
      <c r="L404" s="75" t="s">
        <v>535</v>
      </c>
      <c r="M404" s="75" t="s">
        <v>509</v>
      </c>
      <c r="N404" s="75" t="s">
        <v>535</v>
      </c>
      <c r="O404" s="86" t="s">
        <v>1371</v>
      </c>
    </row>
    <row r="405" spans="1:15">
      <c r="A405" s="63" t="s">
        <v>849</v>
      </c>
      <c r="B405" s="14" t="str">
        <f>VLOOKUP(O405,'护理记录单文书字典(数据)'!B$4:C$99,2,0)</f>
        <v>AE4433350CFAB21146BDB153457CAC40</v>
      </c>
      <c r="C405" s="75" t="s">
        <v>1369</v>
      </c>
      <c r="D405" s="75" t="s">
        <v>1370</v>
      </c>
      <c r="E405" s="92">
        <v>2</v>
      </c>
      <c r="F405" s="92">
        <v>2</v>
      </c>
      <c r="G405" s="75" t="s">
        <v>1190</v>
      </c>
      <c r="H405" s="75"/>
      <c r="I405" s="75"/>
      <c r="J405" s="75" t="s">
        <v>162</v>
      </c>
      <c r="K405" s="75" t="s">
        <v>509</v>
      </c>
      <c r="L405" s="75" t="s">
        <v>535</v>
      </c>
      <c r="M405" s="75" t="s">
        <v>509</v>
      </c>
      <c r="N405" s="75" t="s">
        <v>535</v>
      </c>
      <c r="O405" s="86" t="s">
        <v>1371</v>
      </c>
    </row>
    <row r="406" spans="1:15">
      <c r="A406" s="63" t="s">
        <v>849</v>
      </c>
      <c r="B406" s="14" t="str">
        <f>VLOOKUP(O406,'护理记录单文书字典(数据)'!B$4:C$99,2,0)</f>
        <v>AE4433350CFAB21146BDB153457CAC40</v>
      </c>
      <c r="C406" s="75" t="s">
        <v>1369</v>
      </c>
      <c r="D406" s="75" t="s">
        <v>1370</v>
      </c>
      <c r="E406" s="92">
        <v>3</v>
      </c>
      <c r="F406" s="92">
        <v>3</v>
      </c>
      <c r="G406" s="75" t="s">
        <v>1191</v>
      </c>
      <c r="H406" s="75"/>
      <c r="I406" s="75"/>
      <c r="J406" s="75" t="s">
        <v>162</v>
      </c>
      <c r="K406" s="75" t="s">
        <v>509</v>
      </c>
      <c r="L406" s="75" t="s">
        <v>535</v>
      </c>
      <c r="M406" s="75" t="s">
        <v>509</v>
      </c>
      <c r="N406" s="75" t="s">
        <v>535</v>
      </c>
      <c r="O406" s="86" t="s">
        <v>1371</v>
      </c>
    </row>
    <row r="407" spans="1:15">
      <c r="A407" s="63" t="s">
        <v>849</v>
      </c>
      <c r="B407" s="14" t="str">
        <f>VLOOKUP(O407,'护理记录单文书字典(数据)'!B$4:C$99,2,0)</f>
        <v>AE4433350CFAB21146BDB153457CAC40</v>
      </c>
      <c r="C407" s="75" t="s">
        <v>1369</v>
      </c>
      <c r="D407" s="75" t="s">
        <v>1370</v>
      </c>
      <c r="E407" s="92">
        <v>4</v>
      </c>
      <c r="F407" s="92">
        <v>4</v>
      </c>
      <c r="G407" s="75" t="s">
        <v>1192</v>
      </c>
      <c r="H407" s="75"/>
      <c r="I407" s="75"/>
      <c r="J407" s="75" t="s">
        <v>162</v>
      </c>
      <c r="K407" s="75" t="s">
        <v>509</v>
      </c>
      <c r="L407" s="75" t="s">
        <v>535</v>
      </c>
      <c r="M407" s="75" t="s">
        <v>509</v>
      </c>
      <c r="N407" s="75" t="s">
        <v>535</v>
      </c>
      <c r="O407" s="86" t="s">
        <v>1371</v>
      </c>
    </row>
    <row r="408" spans="1:15">
      <c r="A408" s="63" t="s">
        <v>849</v>
      </c>
      <c r="B408" s="14" t="str">
        <f>VLOOKUP(O408,'护理记录单文书字典(数据)'!B$4:C$99,2,0)</f>
        <v>AE4433350CFAB21146BDB153457CAC40</v>
      </c>
      <c r="C408" s="75" t="s">
        <v>1372</v>
      </c>
      <c r="D408" s="75" t="s">
        <v>1373</v>
      </c>
      <c r="E408" s="92">
        <v>1</v>
      </c>
      <c r="F408" s="92">
        <v>1</v>
      </c>
      <c r="G408" s="75" t="s">
        <v>1374</v>
      </c>
      <c r="H408" s="75"/>
      <c r="I408" s="75"/>
      <c r="J408" s="75" t="s">
        <v>162</v>
      </c>
      <c r="K408" s="75" t="s">
        <v>509</v>
      </c>
      <c r="L408" s="75" t="s">
        <v>535</v>
      </c>
      <c r="M408" s="75" t="s">
        <v>509</v>
      </c>
      <c r="N408" s="75" t="s">
        <v>535</v>
      </c>
      <c r="O408" s="86" t="s">
        <v>1371</v>
      </c>
    </row>
    <row r="409" spans="1:15">
      <c r="A409" s="63" t="s">
        <v>849</v>
      </c>
      <c r="B409" s="14" t="str">
        <f>VLOOKUP(O409,'护理记录单文书字典(数据)'!B$4:C$99,2,0)</f>
        <v>AE4433350CFAB21146BDB153457CAC40</v>
      </c>
      <c r="C409" s="75" t="s">
        <v>1372</v>
      </c>
      <c r="D409" s="75" t="s">
        <v>1373</v>
      </c>
      <c r="E409" s="92">
        <v>2</v>
      </c>
      <c r="F409" s="92">
        <v>2</v>
      </c>
      <c r="G409" s="75" t="s">
        <v>1375</v>
      </c>
      <c r="H409" s="75"/>
      <c r="I409" s="75"/>
      <c r="J409" s="75" t="s">
        <v>162</v>
      </c>
      <c r="K409" s="75" t="s">
        <v>509</v>
      </c>
      <c r="L409" s="75" t="s">
        <v>535</v>
      </c>
      <c r="M409" s="75" t="s">
        <v>509</v>
      </c>
      <c r="N409" s="75" t="s">
        <v>535</v>
      </c>
      <c r="O409" s="86" t="s">
        <v>1371</v>
      </c>
    </row>
    <row r="410" spans="1:15">
      <c r="A410" s="63" t="s">
        <v>849</v>
      </c>
      <c r="B410" s="14" t="str">
        <f>VLOOKUP(O410,'护理记录单文书字典(数据)'!B$4:C$99,2,0)</f>
        <v>AE4433350CFAB21146BDB153457CAC40</v>
      </c>
      <c r="C410" s="75" t="s">
        <v>1376</v>
      </c>
      <c r="D410" s="75" t="s">
        <v>1377</v>
      </c>
      <c r="E410" s="92">
        <v>1</v>
      </c>
      <c r="F410" s="92">
        <v>1</v>
      </c>
      <c r="G410" s="75" t="s">
        <v>962</v>
      </c>
      <c r="H410" s="75"/>
      <c r="I410" s="75"/>
      <c r="J410" s="75" t="s">
        <v>162</v>
      </c>
      <c r="K410" s="75" t="s">
        <v>509</v>
      </c>
      <c r="L410" s="75" t="s">
        <v>535</v>
      </c>
      <c r="M410" s="75" t="s">
        <v>509</v>
      </c>
      <c r="N410" s="75" t="s">
        <v>535</v>
      </c>
      <c r="O410" s="86" t="s">
        <v>1371</v>
      </c>
    </row>
    <row r="411" spans="1:15">
      <c r="A411" s="63" t="s">
        <v>849</v>
      </c>
      <c r="B411" s="14" t="str">
        <f>VLOOKUP(O411,'护理记录单文书字典(数据)'!B$4:C$99,2,0)</f>
        <v>AE4433350CFAB21146BDB153457CAC40</v>
      </c>
      <c r="C411" s="75" t="s">
        <v>1376</v>
      </c>
      <c r="D411" s="75" t="s">
        <v>1377</v>
      </c>
      <c r="E411" s="92">
        <v>2</v>
      </c>
      <c r="F411" s="92">
        <v>2</v>
      </c>
      <c r="G411" s="75" t="s">
        <v>1105</v>
      </c>
      <c r="H411" s="75"/>
      <c r="I411" s="75"/>
      <c r="J411" s="75" t="s">
        <v>162</v>
      </c>
      <c r="K411" s="75" t="s">
        <v>509</v>
      </c>
      <c r="L411" s="75" t="s">
        <v>535</v>
      </c>
      <c r="M411" s="75" t="s">
        <v>509</v>
      </c>
      <c r="N411" s="75" t="s">
        <v>535</v>
      </c>
      <c r="O411" s="86" t="s">
        <v>1371</v>
      </c>
    </row>
    <row r="412" spans="1:15">
      <c r="A412" s="63" t="s">
        <v>849</v>
      </c>
      <c r="B412" s="14" t="str">
        <f>VLOOKUP(O412,'护理记录单文书字典(数据)'!B$4:C$99,2,0)</f>
        <v>AE4433350CFAB21146BDB153457CAC40</v>
      </c>
      <c r="C412" s="75" t="s">
        <v>1376</v>
      </c>
      <c r="D412" s="75" t="s">
        <v>1377</v>
      </c>
      <c r="E412" s="92">
        <v>3</v>
      </c>
      <c r="F412" s="92">
        <v>3</v>
      </c>
      <c r="G412" s="75" t="s">
        <v>1106</v>
      </c>
      <c r="H412" s="75"/>
      <c r="I412" s="75"/>
      <c r="J412" s="75" t="s">
        <v>162</v>
      </c>
      <c r="K412" s="75" t="s">
        <v>509</v>
      </c>
      <c r="L412" s="75" t="s">
        <v>535</v>
      </c>
      <c r="M412" s="75" t="s">
        <v>509</v>
      </c>
      <c r="N412" s="75" t="s">
        <v>535</v>
      </c>
      <c r="O412" s="86" t="s">
        <v>1371</v>
      </c>
    </row>
    <row r="413" spans="1:15">
      <c r="A413" s="63" t="s">
        <v>849</v>
      </c>
      <c r="B413" s="14" t="str">
        <f>VLOOKUP(O413,'护理记录单文书字典(数据)'!B$4:C$99,2,0)</f>
        <v>AE4433350CFAB21146BDB153457CAC40</v>
      </c>
      <c r="C413" s="75" t="s">
        <v>1376</v>
      </c>
      <c r="D413" s="75" t="s">
        <v>1377</v>
      </c>
      <c r="E413" s="92">
        <v>4</v>
      </c>
      <c r="F413" s="92">
        <v>4</v>
      </c>
      <c r="G413" s="75" t="s">
        <v>1107</v>
      </c>
      <c r="H413" s="75"/>
      <c r="I413" s="75"/>
      <c r="J413" s="75" t="s">
        <v>162</v>
      </c>
      <c r="K413" s="75" t="s">
        <v>509</v>
      </c>
      <c r="L413" s="75" t="s">
        <v>535</v>
      </c>
      <c r="M413" s="75" t="s">
        <v>509</v>
      </c>
      <c r="N413" s="75" t="s">
        <v>535</v>
      </c>
      <c r="O413" s="86" t="s">
        <v>1371</v>
      </c>
    </row>
    <row r="414" spans="1:15">
      <c r="A414" s="63" t="s">
        <v>849</v>
      </c>
      <c r="B414" s="14" t="str">
        <f>VLOOKUP(O414,'护理记录单文书字典(数据)'!B$4:C$99,2,0)</f>
        <v>AE4433350CFAB21146BDB153457CAC40</v>
      </c>
      <c r="C414" s="75" t="s">
        <v>1378</v>
      </c>
      <c r="D414" s="75" t="s">
        <v>1379</v>
      </c>
      <c r="E414" s="92">
        <v>1</v>
      </c>
      <c r="F414" s="92">
        <v>1</v>
      </c>
      <c r="G414" s="75" t="s">
        <v>1380</v>
      </c>
      <c r="H414" s="75"/>
      <c r="I414" s="75"/>
      <c r="J414" s="75" t="s">
        <v>162</v>
      </c>
      <c r="K414" s="75" t="s">
        <v>509</v>
      </c>
      <c r="L414" s="75" t="s">
        <v>535</v>
      </c>
      <c r="M414" s="75" t="s">
        <v>509</v>
      </c>
      <c r="N414" s="75" t="s">
        <v>535</v>
      </c>
      <c r="O414" s="86" t="s">
        <v>1371</v>
      </c>
    </row>
    <row r="415" spans="1:15">
      <c r="A415" s="63" t="s">
        <v>849</v>
      </c>
      <c r="B415" s="14" t="str">
        <f>VLOOKUP(O415,'护理记录单文书字典(数据)'!B$4:C$99,2,0)</f>
        <v>AE4433350CFAB21146BDB153457CAC40</v>
      </c>
      <c r="C415" s="75" t="s">
        <v>1378</v>
      </c>
      <c r="D415" s="75" t="s">
        <v>1379</v>
      </c>
      <c r="E415" s="92">
        <v>2</v>
      </c>
      <c r="F415" s="92">
        <v>2</v>
      </c>
      <c r="G415" s="75" t="s">
        <v>1128</v>
      </c>
      <c r="H415" s="75"/>
      <c r="I415" s="75"/>
      <c r="J415" s="75" t="s">
        <v>162</v>
      </c>
      <c r="K415" s="75" t="s">
        <v>509</v>
      </c>
      <c r="L415" s="75" t="s">
        <v>535</v>
      </c>
      <c r="M415" s="75" t="s">
        <v>509</v>
      </c>
      <c r="N415" s="75" t="s">
        <v>535</v>
      </c>
      <c r="O415" s="86" t="s">
        <v>1371</v>
      </c>
    </row>
    <row r="416" spans="1:15">
      <c r="A416" s="63" t="s">
        <v>849</v>
      </c>
      <c r="B416" s="14" t="str">
        <f>VLOOKUP(O416,'护理记录单文书字典(数据)'!B$4:C$99,2,0)</f>
        <v>AE4433350CFAB21146BDB153457CAC40</v>
      </c>
      <c r="C416" s="75" t="s">
        <v>1378</v>
      </c>
      <c r="D416" s="75" t="s">
        <v>1379</v>
      </c>
      <c r="E416" s="92">
        <v>3</v>
      </c>
      <c r="F416" s="92">
        <v>3</v>
      </c>
      <c r="G416" s="75" t="s">
        <v>1381</v>
      </c>
      <c r="H416" s="75"/>
      <c r="I416" s="75"/>
      <c r="J416" s="75" t="s">
        <v>162</v>
      </c>
      <c r="K416" s="75" t="s">
        <v>509</v>
      </c>
      <c r="L416" s="75" t="s">
        <v>535</v>
      </c>
      <c r="M416" s="75" t="s">
        <v>509</v>
      </c>
      <c r="N416" s="75" t="s">
        <v>535</v>
      </c>
      <c r="O416" s="86" t="s">
        <v>1371</v>
      </c>
    </row>
    <row r="417" spans="1:15">
      <c r="A417" s="63" t="s">
        <v>849</v>
      </c>
      <c r="B417" s="14" t="str">
        <f>VLOOKUP(O417,'护理记录单文书字典(数据)'!B$4:C$99,2,0)</f>
        <v>AE4433350CFAB21146BDB153457CAC40</v>
      </c>
      <c r="C417" s="75" t="s">
        <v>1378</v>
      </c>
      <c r="D417" s="75" t="s">
        <v>1379</v>
      </c>
      <c r="E417" s="92">
        <v>4</v>
      </c>
      <c r="F417" s="92">
        <v>4</v>
      </c>
      <c r="G417" s="75" t="s">
        <v>1093</v>
      </c>
      <c r="H417" s="75"/>
      <c r="I417" s="75"/>
      <c r="J417" s="75" t="s">
        <v>162</v>
      </c>
      <c r="K417" s="75" t="s">
        <v>509</v>
      </c>
      <c r="L417" s="75" t="s">
        <v>535</v>
      </c>
      <c r="M417" s="75" t="s">
        <v>509</v>
      </c>
      <c r="N417" s="75" t="s">
        <v>535</v>
      </c>
      <c r="O417" s="86" t="s">
        <v>1371</v>
      </c>
    </row>
    <row r="418" spans="1:15">
      <c r="A418" s="63" t="s">
        <v>849</v>
      </c>
      <c r="B418" s="14" t="str">
        <f>VLOOKUP(O418,'护理记录单文书字典(数据)'!B$4:C$99,2,0)</f>
        <v>AE4433350CFAB21146BDB153457CAC40</v>
      </c>
      <c r="C418" s="75" t="s">
        <v>1382</v>
      </c>
      <c r="D418" s="75" t="s">
        <v>1383</v>
      </c>
      <c r="E418" s="92">
        <v>1</v>
      </c>
      <c r="F418" s="92">
        <v>1</v>
      </c>
      <c r="G418" s="75" t="s">
        <v>1384</v>
      </c>
      <c r="H418" s="75"/>
      <c r="I418" s="75"/>
      <c r="J418" s="75" t="s">
        <v>162</v>
      </c>
      <c r="K418" s="75" t="s">
        <v>509</v>
      </c>
      <c r="L418" s="75" t="s">
        <v>535</v>
      </c>
      <c r="M418" s="75" t="s">
        <v>509</v>
      </c>
      <c r="N418" s="75" t="s">
        <v>535</v>
      </c>
      <c r="O418" s="86" t="s">
        <v>1371</v>
      </c>
    </row>
    <row r="419" spans="1:15">
      <c r="A419" s="63" t="s">
        <v>849</v>
      </c>
      <c r="B419" s="14" t="str">
        <f>VLOOKUP(O419,'护理记录单文书字典(数据)'!B$4:C$99,2,0)</f>
        <v>AE4433350CFAB21146BDB153457CAC40</v>
      </c>
      <c r="C419" s="75" t="s">
        <v>1382</v>
      </c>
      <c r="D419" s="75" t="s">
        <v>1383</v>
      </c>
      <c r="E419" s="92">
        <v>2</v>
      </c>
      <c r="F419" s="92">
        <v>2</v>
      </c>
      <c r="G419" s="75" t="s">
        <v>1385</v>
      </c>
      <c r="H419" s="75"/>
      <c r="I419" s="75"/>
      <c r="J419" s="75" t="s">
        <v>162</v>
      </c>
      <c r="K419" s="75" t="s">
        <v>509</v>
      </c>
      <c r="L419" s="75" t="s">
        <v>535</v>
      </c>
      <c r="M419" s="75" t="s">
        <v>509</v>
      </c>
      <c r="N419" s="75" t="s">
        <v>535</v>
      </c>
      <c r="O419" s="86" t="s">
        <v>1371</v>
      </c>
    </row>
    <row r="420" spans="1:15">
      <c r="A420" s="63" t="s">
        <v>849</v>
      </c>
      <c r="B420" s="14" t="str">
        <f>VLOOKUP(O420,'护理记录单文书字典(数据)'!B$4:C$99,2,0)</f>
        <v>AE4433350CFAB21146BDB153457CAC40</v>
      </c>
      <c r="C420" s="75" t="s">
        <v>1382</v>
      </c>
      <c r="D420" s="75" t="s">
        <v>1383</v>
      </c>
      <c r="E420" s="92">
        <v>3</v>
      </c>
      <c r="F420" s="92">
        <v>3</v>
      </c>
      <c r="G420" s="75" t="s">
        <v>1093</v>
      </c>
      <c r="H420" s="75"/>
      <c r="I420" s="75"/>
      <c r="J420" s="75" t="s">
        <v>162</v>
      </c>
      <c r="K420" s="75" t="s">
        <v>509</v>
      </c>
      <c r="L420" s="75" t="s">
        <v>535</v>
      </c>
      <c r="M420" s="75" t="s">
        <v>509</v>
      </c>
      <c r="N420" s="75" t="s">
        <v>535</v>
      </c>
      <c r="O420" s="86" t="s">
        <v>1371</v>
      </c>
    </row>
    <row r="421" spans="1:15">
      <c r="A421" s="63" t="s">
        <v>849</v>
      </c>
      <c r="B421" s="14" t="str">
        <f>VLOOKUP(O421,'护理记录单文书字典(数据)'!B$4:C$99,2,0)</f>
        <v>AE4433350CFAB21146BDB153457CAC40</v>
      </c>
      <c r="C421" s="75" t="s">
        <v>1386</v>
      </c>
      <c r="D421" s="75" t="s">
        <v>1387</v>
      </c>
      <c r="E421" s="92">
        <v>1</v>
      </c>
      <c r="F421" s="92">
        <v>1</v>
      </c>
      <c r="G421" s="75" t="s">
        <v>962</v>
      </c>
      <c r="H421" s="75"/>
      <c r="I421" s="75"/>
      <c r="J421" s="75" t="s">
        <v>162</v>
      </c>
      <c r="K421" s="75" t="s">
        <v>509</v>
      </c>
      <c r="L421" s="75" t="s">
        <v>535</v>
      </c>
      <c r="M421" s="75" t="s">
        <v>509</v>
      </c>
      <c r="N421" s="75" t="s">
        <v>535</v>
      </c>
      <c r="O421" s="86" t="s">
        <v>1371</v>
      </c>
    </row>
    <row r="422" spans="1:15">
      <c r="A422" s="63" t="s">
        <v>849</v>
      </c>
      <c r="B422" s="14" t="str">
        <f>VLOOKUP(O422,'护理记录单文书字典(数据)'!B$4:C$99,2,0)</f>
        <v>AE4433350CFAB21146BDB153457CAC40</v>
      </c>
      <c r="C422" s="75" t="s">
        <v>1386</v>
      </c>
      <c r="D422" s="75" t="s">
        <v>1387</v>
      </c>
      <c r="E422" s="92">
        <v>2</v>
      </c>
      <c r="F422" s="92">
        <v>2</v>
      </c>
      <c r="G422" s="75" t="s">
        <v>1190</v>
      </c>
      <c r="H422" s="75"/>
      <c r="I422" s="75"/>
      <c r="J422" s="75" t="s">
        <v>162</v>
      </c>
      <c r="K422" s="75" t="s">
        <v>509</v>
      </c>
      <c r="L422" s="75" t="s">
        <v>535</v>
      </c>
      <c r="M422" s="75" t="s">
        <v>509</v>
      </c>
      <c r="N422" s="75" t="s">
        <v>535</v>
      </c>
      <c r="O422" s="86" t="s">
        <v>1371</v>
      </c>
    </row>
    <row r="423" spans="1:15">
      <c r="A423" s="63" t="s">
        <v>849</v>
      </c>
      <c r="B423" s="14" t="str">
        <f>VLOOKUP(O423,'护理记录单文书字典(数据)'!B$4:C$99,2,0)</f>
        <v>AE4433350CFAB21146BDB153457CAC40</v>
      </c>
      <c r="C423" s="75" t="s">
        <v>1386</v>
      </c>
      <c r="D423" s="75" t="s">
        <v>1387</v>
      </c>
      <c r="E423" s="92">
        <v>3</v>
      </c>
      <c r="F423" s="92">
        <v>3</v>
      </c>
      <c r="G423" s="75" t="s">
        <v>1191</v>
      </c>
      <c r="H423" s="75"/>
      <c r="I423" s="75"/>
      <c r="J423" s="75" t="s">
        <v>162</v>
      </c>
      <c r="K423" s="75" t="s">
        <v>509</v>
      </c>
      <c r="L423" s="75" t="s">
        <v>535</v>
      </c>
      <c r="M423" s="75" t="s">
        <v>509</v>
      </c>
      <c r="N423" s="75" t="s">
        <v>535</v>
      </c>
      <c r="O423" s="86" t="s">
        <v>1371</v>
      </c>
    </row>
    <row r="424" spans="1:15">
      <c r="A424" s="63" t="s">
        <v>849</v>
      </c>
      <c r="B424" s="14" t="str">
        <f>VLOOKUP(O424,'护理记录单文书字典(数据)'!B$4:C$99,2,0)</f>
        <v>AE4433350CFAB21146BDB153457CAC40</v>
      </c>
      <c r="C424" s="75" t="s">
        <v>1386</v>
      </c>
      <c r="D424" s="75" t="s">
        <v>1387</v>
      </c>
      <c r="E424" s="92">
        <v>4</v>
      </c>
      <c r="F424" s="92">
        <v>4</v>
      </c>
      <c r="G424" s="75" t="s">
        <v>1192</v>
      </c>
      <c r="H424" s="75"/>
      <c r="I424" s="75"/>
      <c r="J424" s="75" t="s">
        <v>162</v>
      </c>
      <c r="K424" s="75" t="s">
        <v>509</v>
      </c>
      <c r="L424" s="75" t="s">
        <v>535</v>
      </c>
      <c r="M424" s="75" t="s">
        <v>509</v>
      </c>
      <c r="N424" s="75" t="s">
        <v>535</v>
      </c>
      <c r="O424" s="86" t="s">
        <v>1371</v>
      </c>
    </row>
    <row r="425" spans="1:15">
      <c r="A425" s="63" t="s">
        <v>849</v>
      </c>
      <c r="B425" s="14" t="str">
        <f>VLOOKUP(O425,'护理记录单文书字典(数据)'!B$4:C$99,2,0)</f>
        <v>AE4433350CFAB21146BDB153457CAC40</v>
      </c>
      <c r="C425" s="75" t="s">
        <v>1388</v>
      </c>
      <c r="D425" s="75" t="s">
        <v>1389</v>
      </c>
      <c r="E425" s="92">
        <v>1</v>
      </c>
      <c r="F425" s="92">
        <v>1</v>
      </c>
      <c r="G425" s="75" t="s">
        <v>962</v>
      </c>
      <c r="H425" s="75"/>
      <c r="I425" s="75"/>
      <c r="J425" s="75" t="s">
        <v>162</v>
      </c>
      <c r="K425" s="75" t="s">
        <v>509</v>
      </c>
      <c r="L425" s="75" t="s">
        <v>535</v>
      </c>
      <c r="M425" s="75" t="s">
        <v>509</v>
      </c>
      <c r="N425" s="75" t="s">
        <v>535</v>
      </c>
      <c r="O425" s="86" t="s">
        <v>1371</v>
      </c>
    </row>
    <row r="426" spans="1:15">
      <c r="A426" s="63" t="s">
        <v>849</v>
      </c>
      <c r="B426" s="14" t="str">
        <f>VLOOKUP(O426,'护理记录单文书字典(数据)'!B$4:C$99,2,0)</f>
        <v>AE4433350CFAB21146BDB153457CAC40</v>
      </c>
      <c r="C426" s="75" t="s">
        <v>1388</v>
      </c>
      <c r="D426" s="75" t="s">
        <v>1389</v>
      </c>
      <c r="E426" s="92">
        <v>2</v>
      </c>
      <c r="F426" s="92">
        <v>2</v>
      </c>
      <c r="G426" s="75" t="s">
        <v>1190</v>
      </c>
      <c r="H426" s="75"/>
      <c r="I426" s="75"/>
      <c r="J426" s="75" t="s">
        <v>162</v>
      </c>
      <c r="K426" s="75" t="s">
        <v>509</v>
      </c>
      <c r="L426" s="75" t="s">
        <v>535</v>
      </c>
      <c r="M426" s="75" t="s">
        <v>509</v>
      </c>
      <c r="N426" s="75" t="s">
        <v>535</v>
      </c>
      <c r="O426" s="86" t="s">
        <v>1371</v>
      </c>
    </row>
    <row r="427" spans="1:15">
      <c r="A427" s="63" t="s">
        <v>849</v>
      </c>
      <c r="B427" s="14" t="str">
        <f>VLOOKUP(O427,'护理记录单文书字典(数据)'!B$4:C$99,2,0)</f>
        <v>AE4433350CFAB21146BDB153457CAC40</v>
      </c>
      <c r="C427" s="75" t="s">
        <v>1388</v>
      </c>
      <c r="D427" s="75" t="s">
        <v>1389</v>
      </c>
      <c r="E427" s="92">
        <v>3</v>
      </c>
      <c r="F427" s="92">
        <v>3</v>
      </c>
      <c r="G427" s="75" t="s">
        <v>1191</v>
      </c>
      <c r="H427" s="75"/>
      <c r="I427" s="75"/>
      <c r="J427" s="75" t="s">
        <v>162</v>
      </c>
      <c r="K427" s="75" t="s">
        <v>509</v>
      </c>
      <c r="L427" s="75" t="s">
        <v>535</v>
      </c>
      <c r="M427" s="75" t="s">
        <v>509</v>
      </c>
      <c r="N427" s="75" t="s">
        <v>535</v>
      </c>
      <c r="O427" s="86" t="s">
        <v>1371</v>
      </c>
    </row>
    <row r="428" spans="1:15">
      <c r="A428" s="63" t="s">
        <v>849</v>
      </c>
      <c r="B428" s="14" t="str">
        <f>VLOOKUP(O428,'护理记录单文书字典(数据)'!B$4:C$99,2,0)</f>
        <v>AE4433350CFAB21146BDB153457CAC40</v>
      </c>
      <c r="C428" s="75" t="s">
        <v>1388</v>
      </c>
      <c r="D428" s="75" t="s">
        <v>1389</v>
      </c>
      <c r="E428" s="92">
        <v>4</v>
      </c>
      <c r="F428" s="92">
        <v>4</v>
      </c>
      <c r="G428" s="75" t="s">
        <v>1192</v>
      </c>
      <c r="H428" s="75"/>
      <c r="I428" s="75"/>
      <c r="J428" s="75" t="s">
        <v>162</v>
      </c>
      <c r="K428" s="75" t="s">
        <v>509</v>
      </c>
      <c r="L428" s="75" t="s">
        <v>535</v>
      </c>
      <c r="M428" s="75" t="s">
        <v>509</v>
      </c>
      <c r="N428" s="75" t="s">
        <v>535</v>
      </c>
      <c r="O428" s="86" t="s">
        <v>1371</v>
      </c>
    </row>
    <row r="429" spans="1:15">
      <c r="A429" s="63" t="s">
        <v>849</v>
      </c>
      <c r="B429" s="14" t="str">
        <f>VLOOKUP(O429,'护理记录单文书字典(数据)'!B$4:C$99,2,0)</f>
        <v>AE4433350CFAB21146BDB153457CAC40</v>
      </c>
      <c r="C429" s="75" t="s">
        <v>1390</v>
      </c>
      <c r="D429" s="75" t="s">
        <v>1391</v>
      </c>
      <c r="E429" s="92">
        <v>1</v>
      </c>
      <c r="F429" s="92">
        <v>1</v>
      </c>
      <c r="G429" s="75" t="s">
        <v>1132</v>
      </c>
      <c r="H429" s="75"/>
      <c r="I429" s="75"/>
      <c r="J429" s="75" t="s">
        <v>162</v>
      </c>
      <c r="K429" s="75" t="s">
        <v>509</v>
      </c>
      <c r="L429" s="75" t="s">
        <v>535</v>
      </c>
      <c r="M429" s="75" t="s">
        <v>509</v>
      </c>
      <c r="N429" s="75" t="s">
        <v>535</v>
      </c>
      <c r="O429" s="86" t="s">
        <v>1371</v>
      </c>
    </row>
    <row r="430" spans="1:15">
      <c r="A430" s="63" t="s">
        <v>849</v>
      </c>
      <c r="B430" s="14" t="str">
        <f>VLOOKUP(O430,'护理记录单文书字典(数据)'!B$4:C$99,2,0)</f>
        <v>AE4433350CFAB21146BDB153457CAC40</v>
      </c>
      <c r="C430" s="75" t="s">
        <v>1390</v>
      </c>
      <c r="D430" s="75" t="s">
        <v>1391</v>
      </c>
      <c r="E430" s="92">
        <v>2</v>
      </c>
      <c r="F430" s="92">
        <v>2</v>
      </c>
      <c r="G430" s="75" t="s">
        <v>1392</v>
      </c>
      <c r="H430" s="75"/>
      <c r="I430" s="75"/>
      <c r="J430" s="75" t="s">
        <v>162</v>
      </c>
      <c r="K430" s="75" t="s">
        <v>509</v>
      </c>
      <c r="L430" s="75" t="s">
        <v>535</v>
      </c>
      <c r="M430" s="75" t="s">
        <v>509</v>
      </c>
      <c r="N430" s="75" t="s">
        <v>535</v>
      </c>
      <c r="O430" s="86" t="s">
        <v>1371</v>
      </c>
    </row>
    <row r="431" spans="1:15">
      <c r="A431" s="63" t="s">
        <v>849</v>
      </c>
      <c r="B431" s="14" t="str">
        <f>VLOOKUP(O431,'护理记录单文书字典(数据)'!B$4:C$99,2,0)</f>
        <v>AE4433350CFAB21146BDB153457CAC40</v>
      </c>
      <c r="C431" s="75" t="s">
        <v>1390</v>
      </c>
      <c r="D431" s="75" t="s">
        <v>1391</v>
      </c>
      <c r="E431" s="92">
        <v>3</v>
      </c>
      <c r="F431" s="92">
        <v>3</v>
      </c>
      <c r="G431" s="75" t="s">
        <v>1093</v>
      </c>
      <c r="H431" s="75"/>
      <c r="I431" s="75"/>
      <c r="J431" s="75" t="s">
        <v>162</v>
      </c>
      <c r="K431" s="75" t="s">
        <v>509</v>
      </c>
      <c r="L431" s="75" t="s">
        <v>535</v>
      </c>
      <c r="M431" s="75" t="s">
        <v>509</v>
      </c>
      <c r="N431" s="75" t="s">
        <v>535</v>
      </c>
      <c r="O431" s="86" t="s">
        <v>1371</v>
      </c>
    </row>
    <row r="432" spans="1:15">
      <c r="A432" s="63" t="s">
        <v>849</v>
      </c>
      <c r="B432" s="14" t="str">
        <f>VLOOKUP(O432,'护理记录单文书字典(数据)'!B$4:C$99,2,0)</f>
        <v>AE4433350CFAB21146BDB153457CAC40</v>
      </c>
      <c r="C432" s="75" t="s">
        <v>1393</v>
      </c>
      <c r="D432" s="75" t="s">
        <v>1394</v>
      </c>
      <c r="E432" s="92">
        <v>1</v>
      </c>
      <c r="F432" s="92">
        <v>1</v>
      </c>
      <c r="G432" s="75" t="s">
        <v>1395</v>
      </c>
      <c r="H432" s="75"/>
      <c r="I432" s="75"/>
      <c r="J432" s="75" t="s">
        <v>162</v>
      </c>
      <c r="K432" s="75" t="s">
        <v>509</v>
      </c>
      <c r="L432" s="75" t="s">
        <v>535</v>
      </c>
      <c r="M432" s="75" t="s">
        <v>509</v>
      </c>
      <c r="N432" s="75" t="s">
        <v>535</v>
      </c>
      <c r="O432" s="86" t="s">
        <v>1371</v>
      </c>
    </row>
    <row r="433" spans="1:15">
      <c r="A433" s="63" t="s">
        <v>849</v>
      </c>
      <c r="B433" s="14" t="str">
        <f>VLOOKUP(O433,'护理记录单文书字典(数据)'!B$4:C$99,2,0)</f>
        <v>AE4433350CFAB21146BDB153457CAC40</v>
      </c>
      <c r="C433" s="75" t="s">
        <v>1393</v>
      </c>
      <c r="D433" s="75" t="s">
        <v>1394</v>
      </c>
      <c r="E433" s="92">
        <v>2</v>
      </c>
      <c r="F433" s="92">
        <v>2</v>
      </c>
      <c r="G433" s="75" t="s">
        <v>1396</v>
      </c>
      <c r="H433" s="75"/>
      <c r="I433" s="75"/>
      <c r="J433" s="75" t="s">
        <v>162</v>
      </c>
      <c r="K433" s="75" t="s">
        <v>509</v>
      </c>
      <c r="L433" s="75" t="s">
        <v>535</v>
      </c>
      <c r="M433" s="75" t="s">
        <v>509</v>
      </c>
      <c r="N433" s="75" t="s">
        <v>535</v>
      </c>
      <c r="O433" s="86" t="s">
        <v>1371</v>
      </c>
    </row>
    <row r="434" spans="1:15">
      <c r="A434" s="63" t="s">
        <v>849</v>
      </c>
      <c r="B434" s="14" t="str">
        <f>VLOOKUP(O434,'护理记录单文书字典(数据)'!B$4:C$99,2,0)</f>
        <v>AE4433350CFAB21146BDB153457CAC40</v>
      </c>
      <c r="C434" s="75" t="s">
        <v>1393</v>
      </c>
      <c r="D434" s="75" t="s">
        <v>1394</v>
      </c>
      <c r="E434" s="92">
        <v>3</v>
      </c>
      <c r="F434" s="92">
        <v>3</v>
      </c>
      <c r="G434" s="75" t="s">
        <v>1397</v>
      </c>
      <c r="H434" s="75"/>
      <c r="I434" s="75"/>
      <c r="J434" s="75" t="s">
        <v>162</v>
      </c>
      <c r="K434" s="75" t="s">
        <v>509</v>
      </c>
      <c r="L434" s="75" t="s">
        <v>535</v>
      </c>
      <c r="M434" s="75" t="s">
        <v>509</v>
      </c>
      <c r="N434" s="75" t="s">
        <v>535</v>
      </c>
      <c r="O434" s="86" t="s">
        <v>1371</v>
      </c>
    </row>
    <row r="435" spans="1:15">
      <c r="A435" s="63" t="s">
        <v>849</v>
      </c>
      <c r="B435" s="14" t="str">
        <f>VLOOKUP(O435,'护理记录单文书字典(数据)'!B$4:C$99,2,0)</f>
        <v>AE4433350CFAB21146BDB153457CAC40</v>
      </c>
      <c r="C435" s="75" t="s">
        <v>1393</v>
      </c>
      <c r="D435" s="75" t="s">
        <v>1394</v>
      </c>
      <c r="E435" s="92">
        <v>4</v>
      </c>
      <c r="F435" s="92">
        <v>4</v>
      </c>
      <c r="G435" s="75" t="s">
        <v>1223</v>
      </c>
      <c r="H435" s="75"/>
      <c r="I435" s="75"/>
      <c r="J435" s="75" t="s">
        <v>162</v>
      </c>
      <c r="K435" s="75" t="s">
        <v>509</v>
      </c>
      <c r="L435" s="75" t="s">
        <v>535</v>
      </c>
      <c r="M435" s="75" t="s">
        <v>509</v>
      </c>
      <c r="N435" s="75" t="s">
        <v>535</v>
      </c>
      <c r="O435" s="86" t="s">
        <v>1371</v>
      </c>
    </row>
    <row r="436" spans="1:15">
      <c r="A436" s="63" t="s">
        <v>849</v>
      </c>
      <c r="B436" s="14" t="str">
        <f>VLOOKUP(O436,'护理记录单文书字典(数据)'!B$4:C$99,2,0)</f>
        <v>AE4433350CFAB21146BDB153457CAC40</v>
      </c>
      <c r="C436" s="75" t="s">
        <v>1398</v>
      </c>
      <c r="D436" s="75" t="s">
        <v>1399</v>
      </c>
      <c r="E436" s="92">
        <v>1</v>
      </c>
      <c r="F436" s="92">
        <v>1</v>
      </c>
      <c r="G436" s="75" t="s">
        <v>1096</v>
      </c>
      <c r="H436" s="75"/>
      <c r="I436" s="75"/>
      <c r="J436" s="75" t="s">
        <v>162</v>
      </c>
      <c r="K436" s="75" t="s">
        <v>509</v>
      </c>
      <c r="L436" s="75" t="s">
        <v>535</v>
      </c>
      <c r="M436" s="75" t="s">
        <v>509</v>
      </c>
      <c r="N436" s="75" t="s">
        <v>535</v>
      </c>
      <c r="O436" s="86" t="s">
        <v>1371</v>
      </c>
    </row>
    <row r="437" spans="1:15">
      <c r="A437" s="63" t="s">
        <v>849</v>
      </c>
      <c r="B437" s="14" t="str">
        <f>VLOOKUP(O437,'护理记录单文书字典(数据)'!B$4:C$99,2,0)</f>
        <v>AE4433350CFAB21146BDB153457CAC40</v>
      </c>
      <c r="C437" s="75" t="s">
        <v>1398</v>
      </c>
      <c r="D437" s="75" t="s">
        <v>1399</v>
      </c>
      <c r="E437" s="92">
        <v>2</v>
      </c>
      <c r="F437" s="92">
        <v>2</v>
      </c>
      <c r="G437" s="75" t="s">
        <v>1400</v>
      </c>
      <c r="H437" s="75"/>
      <c r="I437" s="75"/>
      <c r="J437" s="75" t="s">
        <v>162</v>
      </c>
      <c r="K437" s="75" t="s">
        <v>509</v>
      </c>
      <c r="L437" s="75" t="s">
        <v>535</v>
      </c>
      <c r="M437" s="75" t="s">
        <v>509</v>
      </c>
      <c r="N437" s="75" t="s">
        <v>535</v>
      </c>
      <c r="O437" s="86" t="s">
        <v>1371</v>
      </c>
    </row>
    <row r="438" spans="1:15">
      <c r="A438" s="63" t="s">
        <v>849</v>
      </c>
      <c r="B438" s="14" t="str">
        <f>VLOOKUP(O438,'护理记录单文书字典(数据)'!B$4:C$99,2,0)</f>
        <v>AE4433350CFAB21146BDB153457CAC40</v>
      </c>
      <c r="C438" s="75" t="s">
        <v>1398</v>
      </c>
      <c r="D438" s="75" t="s">
        <v>1399</v>
      </c>
      <c r="E438" s="92">
        <v>3</v>
      </c>
      <c r="F438" s="92">
        <v>3</v>
      </c>
      <c r="G438" s="75" t="s">
        <v>1093</v>
      </c>
      <c r="H438" s="75"/>
      <c r="I438" s="75"/>
      <c r="J438" s="75" t="s">
        <v>162</v>
      </c>
      <c r="K438" s="75" t="s">
        <v>509</v>
      </c>
      <c r="L438" s="75" t="s">
        <v>535</v>
      </c>
      <c r="M438" s="75" t="s">
        <v>509</v>
      </c>
      <c r="N438" s="75" t="s">
        <v>535</v>
      </c>
      <c r="O438" s="86" t="s">
        <v>1371</v>
      </c>
    </row>
    <row r="439" spans="1:15">
      <c r="A439" s="63" t="s">
        <v>849</v>
      </c>
      <c r="B439" s="14" t="str">
        <f>VLOOKUP(O439,'护理记录单文书字典(数据)'!B$4:C$99,2,0)</f>
        <v>AE4433350CFAB21146BDB153457CAC40</v>
      </c>
      <c r="C439" s="75" t="s">
        <v>1401</v>
      </c>
      <c r="D439" s="75" t="s">
        <v>1402</v>
      </c>
      <c r="E439" s="92">
        <v>1</v>
      </c>
      <c r="F439" s="92">
        <v>1</v>
      </c>
      <c r="G439" s="75" t="s">
        <v>1403</v>
      </c>
      <c r="H439" s="75"/>
      <c r="I439" s="75"/>
      <c r="J439" s="75" t="s">
        <v>162</v>
      </c>
      <c r="K439" s="75" t="s">
        <v>509</v>
      </c>
      <c r="L439" s="75" t="s">
        <v>535</v>
      </c>
      <c r="M439" s="75" t="s">
        <v>509</v>
      </c>
      <c r="N439" s="75" t="s">
        <v>535</v>
      </c>
      <c r="O439" s="86" t="s">
        <v>1371</v>
      </c>
    </row>
    <row r="440" spans="1:15">
      <c r="A440" s="63" t="s">
        <v>849</v>
      </c>
      <c r="B440" s="14" t="str">
        <f>VLOOKUP(O440,'护理记录单文书字典(数据)'!B$4:C$99,2,0)</f>
        <v>AE4433350CFAB21146BDB153457CAC40</v>
      </c>
      <c r="C440" s="75" t="s">
        <v>1401</v>
      </c>
      <c r="D440" s="75" t="s">
        <v>1402</v>
      </c>
      <c r="E440" s="92">
        <v>2</v>
      </c>
      <c r="F440" s="92">
        <v>2</v>
      </c>
      <c r="G440" s="75" t="s">
        <v>1404</v>
      </c>
      <c r="H440" s="75"/>
      <c r="I440" s="75"/>
      <c r="J440" s="75" t="s">
        <v>162</v>
      </c>
      <c r="K440" s="75" t="s">
        <v>509</v>
      </c>
      <c r="L440" s="75" t="s">
        <v>535</v>
      </c>
      <c r="M440" s="75" t="s">
        <v>509</v>
      </c>
      <c r="N440" s="75" t="s">
        <v>535</v>
      </c>
      <c r="O440" s="86" t="s">
        <v>1371</v>
      </c>
    </row>
    <row r="441" spans="1:15">
      <c r="A441" s="63" t="s">
        <v>849</v>
      </c>
      <c r="B441" s="14" t="str">
        <f>VLOOKUP(O441,'护理记录单文书字典(数据)'!B$4:C$99,2,0)</f>
        <v>AE4433350CFAB21146BDB153457CAC40</v>
      </c>
      <c r="C441" s="75" t="s">
        <v>1401</v>
      </c>
      <c r="D441" s="75" t="s">
        <v>1402</v>
      </c>
      <c r="E441" s="92">
        <v>3</v>
      </c>
      <c r="F441" s="92">
        <v>3</v>
      </c>
      <c r="G441" s="75" t="s">
        <v>1093</v>
      </c>
      <c r="H441" s="75"/>
      <c r="I441" s="75"/>
      <c r="J441" s="75" t="s">
        <v>162</v>
      </c>
      <c r="K441" s="75" t="s">
        <v>509</v>
      </c>
      <c r="L441" s="75" t="s">
        <v>535</v>
      </c>
      <c r="M441" s="75" t="s">
        <v>509</v>
      </c>
      <c r="N441" s="75" t="s">
        <v>535</v>
      </c>
      <c r="O441" s="86" t="s">
        <v>1371</v>
      </c>
    </row>
    <row r="442" spans="1:15">
      <c r="A442" s="63" t="s">
        <v>849</v>
      </c>
      <c r="B442" s="14" t="str">
        <f>VLOOKUP(O442,'护理记录单文书字典(数据)'!B$4:C$99,2,0)</f>
        <v>AE4433350CFAB21146BDB153457CAC40</v>
      </c>
      <c r="C442" s="75" t="s">
        <v>1405</v>
      </c>
      <c r="D442" s="75" t="s">
        <v>1406</v>
      </c>
      <c r="E442" s="92">
        <v>1</v>
      </c>
      <c r="F442" s="92">
        <v>1</v>
      </c>
      <c r="G442" s="75" t="s">
        <v>981</v>
      </c>
      <c r="H442" s="75"/>
      <c r="I442" s="75"/>
      <c r="J442" s="75" t="s">
        <v>162</v>
      </c>
      <c r="K442" s="75" t="s">
        <v>509</v>
      </c>
      <c r="L442" s="75" t="s">
        <v>535</v>
      </c>
      <c r="M442" s="75" t="s">
        <v>509</v>
      </c>
      <c r="N442" s="75" t="s">
        <v>535</v>
      </c>
      <c r="O442" s="86" t="s">
        <v>1371</v>
      </c>
    </row>
    <row r="443" spans="1:15">
      <c r="A443" s="63" t="s">
        <v>849</v>
      </c>
      <c r="B443" s="14" t="str">
        <f>VLOOKUP(O443,'护理记录单文书字典(数据)'!B$4:C$99,2,0)</f>
        <v>AE4433350CFAB21146BDB153457CAC40</v>
      </c>
      <c r="C443" s="75" t="s">
        <v>1405</v>
      </c>
      <c r="D443" s="75" t="s">
        <v>1406</v>
      </c>
      <c r="E443" s="92">
        <v>2</v>
      </c>
      <c r="F443" s="92">
        <v>2</v>
      </c>
      <c r="G443" s="75" t="s">
        <v>982</v>
      </c>
      <c r="H443" s="75"/>
      <c r="I443" s="75"/>
      <c r="J443" s="75" t="s">
        <v>162</v>
      </c>
      <c r="K443" s="75" t="s">
        <v>509</v>
      </c>
      <c r="L443" s="75" t="s">
        <v>535</v>
      </c>
      <c r="M443" s="75" t="s">
        <v>509</v>
      </c>
      <c r="N443" s="75" t="s">
        <v>535</v>
      </c>
      <c r="O443" s="86" t="s">
        <v>1371</v>
      </c>
    </row>
    <row r="444" spans="1:15">
      <c r="A444" s="63" t="s">
        <v>849</v>
      </c>
      <c r="B444" s="14" t="str">
        <f>VLOOKUP(O444,'护理记录单文书字典(数据)'!B$4:C$99,2,0)</f>
        <v>AE4433350CFAB21146BDB153457CAC40</v>
      </c>
      <c r="C444" s="75" t="s">
        <v>1405</v>
      </c>
      <c r="D444" s="75" t="s">
        <v>1406</v>
      </c>
      <c r="E444" s="92">
        <v>3</v>
      </c>
      <c r="F444" s="92">
        <v>3</v>
      </c>
      <c r="G444" s="75" t="s">
        <v>983</v>
      </c>
      <c r="H444" s="75"/>
      <c r="I444" s="75"/>
      <c r="J444" s="75" t="s">
        <v>162</v>
      </c>
      <c r="K444" s="75" t="s">
        <v>509</v>
      </c>
      <c r="L444" s="75" t="s">
        <v>535</v>
      </c>
      <c r="M444" s="75" t="s">
        <v>509</v>
      </c>
      <c r="N444" s="75" t="s">
        <v>535</v>
      </c>
      <c r="O444" s="86" t="s">
        <v>1371</v>
      </c>
    </row>
    <row r="445" spans="1:15">
      <c r="A445" s="63" t="s">
        <v>849</v>
      </c>
      <c r="B445" s="14" t="str">
        <f>VLOOKUP(O445,'护理记录单文书字典(数据)'!B$4:C$99,2,0)</f>
        <v>AE4433350CFAB21146BDB153457CAC40</v>
      </c>
      <c r="C445" s="75" t="s">
        <v>1407</v>
      </c>
      <c r="D445" s="75" t="s">
        <v>1408</v>
      </c>
      <c r="E445" s="92">
        <v>1</v>
      </c>
      <c r="F445" s="92">
        <v>1</v>
      </c>
      <c r="G445" s="75" t="s">
        <v>1409</v>
      </c>
      <c r="H445" s="75"/>
      <c r="I445" s="75"/>
      <c r="J445" s="75" t="s">
        <v>162</v>
      </c>
      <c r="K445" s="75" t="s">
        <v>509</v>
      </c>
      <c r="L445" s="75" t="s">
        <v>535</v>
      </c>
      <c r="M445" s="75" t="s">
        <v>509</v>
      </c>
      <c r="N445" s="75" t="s">
        <v>535</v>
      </c>
      <c r="O445" s="86" t="s">
        <v>1371</v>
      </c>
    </row>
    <row r="446" spans="1:15">
      <c r="A446" s="63" t="s">
        <v>849</v>
      </c>
      <c r="B446" s="14" t="str">
        <f>VLOOKUP(O446,'护理记录单文书字典(数据)'!B$4:C$99,2,0)</f>
        <v>AE4433350CFAB21146BDB153457CAC40</v>
      </c>
      <c r="C446" s="75" t="s">
        <v>1407</v>
      </c>
      <c r="D446" s="75" t="s">
        <v>1408</v>
      </c>
      <c r="E446" s="92">
        <v>2</v>
      </c>
      <c r="F446" s="92">
        <v>2</v>
      </c>
      <c r="G446" s="75" t="s">
        <v>1410</v>
      </c>
      <c r="H446" s="75"/>
      <c r="I446" s="75"/>
      <c r="J446" s="75" t="s">
        <v>162</v>
      </c>
      <c r="K446" s="75" t="s">
        <v>509</v>
      </c>
      <c r="L446" s="75" t="s">
        <v>535</v>
      </c>
      <c r="M446" s="75" t="s">
        <v>509</v>
      </c>
      <c r="N446" s="75" t="s">
        <v>535</v>
      </c>
      <c r="O446" s="86" t="s">
        <v>1371</v>
      </c>
    </row>
    <row r="447" spans="1:15">
      <c r="A447" s="63" t="s">
        <v>849</v>
      </c>
      <c r="B447" s="14" t="str">
        <f>VLOOKUP(O447,'护理记录单文书字典(数据)'!B$4:C$99,2,0)</f>
        <v>AE4433350CFAB21146BDB153457CAC40</v>
      </c>
      <c r="C447" s="75" t="s">
        <v>1411</v>
      </c>
      <c r="D447" s="75" t="s">
        <v>1412</v>
      </c>
      <c r="E447" s="92">
        <v>1</v>
      </c>
      <c r="F447" s="92">
        <v>1</v>
      </c>
      <c r="G447" s="75" t="s">
        <v>981</v>
      </c>
      <c r="H447" s="75"/>
      <c r="I447" s="75"/>
      <c r="J447" s="75" t="s">
        <v>162</v>
      </c>
      <c r="K447" s="75" t="s">
        <v>509</v>
      </c>
      <c r="L447" s="75" t="s">
        <v>535</v>
      </c>
      <c r="M447" s="75" t="s">
        <v>509</v>
      </c>
      <c r="N447" s="75" t="s">
        <v>535</v>
      </c>
      <c r="O447" s="86" t="s">
        <v>1371</v>
      </c>
    </row>
    <row r="448" spans="1:15">
      <c r="A448" s="63" t="s">
        <v>849</v>
      </c>
      <c r="B448" s="14" t="str">
        <f>VLOOKUP(O448,'护理记录单文书字典(数据)'!B$4:C$99,2,0)</f>
        <v>AE4433350CFAB21146BDB153457CAC40</v>
      </c>
      <c r="C448" s="75" t="s">
        <v>1411</v>
      </c>
      <c r="D448" s="75" t="s">
        <v>1412</v>
      </c>
      <c r="E448" s="92">
        <v>2</v>
      </c>
      <c r="F448" s="92">
        <v>2</v>
      </c>
      <c r="G448" s="75" t="s">
        <v>982</v>
      </c>
      <c r="H448" s="75"/>
      <c r="I448" s="75"/>
      <c r="J448" s="75" t="s">
        <v>162</v>
      </c>
      <c r="K448" s="75" t="s">
        <v>509</v>
      </c>
      <c r="L448" s="75" t="s">
        <v>535</v>
      </c>
      <c r="M448" s="75" t="s">
        <v>509</v>
      </c>
      <c r="N448" s="75" t="s">
        <v>535</v>
      </c>
      <c r="O448" s="86" t="s">
        <v>1371</v>
      </c>
    </row>
    <row r="449" spans="1:15">
      <c r="A449" s="63" t="s">
        <v>849</v>
      </c>
      <c r="B449" s="14" t="str">
        <f>VLOOKUP(O449,'护理记录单文书字典(数据)'!B$4:C$99,2,0)</f>
        <v>AE4433350CFAB21146BDB153457CAC40</v>
      </c>
      <c r="C449" s="75" t="s">
        <v>1411</v>
      </c>
      <c r="D449" s="75" t="s">
        <v>1412</v>
      </c>
      <c r="E449" s="92">
        <v>3</v>
      </c>
      <c r="F449" s="92">
        <v>3</v>
      </c>
      <c r="G449" s="75" t="s">
        <v>983</v>
      </c>
      <c r="H449" s="75"/>
      <c r="I449" s="75"/>
      <c r="J449" s="75" t="s">
        <v>162</v>
      </c>
      <c r="K449" s="75" t="s">
        <v>509</v>
      </c>
      <c r="L449" s="75" t="s">
        <v>535</v>
      </c>
      <c r="M449" s="75" t="s">
        <v>509</v>
      </c>
      <c r="N449" s="75" t="s">
        <v>535</v>
      </c>
      <c r="O449" s="86" t="s">
        <v>1371</v>
      </c>
    </row>
    <row r="450" spans="1:15">
      <c r="A450" s="63" t="s">
        <v>849</v>
      </c>
      <c r="B450" s="14" t="str">
        <f>VLOOKUP(O450,'护理记录单文书字典(数据)'!B$4:C$99,2,0)</f>
        <v>AE4433350CFAB21146BDB153457CAC40</v>
      </c>
      <c r="C450" s="75" t="s">
        <v>1413</v>
      </c>
      <c r="D450" s="75" t="s">
        <v>1414</v>
      </c>
      <c r="E450" s="92">
        <v>1</v>
      </c>
      <c r="F450" s="92">
        <v>1</v>
      </c>
      <c r="G450" s="75" t="s">
        <v>1415</v>
      </c>
      <c r="H450" s="75"/>
      <c r="I450" s="75"/>
      <c r="J450" s="75" t="s">
        <v>162</v>
      </c>
      <c r="K450" s="75" t="s">
        <v>509</v>
      </c>
      <c r="L450" s="75" t="s">
        <v>535</v>
      </c>
      <c r="M450" s="75" t="s">
        <v>509</v>
      </c>
      <c r="N450" s="75" t="s">
        <v>535</v>
      </c>
      <c r="O450" s="86" t="s">
        <v>1371</v>
      </c>
    </row>
    <row r="451" spans="1:15">
      <c r="A451" s="63" t="s">
        <v>849</v>
      </c>
      <c r="B451" s="14" t="str">
        <f>VLOOKUP(O451,'护理记录单文书字典(数据)'!B$4:C$99,2,0)</f>
        <v>AE4433350CFAB21146BDB153457CAC40</v>
      </c>
      <c r="C451" s="75" t="s">
        <v>1413</v>
      </c>
      <c r="D451" s="75" t="s">
        <v>1414</v>
      </c>
      <c r="E451" s="92">
        <v>2</v>
      </c>
      <c r="F451" s="92">
        <v>2</v>
      </c>
      <c r="G451" s="75" t="s">
        <v>1416</v>
      </c>
      <c r="H451" s="75"/>
      <c r="I451" s="75"/>
      <c r="J451" s="75" t="s">
        <v>162</v>
      </c>
      <c r="K451" s="75" t="s">
        <v>509</v>
      </c>
      <c r="L451" s="75" t="s">
        <v>535</v>
      </c>
      <c r="M451" s="75" t="s">
        <v>509</v>
      </c>
      <c r="N451" s="75" t="s">
        <v>535</v>
      </c>
      <c r="O451" s="86" t="s">
        <v>1371</v>
      </c>
    </row>
    <row r="452" spans="1:15">
      <c r="A452" s="63" t="s">
        <v>849</v>
      </c>
      <c r="B452" s="14" t="str">
        <f>VLOOKUP(O452,'护理记录单文书字典(数据)'!B$4:C$99,2,0)</f>
        <v>AE4433350CFAB21146BDB153457CAC40</v>
      </c>
      <c r="C452" s="75" t="s">
        <v>1413</v>
      </c>
      <c r="D452" s="75" t="s">
        <v>1414</v>
      </c>
      <c r="E452" s="92">
        <v>3</v>
      </c>
      <c r="F452" s="92">
        <v>3</v>
      </c>
      <c r="G452" s="75" t="s">
        <v>1417</v>
      </c>
      <c r="H452" s="75"/>
      <c r="I452" s="75"/>
      <c r="J452" s="75" t="s">
        <v>162</v>
      </c>
      <c r="K452" s="75" t="s">
        <v>509</v>
      </c>
      <c r="L452" s="75" t="s">
        <v>535</v>
      </c>
      <c r="M452" s="75" t="s">
        <v>509</v>
      </c>
      <c r="N452" s="75" t="s">
        <v>535</v>
      </c>
      <c r="O452" s="86" t="s">
        <v>1371</v>
      </c>
    </row>
    <row r="453" spans="1:15">
      <c r="A453" s="63" t="s">
        <v>849</v>
      </c>
      <c r="B453" s="14" t="str">
        <f>VLOOKUP(O453,'护理记录单文书字典(数据)'!B$4:C$99,2,0)</f>
        <v>AE4433350CFAB21146BDB153457CAC40</v>
      </c>
      <c r="C453" s="75" t="s">
        <v>1081</v>
      </c>
      <c r="D453" s="75" t="s">
        <v>1418</v>
      </c>
      <c r="E453" s="92">
        <v>1</v>
      </c>
      <c r="F453" s="92">
        <v>1</v>
      </c>
      <c r="G453" s="75" t="s">
        <v>1419</v>
      </c>
      <c r="H453" s="75"/>
      <c r="I453" s="75"/>
      <c r="J453" s="75" t="s">
        <v>162</v>
      </c>
      <c r="K453" s="75" t="s">
        <v>509</v>
      </c>
      <c r="L453" s="75" t="s">
        <v>535</v>
      </c>
      <c r="M453" s="75" t="s">
        <v>509</v>
      </c>
      <c r="N453" s="75" t="s">
        <v>535</v>
      </c>
      <c r="O453" s="86" t="s">
        <v>1371</v>
      </c>
    </row>
    <row r="454" spans="1:15">
      <c r="A454" s="63" t="s">
        <v>849</v>
      </c>
      <c r="B454" s="14" t="str">
        <f>VLOOKUP(O454,'护理记录单文书字典(数据)'!B$4:C$99,2,0)</f>
        <v>AE4433350CFAB21146BDB153457CAC40</v>
      </c>
      <c r="C454" s="75" t="s">
        <v>1081</v>
      </c>
      <c r="D454" s="75" t="s">
        <v>1418</v>
      </c>
      <c r="E454" s="92">
        <v>2</v>
      </c>
      <c r="F454" s="92">
        <v>2</v>
      </c>
      <c r="G454" s="75" t="s">
        <v>1420</v>
      </c>
      <c r="H454" s="75"/>
      <c r="I454" s="75"/>
      <c r="J454" s="75" t="s">
        <v>162</v>
      </c>
      <c r="K454" s="75" t="s">
        <v>509</v>
      </c>
      <c r="L454" s="75" t="s">
        <v>535</v>
      </c>
      <c r="M454" s="75" t="s">
        <v>509</v>
      </c>
      <c r="N454" s="75" t="s">
        <v>535</v>
      </c>
      <c r="O454" s="86" t="s">
        <v>1371</v>
      </c>
    </row>
    <row r="455" spans="1:15">
      <c r="A455" s="63" t="s">
        <v>849</v>
      </c>
      <c r="B455" s="14" t="str">
        <f>VLOOKUP(O455,'护理记录单文书字典(数据)'!B$4:C$99,2,0)</f>
        <v>AE4433350CFAB21146BDB153457CAC40</v>
      </c>
      <c r="C455" s="75" t="s">
        <v>1081</v>
      </c>
      <c r="D455" s="75" t="s">
        <v>1418</v>
      </c>
      <c r="E455" s="92">
        <v>3</v>
      </c>
      <c r="F455" s="92">
        <v>3</v>
      </c>
      <c r="G455" s="75" t="s">
        <v>1421</v>
      </c>
      <c r="H455" s="75"/>
      <c r="I455" s="75"/>
      <c r="J455" s="75" t="s">
        <v>162</v>
      </c>
      <c r="K455" s="75" t="s">
        <v>509</v>
      </c>
      <c r="L455" s="75" t="s">
        <v>535</v>
      </c>
      <c r="M455" s="75" t="s">
        <v>509</v>
      </c>
      <c r="N455" s="75" t="s">
        <v>535</v>
      </c>
      <c r="O455" s="86" t="s">
        <v>1371</v>
      </c>
    </row>
    <row r="456" spans="1:15">
      <c r="A456" s="63" t="s">
        <v>849</v>
      </c>
      <c r="B456" s="14" t="str">
        <f>VLOOKUP(O456,'护理记录单文书字典(数据)'!B$4:C$99,2,0)</f>
        <v>AE4433350CFAB21146BDB153457CAC40</v>
      </c>
      <c r="C456" s="75" t="s">
        <v>1081</v>
      </c>
      <c r="D456" s="75" t="s">
        <v>1418</v>
      </c>
      <c r="E456" s="92">
        <v>4</v>
      </c>
      <c r="F456" s="92">
        <v>4</v>
      </c>
      <c r="G456" s="75" t="s">
        <v>1093</v>
      </c>
      <c r="H456" s="75"/>
      <c r="I456" s="75"/>
      <c r="J456" s="75" t="s">
        <v>162</v>
      </c>
      <c r="K456" s="75" t="s">
        <v>509</v>
      </c>
      <c r="L456" s="75" t="s">
        <v>535</v>
      </c>
      <c r="M456" s="75" t="s">
        <v>509</v>
      </c>
      <c r="N456" s="75" t="s">
        <v>535</v>
      </c>
      <c r="O456" s="86" t="s">
        <v>1371</v>
      </c>
    </row>
    <row r="457" spans="1:15">
      <c r="A457" s="63" t="s">
        <v>849</v>
      </c>
      <c r="B457" s="14" t="str">
        <f>VLOOKUP(O457,'护理记录单文书字典(数据)'!B$4:C$99,2,0)</f>
        <v>AE4433350CFAB21146BDB153457CAC40</v>
      </c>
      <c r="C457" s="75" t="s">
        <v>1422</v>
      </c>
      <c r="D457" s="75" t="s">
        <v>1423</v>
      </c>
      <c r="E457" s="92">
        <v>1</v>
      </c>
      <c r="F457" s="92">
        <v>1</v>
      </c>
      <c r="G457" s="75" t="s">
        <v>981</v>
      </c>
      <c r="H457" s="75"/>
      <c r="I457" s="75"/>
      <c r="J457" s="75" t="s">
        <v>162</v>
      </c>
      <c r="K457" s="75" t="s">
        <v>509</v>
      </c>
      <c r="L457" s="75" t="s">
        <v>535</v>
      </c>
      <c r="M457" s="75" t="s">
        <v>509</v>
      </c>
      <c r="N457" s="75" t="s">
        <v>535</v>
      </c>
      <c r="O457" s="86" t="s">
        <v>1371</v>
      </c>
    </row>
    <row r="458" spans="1:15">
      <c r="A458" s="63" t="s">
        <v>849</v>
      </c>
      <c r="B458" s="14" t="str">
        <f>VLOOKUP(O458,'护理记录单文书字典(数据)'!B$4:C$99,2,0)</f>
        <v>AE4433350CFAB21146BDB153457CAC40</v>
      </c>
      <c r="C458" s="75" t="s">
        <v>1422</v>
      </c>
      <c r="D458" s="75" t="s">
        <v>1423</v>
      </c>
      <c r="E458" s="92">
        <v>2</v>
      </c>
      <c r="F458" s="92">
        <v>2</v>
      </c>
      <c r="G458" s="75" t="s">
        <v>982</v>
      </c>
      <c r="H458" s="75"/>
      <c r="I458" s="75"/>
      <c r="J458" s="75" t="s">
        <v>162</v>
      </c>
      <c r="K458" s="75" t="s">
        <v>509</v>
      </c>
      <c r="L458" s="75" t="s">
        <v>535</v>
      </c>
      <c r="M458" s="75" t="s">
        <v>509</v>
      </c>
      <c r="N458" s="75" t="s">
        <v>535</v>
      </c>
      <c r="O458" s="86" t="s">
        <v>1371</v>
      </c>
    </row>
    <row r="459" spans="1:15">
      <c r="A459" s="63" t="s">
        <v>849</v>
      </c>
      <c r="B459" s="14" t="str">
        <f>VLOOKUP(O459,'护理记录单文书字典(数据)'!B$4:C$99,2,0)</f>
        <v>AE4433350CFAB21146BDB153457CAC40</v>
      </c>
      <c r="C459" s="75" t="s">
        <v>1422</v>
      </c>
      <c r="D459" s="75" t="s">
        <v>1423</v>
      </c>
      <c r="E459" s="92">
        <v>3</v>
      </c>
      <c r="F459" s="92">
        <v>3</v>
      </c>
      <c r="G459" s="75" t="s">
        <v>983</v>
      </c>
      <c r="H459" s="75"/>
      <c r="I459" s="75"/>
      <c r="J459" s="75" t="s">
        <v>162</v>
      </c>
      <c r="K459" s="75" t="s">
        <v>509</v>
      </c>
      <c r="L459" s="75" t="s">
        <v>535</v>
      </c>
      <c r="M459" s="75" t="s">
        <v>509</v>
      </c>
      <c r="N459" s="75" t="s">
        <v>535</v>
      </c>
      <c r="O459" s="86" t="s">
        <v>1371</v>
      </c>
    </row>
    <row r="460" spans="1:15">
      <c r="A460" s="63" t="s">
        <v>849</v>
      </c>
      <c r="B460" s="14" t="str">
        <f>VLOOKUP(O460,'护理记录单文书字典(数据)'!B$4:C$99,2,0)</f>
        <v>AE4433350CFAB21146BDB153457CAC40</v>
      </c>
      <c r="C460" s="75" t="s">
        <v>1330</v>
      </c>
      <c r="D460" s="75" t="s">
        <v>1331</v>
      </c>
      <c r="E460" s="92">
        <v>1</v>
      </c>
      <c r="F460" s="92">
        <v>1</v>
      </c>
      <c r="G460" s="75" t="s">
        <v>1332</v>
      </c>
      <c r="H460" s="75"/>
      <c r="I460" s="75"/>
      <c r="J460" s="75" t="s">
        <v>162</v>
      </c>
      <c r="K460" s="75" t="s">
        <v>509</v>
      </c>
      <c r="L460" s="75" t="s">
        <v>535</v>
      </c>
      <c r="M460" s="75" t="s">
        <v>509</v>
      </c>
      <c r="N460" s="75" t="s">
        <v>535</v>
      </c>
      <c r="O460" s="86" t="s">
        <v>1371</v>
      </c>
    </row>
    <row r="461" spans="1:15">
      <c r="A461" s="63" t="s">
        <v>849</v>
      </c>
      <c r="B461" s="14" t="str">
        <f>VLOOKUP(O461,'护理记录单文书字典(数据)'!B$4:C$99,2,0)</f>
        <v>AE4433350CFAB21146BDB153457CAC40</v>
      </c>
      <c r="C461" s="75" t="s">
        <v>1330</v>
      </c>
      <c r="D461" s="75" t="s">
        <v>1331</v>
      </c>
      <c r="E461" s="92">
        <v>2</v>
      </c>
      <c r="F461" s="92">
        <v>2</v>
      </c>
      <c r="G461" s="75" t="s">
        <v>1333</v>
      </c>
      <c r="H461" s="75"/>
      <c r="I461" s="75"/>
      <c r="J461" s="75" t="s">
        <v>162</v>
      </c>
      <c r="K461" s="75" t="s">
        <v>509</v>
      </c>
      <c r="L461" s="75" t="s">
        <v>535</v>
      </c>
      <c r="M461" s="75" t="s">
        <v>509</v>
      </c>
      <c r="N461" s="75" t="s">
        <v>535</v>
      </c>
      <c r="O461" s="86" t="s">
        <v>1371</v>
      </c>
    </row>
    <row r="462" spans="1:15">
      <c r="A462" s="63" t="s">
        <v>849</v>
      </c>
      <c r="B462" s="14" t="str">
        <f>VLOOKUP(O462,'护理记录单文书字典(数据)'!B$4:C$99,2,0)</f>
        <v>AE4433350CFAB21146BDB153457CAC40</v>
      </c>
      <c r="C462" s="75" t="s">
        <v>1330</v>
      </c>
      <c r="D462" s="75" t="s">
        <v>1331</v>
      </c>
      <c r="E462" s="92">
        <v>3</v>
      </c>
      <c r="F462" s="92">
        <v>3</v>
      </c>
      <c r="G462" s="75" t="s">
        <v>1424</v>
      </c>
      <c r="H462" s="75"/>
      <c r="I462" s="75"/>
      <c r="J462" s="75" t="s">
        <v>162</v>
      </c>
      <c r="K462" s="75" t="s">
        <v>509</v>
      </c>
      <c r="L462" s="75" t="s">
        <v>535</v>
      </c>
      <c r="M462" s="75" t="s">
        <v>509</v>
      </c>
      <c r="N462" s="75" t="s">
        <v>535</v>
      </c>
      <c r="O462" s="86" t="s">
        <v>1371</v>
      </c>
    </row>
    <row r="463" spans="1:15">
      <c r="A463" s="63" t="s">
        <v>849</v>
      </c>
      <c r="B463" s="14" t="str">
        <f>VLOOKUP(O463,'护理记录单文书字典(数据)'!B$4:C$99,2,0)</f>
        <v>AE4433350CFAB21146BDB153457CAC40</v>
      </c>
      <c r="C463" s="75" t="s">
        <v>1330</v>
      </c>
      <c r="D463" s="75" t="s">
        <v>1331</v>
      </c>
      <c r="E463" s="92">
        <v>4</v>
      </c>
      <c r="F463" s="92">
        <v>4</v>
      </c>
      <c r="G463" s="75" t="s">
        <v>1093</v>
      </c>
      <c r="H463" s="75"/>
      <c r="I463" s="75"/>
      <c r="J463" s="75" t="s">
        <v>162</v>
      </c>
      <c r="K463" s="75" t="s">
        <v>509</v>
      </c>
      <c r="L463" s="75" t="s">
        <v>535</v>
      </c>
      <c r="M463" s="75" t="s">
        <v>509</v>
      </c>
      <c r="N463" s="75" t="s">
        <v>535</v>
      </c>
      <c r="O463" s="86" t="s">
        <v>1371</v>
      </c>
    </row>
    <row r="464" spans="1:15">
      <c r="A464" s="63" t="s">
        <v>849</v>
      </c>
      <c r="B464" s="14" t="str">
        <f>VLOOKUP(O464,'护理记录单文书字典(数据)'!B$4:C$99,2,0)</f>
        <v>AE4433350CFAB21146BDB153457CAC40</v>
      </c>
      <c r="C464" s="75" t="s">
        <v>1425</v>
      </c>
      <c r="D464" s="75" t="s">
        <v>1426</v>
      </c>
      <c r="E464" s="92">
        <v>1</v>
      </c>
      <c r="F464" s="92">
        <v>1</v>
      </c>
      <c r="G464" s="75" t="s">
        <v>1427</v>
      </c>
      <c r="H464" s="75"/>
      <c r="I464" s="75"/>
      <c r="J464" s="75" t="s">
        <v>162</v>
      </c>
      <c r="K464" s="75" t="s">
        <v>509</v>
      </c>
      <c r="L464" s="75" t="s">
        <v>535</v>
      </c>
      <c r="M464" s="75" t="s">
        <v>509</v>
      </c>
      <c r="N464" s="75" t="s">
        <v>535</v>
      </c>
      <c r="O464" s="86" t="s">
        <v>1371</v>
      </c>
    </row>
    <row r="465" spans="1:15">
      <c r="A465" s="63" t="s">
        <v>849</v>
      </c>
      <c r="B465" s="14" t="str">
        <f>VLOOKUP(O465,'护理记录单文书字典(数据)'!B$4:C$99,2,0)</f>
        <v>AE4433350CFAB21146BDB153457CAC40</v>
      </c>
      <c r="C465" s="75" t="s">
        <v>1425</v>
      </c>
      <c r="D465" s="75" t="s">
        <v>1426</v>
      </c>
      <c r="E465" s="92">
        <v>2</v>
      </c>
      <c r="F465" s="92">
        <v>2</v>
      </c>
      <c r="G465" s="75" t="s">
        <v>1428</v>
      </c>
      <c r="H465" s="75"/>
      <c r="I465" s="75"/>
      <c r="J465" s="75" t="s">
        <v>162</v>
      </c>
      <c r="K465" s="75" t="s">
        <v>509</v>
      </c>
      <c r="L465" s="75" t="s">
        <v>535</v>
      </c>
      <c r="M465" s="75" t="s">
        <v>509</v>
      </c>
      <c r="N465" s="75" t="s">
        <v>535</v>
      </c>
      <c r="O465" s="86" t="s">
        <v>1371</v>
      </c>
    </row>
    <row r="466" spans="1:15">
      <c r="A466" s="63" t="s">
        <v>849</v>
      </c>
      <c r="B466" s="14" t="str">
        <f>VLOOKUP(O466,'护理记录单文书字典(数据)'!B$4:C$99,2,0)</f>
        <v>AE4433350CFAB21146BDB153457CAC40</v>
      </c>
      <c r="C466" s="75" t="s">
        <v>1425</v>
      </c>
      <c r="D466" s="75" t="s">
        <v>1426</v>
      </c>
      <c r="E466" s="92">
        <v>3</v>
      </c>
      <c r="F466" s="92">
        <v>3</v>
      </c>
      <c r="G466" s="75" t="s">
        <v>1429</v>
      </c>
      <c r="H466" s="75"/>
      <c r="I466" s="75"/>
      <c r="J466" s="75" t="s">
        <v>162</v>
      </c>
      <c r="K466" s="75" t="s">
        <v>509</v>
      </c>
      <c r="L466" s="75" t="s">
        <v>535</v>
      </c>
      <c r="M466" s="75" t="s">
        <v>509</v>
      </c>
      <c r="N466" s="75" t="s">
        <v>535</v>
      </c>
      <c r="O466" s="86" t="s">
        <v>1371</v>
      </c>
    </row>
    <row r="467" spans="1:15">
      <c r="A467" s="63" t="s">
        <v>849</v>
      </c>
      <c r="B467" s="14" t="str">
        <f>VLOOKUP(O467,'护理记录单文书字典(数据)'!B$4:C$99,2,0)</f>
        <v>AE4433350CFAB21146BDB153457CAC40</v>
      </c>
      <c r="C467" s="75" t="s">
        <v>1425</v>
      </c>
      <c r="D467" s="75" t="s">
        <v>1426</v>
      </c>
      <c r="E467" s="92">
        <v>4</v>
      </c>
      <c r="F467" s="92">
        <v>4</v>
      </c>
      <c r="G467" s="75" t="s">
        <v>1093</v>
      </c>
      <c r="H467" s="75"/>
      <c r="I467" s="75"/>
      <c r="J467" s="75" t="s">
        <v>162</v>
      </c>
      <c r="K467" s="75" t="s">
        <v>509</v>
      </c>
      <c r="L467" s="75" t="s">
        <v>535</v>
      </c>
      <c r="M467" s="75" t="s">
        <v>509</v>
      </c>
      <c r="N467" s="75" t="s">
        <v>535</v>
      </c>
      <c r="O467" s="86" t="s">
        <v>1371</v>
      </c>
    </row>
    <row r="468" spans="1:15">
      <c r="A468" s="63" t="s">
        <v>849</v>
      </c>
      <c r="B468" s="14" t="str">
        <f>VLOOKUP(O468,'护理记录单文书字典(数据)'!B$4:C$99,2,0)</f>
        <v>E61F38350CFAB211C5891DB6F0FB3E61</v>
      </c>
      <c r="C468" s="75" t="s">
        <v>1369</v>
      </c>
      <c r="D468" s="75" t="s">
        <v>1370</v>
      </c>
      <c r="E468" s="92">
        <v>1</v>
      </c>
      <c r="F468" s="92">
        <v>1</v>
      </c>
      <c r="G468" s="75" t="s">
        <v>962</v>
      </c>
      <c r="H468" s="75"/>
      <c r="I468" s="75"/>
      <c r="J468" s="75" t="s">
        <v>162</v>
      </c>
      <c r="K468" s="75" t="s">
        <v>509</v>
      </c>
      <c r="L468" s="75" t="s">
        <v>535</v>
      </c>
      <c r="M468" s="75" t="s">
        <v>509</v>
      </c>
      <c r="N468" s="75" t="s">
        <v>535</v>
      </c>
      <c r="O468" s="86" t="s">
        <v>1430</v>
      </c>
    </row>
    <row r="469" spans="1:15">
      <c r="A469" s="63" t="s">
        <v>849</v>
      </c>
      <c r="B469" s="14" t="str">
        <f>VLOOKUP(O469,'护理记录单文书字典(数据)'!B$4:C$99,2,0)</f>
        <v>E61F38350CFAB211C5891DB6F0FB3E61</v>
      </c>
      <c r="C469" s="75" t="s">
        <v>1369</v>
      </c>
      <c r="D469" s="75" t="s">
        <v>1370</v>
      </c>
      <c r="E469" s="92">
        <v>2</v>
      </c>
      <c r="F469" s="92">
        <v>2</v>
      </c>
      <c r="G469" s="75" t="s">
        <v>1190</v>
      </c>
      <c r="H469" s="75"/>
      <c r="I469" s="75"/>
      <c r="J469" s="75" t="s">
        <v>162</v>
      </c>
      <c r="K469" s="75" t="s">
        <v>509</v>
      </c>
      <c r="L469" s="75" t="s">
        <v>535</v>
      </c>
      <c r="M469" s="75" t="s">
        <v>509</v>
      </c>
      <c r="N469" s="75" t="s">
        <v>535</v>
      </c>
      <c r="O469" s="86" t="s">
        <v>1430</v>
      </c>
    </row>
    <row r="470" spans="1:15">
      <c r="A470" s="63" t="s">
        <v>849</v>
      </c>
      <c r="B470" s="14" t="str">
        <f>VLOOKUP(O470,'护理记录单文书字典(数据)'!B$4:C$99,2,0)</f>
        <v>E61F38350CFAB211C5891DB6F0FB3E61</v>
      </c>
      <c r="C470" s="75" t="s">
        <v>1369</v>
      </c>
      <c r="D470" s="75" t="s">
        <v>1370</v>
      </c>
      <c r="E470" s="92">
        <v>3</v>
      </c>
      <c r="F470" s="92">
        <v>3</v>
      </c>
      <c r="G470" s="75" t="s">
        <v>1191</v>
      </c>
      <c r="H470" s="75"/>
      <c r="I470" s="75"/>
      <c r="J470" s="75" t="s">
        <v>162</v>
      </c>
      <c r="K470" s="75" t="s">
        <v>509</v>
      </c>
      <c r="L470" s="75" t="s">
        <v>535</v>
      </c>
      <c r="M470" s="75" t="s">
        <v>509</v>
      </c>
      <c r="N470" s="75" t="s">
        <v>535</v>
      </c>
      <c r="O470" s="86" t="s">
        <v>1430</v>
      </c>
    </row>
    <row r="471" spans="1:15">
      <c r="A471" s="63" t="s">
        <v>849</v>
      </c>
      <c r="B471" s="14" t="str">
        <f>VLOOKUP(O471,'护理记录单文书字典(数据)'!B$4:C$99,2,0)</f>
        <v>E61F38350CFAB211C5891DB6F0FB3E61</v>
      </c>
      <c r="C471" s="75" t="s">
        <v>1369</v>
      </c>
      <c r="D471" s="75" t="s">
        <v>1370</v>
      </c>
      <c r="E471" s="92">
        <v>4</v>
      </c>
      <c r="F471" s="92">
        <v>4</v>
      </c>
      <c r="G471" s="75" t="s">
        <v>1192</v>
      </c>
      <c r="H471" s="75"/>
      <c r="I471" s="75"/>
      <c r="J471" s="75" t="s">
        <v>162</v>
      </c>
      <c r="K471" s="75" t="s">
        <v>509</v>
      </c>
      <c r="L471" s="75" t="s">
        <v>535</v>
      </c>
      <c r="M471" s="75" t="s">
        <v>509</v>
      </c>
      <c r="N471" s="75" t="s">
        <v>535</v>
      </c>
      <c r="O471" s="86" t="s">
        <v>1430</v>
      </c>
    </row>
    <row r="472" spans="1:15">
      <c r="A472" s="63" t="s">
        <v>849</v>
      </c>
      <c r="B472" s="14" t="str">
        <f>VLOOKUP(O472,'护理记录单文书字典(数据)'!B$4:C$99,2,0)</f>
        <v>E61F38350CFAB211C5891DB6F0FB3E61</v>
      </c>
      <c r="C472" s="75" t="s">
        <v>1372</v>
      </c>
      <c r="D472" s="75" t="s">
        <v>1373</v>
      </c>
      <c r="E472" s="92">
        <v>1</v>
      </c>
      <c r="F472" s="92">
        <v>1</v>
      </c>
      <c r="G472" s="75" t="s">
        <v>1374</v>
      </c>
      <c r="H472" s="75"/>
      <c r="I472" s="75"/>
      <c r="J472" s="75" t="s">
        <v>162</v>
      </c>
      <c r="K472" s="75" t="s">
        <v>509</v>
      </c>
      <c r="L472" s="75" t="s">
        <v>535</v>
      </c>
      <c r="M472" s="75" t="s">
        <v>509</v>
      </c>
      <c r="N472" s="75" t="s">
        <v>535</v>
      </c>
      <c r="O472" s="86" t="s">
        <v>1430</v>
      </c>
    </row>
    <row r="473" spans="1:15">
      <c r="A473" s="63" t="s">
        <v>849</v>
      </c>
      <c r="B473" s="14" t="str">
        <f>VLOOKUP(O473,'护理记录单文书字典(数据)'!B$4:C$99,2,0)</f>
        <v>E61F38350CFAB211C5891DB6F0FB3E61</v>
      </c>
      <c r="C473" s="75" t="s">
        <v>1372</v>
      </c>
      <c r="D473" s="75" t="s">
        <v>1373</v>
      </c>
      <c r="E473" s="92">
        <v>2</v>
      </c>
      <c r="F473" s="92">
        <v>2</v>
      </c>
      <c r="G473" s="75" t="s">
        <v>1375</v>
      </c>
      <c r="H473" s="75"/>
      <c r="I473" s="75"/>
      <c r="J473" s="75" t="s">
        <v>162</v>
      </c>
      <c r="K473" s="75" t="s">
        <v>509</v>
      </c>
      <c r="L473" s="75" t="s">
        <v>535</v>
      </c>
      <c r="M473" s="75" t="s">
        <v>509</v>
      </c>
      <c r="N473" s="75" t="s">
        <v>535</v>
      </c>
      <c r="O473" s="86" t="s">
        <v>1430</v>
      </c>
    </row>
    <row r="474" spans="1:15">
      <c r="A474" s="63" t="s">
        <v>849</v>
      </c>
      <c r="B474" s="14" t="str">
        <f>VLOOKUP(O474,'护理记录单文书字典(数据)'!B$4:C$99,2,0)</f>
        <v>E61F38350CFAB211C5891DB6F0FB3E61</v>
      </c>
      <c r="C474" s="75" t="s">
        <v>1376</v>
      </c>
      <c r="D474" s="75" t="s">
        <v>1377</v>
      </c>
      <c r="E474" s="92">
        <v>1</v>
      </c>
      <c r="F474" s="92">
        <v>1</v>
      </c>
      <c r="G474" s="75" t="s">
        <v>962</v>
      </c>
      <c r="H474" s="75"/>
      <c r="I474" s="75"/>
      <c r="J474" s="75" t="s">
        <v>162</v>
      </c>
      <c r="K474" s="75" t="s">
        <v>509</v>
      </c>
      <c r="L474" s="75" t="s">
        <v>535</v>
      </c>
      <c r="M474" s="75" t="s">
        <v>509</v>
      </c>
      <c r="N474" s="75" t="s">
        <v>535</v>
      </c>
      <c r="O474" s="86" t="s">
        <v>1430</v>
      </c>
    </row>
    <row r="475" spans="1:15">
      <c r="A475" s="63" t="s">
        <v>849</v>
      </c>
      <c r="B475" s="14" t="str">
        <f>VLOOKUP(O475,'护理记录单文书字典(数据)'!B$4:C$99,2,0)</f>
        <v>E61F38350CFAB211C5891DB6F0FB3E61</v>
      </c>
      <c r="C475" s="75" t="s">
        <v>1376</v>
      </c>
      <c r="D475" s="75" t="s">
        <v>1377</v>
      </c>
      <c r="E475" s="92">
        <v>2</v>
      </c>
      <c r="F475" s="92">
        <v>2</v>
      </c>
      <c r="G475" s="75" t="s">
        <v>1105</v>
      </c>
      <c r="H475" s="75"/>
      <c r="I475" s="75"/>
      <c r="J475" s="75" t="s">
        <v>162</v>
      </c>
      <c r="K475" s="75" t="s">
        <v>509</v>
      </c>
      <c r="L475" s="75" t="s">
        <v>535</v>
      </c>
      <c r="M475" s="75" t="s">
        <v>509</v>
      </c>
      <c r="N475" s="75" t="s">
        <v>535</v>
      </c>
      <c r="O475" s="86" t="s">
        <v>1430</v>
      </c>
    </row>
    <row r="476" spans="1:15">
      <c r="A476" s="63" t="s">
        <v>849</v>
      </c>
      <c r="B476" s="14" t="str">
        <f>VLOOKUP(O476,'护理记录单文书字典(数据)'!B$4:C$99,2,0)</f>
        <v>E61F38350CFAB211C5891DB6F0FB3E61</v>
      </c>
      <c r="C476" s="75" t="s">
        <v>1376</v>
      </c>
      <c r="D476" s="75" t="s">
        <v>1377</v>
      </c>
      <c r="E476" s="92">
        <v>3</v>
      </c>
      <c r="F476" s="92">
        <v>3</v>
      </c>
      <c r="G476" s="75" t="s">
        <v>1106</v>
      </c>
      <c r="H476" s="75"/>
      <c r="I476" s="75"/>
      <c r="J476" s="75" t="s">
        <v>162</v>
      </c>
      <c r="K476" s="75" t="s">
        <v>509</v>
      </c>
      <c r="L476" s="75" t="s">
        <v>535</v>
      </c>
      <c r="M476" s="75" t="s">
        <v>509</v>
      </c>
      <c r="N476" s="75" t="s">
        <v>535</v>
      </c>
      <c r="O476" s="86" t="s">
        <v>1430</v>
      </c>
    </row>
    <row r="477" spans="1:15">
      <c r="A477" s="63" t="s">
        <v>849</v>
      </c>
      <c r="B477" s="14" t="str">
        <f>VLOOKUP(O477,'护理记录单文书字典(数据)'!B$4:C$99,2,0)</f>
        <v>E61F38350CFAB211C5891DB6F0FB3E61</v>
      </c>
      <c r="C477" s="75" t="s">
        <v>1376</v>
      </c>
      <c r="D477" s="75" t="s">
        <v>1377</v>
      </c>
      <c r="E477" s="92">
        <v>4</v>
      </c>
      <c r="F477" s="92">
        <v>4</v>
      </c>
      <c r="G477" s="75" t="s">
        <v>1107</v>
      </c>
      <c r="H477" s="75"/>
      <c r="I477" s="75"/>
      <c r="J477" s="75" t="s">
        <v>162</v>
      </c>
      <c r="K477" s="75" t="s">
        <v>509</v>
      </c>
      <c r="L477" s="75" t="s">
        <v>535</v>
      </c>
      <c r="M477" s="75" t="s">
        <v>509</v>
      </c>
      <c r="N477" s="75" t="s">
        <v>535</v>
      </c>
      <c r="O477" s="86" t="s">
        <v>1430</v>
      </c>
    </row>
    <row r="478" spans="1:15">
      <c r="A478" s="63" t="s">
        <v>849</v>
      </c>
      <c r="B478" s="14" t="str">
        <f>VLOOKUP(O478,'护理记录单文书字典(数据)'!B$4:C$99,2,0)</f>
        <v>E61F38350CFAB211C5891DB6F0FB3E61</v>
      </c>
      <c r="C478" s="75" t="s">
        <v>1378</v>
      </c>
      <c r="D478" s="75" t="s">
        <v>1431</v>
      </c>
      <c r="E478" s="92">
        <v>1</v>
      </c>
      <c r="F478" s="92">
        <v>1</v>
      </c>
      <c r="G478" s="75" t="s">
        <v>1380</v>
      </c>
      <c r="H478" s="75"/>
      <c r="I478" s="75"/>
      <c r="J478" s="75" t="s">
        <v>162</v>
      </c>
      <c r="K478" s="75" t="s">
        <v>509</v>
      </c>
      <c r="L478" s="75" t="s">
        <v>535</v>
      </c>
      <c r="M478" s="75" t="s">
        <v>509</v>
      </c>
      <c r="N478" s="75" t="s">
        <v>535</v>
      </c>
      <c r="O478" s="86" t="s">
        <v>1430</v>
      </c>
    </row>
    <row r="479" spans="1:15">
      <c r="A479" s="63" t="s">
        <v>849</v>
      </c>
      <c r="B479" s="14" t="str">
        <f>VLOOKUP(O479,'护理记录单文书字典(数据)'!B$4:C$99,2,0)</f>
        <v>E61F38350CFAB211C5891DB6F0FB3E61</v>
      </c>
      <c r="C479" s="75" t="s">
        <v>1378</v>
      </c>
      <c r="D479" s="75" t="s">
        <v>1431</v>
      </c>
      <c r="E479" s="92">
        <v>2</v>
      </c>
      <c r="F479" s="92">
        <v>2</v>
      </c>
      <c r="G479" s="75" t="s">
        <v>1128</v>
      </c>
      <c r="H479" s="75"/>
      <c r="I479" s="75"/>
      <c r="J479" s="75" t="s">
        <v>162</v>
      </c>
      <c r="K479" s="75" t="s">
        <v>509</v>
      </c>
      <c r="L479" s="75" t="s">
        <v>535</v>
      </c>
      <c r="M479" s="75" t="s">
        <v>509</v>
      </c>
      <c r="N479" s="75" t="s">
        <v>535</v>
      </c>
      <c r="O479" s="86" t="s">
        <v>1430</v>
      </c>
    </row>
    <row r="480" spans="1:15">
      <c r="A480" s="63" t="s">
        <v>849</v>
      </c>
      <c r="B480" s="14" t="str">
        <f>VLOOKUP(O480,'护理记录单文书字典(数据)'!B$4:C$99,2,0)</f>
        <v>E61F38350CFAB211C5891DB6F0FB3E61</v>
      </c>
      <c r="C480" s="75" t="s">
        <v>1378</v>
      </c>
      <c r="D480" s="75" t="s">
        <v>1431</v>
      </c>
      <c r="E480" s="92">
        <v>3</v>
      </c>
      <c r="F480" s="92">
        <v>3</v>
      </c>
      <c r="G480" s="75" t="s">
        <v>1381</v>
      </c>
      <c r="H480" s="75"/>
      <c r="I480" s="75"/>
      <c r="J480" s="75" t="s">
        <v>162</v>
      </c>
      <c r="K480" s="75" t="s">
        <v>509</v>
      </c>
      <c r="L480" s="75" t="s">
        <v>535</v>
      </c>
      <c r="M480" s="75" t="s">
        <v>509</v>
      </c>
      <c r="N480" s="75" t="s">
        <v>535</v>
      </c>
      <c r="O480" s="86" t="s">
        <v>1430</v>
      </c>
    </row>
    <row r="481" spans="1:15">
      <c r="A481" s="63" t="s">
        <v>849</v>
      </c>
      <c r="B481" s="14" t="str">
        <f>VLOOKUP(O481,'护理记录单文书字典(数据)'!B$4:C$99,2,0)</f>
        <v>E61F38350CFAB211C5891DB6F0FB3E61</v>
      </c>
      <c r="C481" s="75" t="s">
        <v>1378</v>
      </c>
      <c r="D481" s="75" t="s">
        <v>1431</v>
      </c>
      <c r="E481" s="92">
        <v>4</v>
      </c>
      <c r="F481" s="92">
        <v>4</v>
      </c>
      <c r="G481" s="75" t="s">
        <v>1093</v>
      </c>
      <c r="H481" s="75"/>
      <c r="I481" s="75"/>
      <c r="J481" s="75" t="s">
        <v>162</v>
      </c>
      <c r="K481" s="75" t="s">
        <v>509</v>
      </c>
      <c r="L481" s="75" t="s">
        <v>535</v>
      </c>
      <c r="M481" s="75" t="s">
        <v>509</v>
      </c>
      <c r="N481" s="75" t="s">
        <v>535</v>
      </c>
      <c r="O481" s="86" t="s">
        <v>1430</v>
      </c>
    </row>
    <row r="482" spans="1:15">
      <c r="A482" s="63" t="s">
        <v>849</v>
      </c>
      <c r="B482" s="14" t="str">
        <f>VLOOKUP(O482,'护理记录单文书字典(数据)'!B$4:C$99,2,0)</f>
        <v>E61F38350CFAB211C5891DB6F0FB3E61</v>
      </c>
      <c r="C482" s="75" t="s">
        <v>1382</v>
      </c>
      <c r="D482" s="75" t="s">
        <v>1383</v>
      </c>
      <c r="E482" s="92">
        <v>1</v>
      </c>
      <c r="F482" s="92">
        <v>1</v>
      </c>
      <c r="G482" s="75" t="s">
        <v>1384</v>
      </c>
      <c r="H482" s="75"/>
      <c r="I482" s="75"/>
      <c r="J482" s="75" t="s">
        <v>162</v>
      </c>
      <c r="K482" s="75" t="s">
        <v>509</v>
      </c>
      <c r="L482" s="75" t="s">
        <v>535</v>
      </c>
      <c r="M482" s="75" t="s">
        <v>509</v>
      </c>
      <c r="N482" s="75" t="s">
        <v>535</v>
      </c>
      <c r="O482" s="86" t="s">
        <v>1430</v>
      </c>
    </row>
    <row r="483" spans="1:15">
      <c r="A483" s="63" t="s">
        <v>849</v>
      </c>
      <c r="B483" s="14" t="str">
        <f>VLOOKUP(O483,'护理记录单文书字典(数据)'!B$4:C$99,2,0)</f>
        <v>E61F38350CFAB211C5891DB6F0FB3E61</v>
      </c>
      <c r="C483" s="75" t="s">
        <v>1382</v>
      </c>
      <c r="D483" s="75" t="s">
        <v>1383</v>
      </c>
      <c r="E483" s="92">
        <v>2</v>
      </c>
      <c r="F483" s="92">
        <v>2</v>
      </c>
      <c r="G483" s="75" t="s">
        <v>1385</v>
      </c>
      <c r="H483" s="75"/>
      <c r="I483" s="75"/>
      <c r="J483" s="75" t="s">
        <v>162</v>
      </c>
      <c r="K483" s="75" t="s">
        <v>509</v>
      </c>
      <c r="L483" s="75" t="s">
        <v>535</v>
      </c>
      <c r="M483" s="75" t="s">
        <v>509</v>
      </c>
      <c r="N483" s="75" t="s">
        <v>535</v>
      </c>
      <c r="O483" s="86" t="s">
        <v>1430</v>
      </c>
    </row>
    <row r="484" spans="1:15">
      <c r="A484" s="63" t="s">
        <v>849</v>
      </c>
      <c r="B484" s="14" t="str">
        <f>VLOOKUP(O484,'护理记录单文书字典(数据)'!B$4:C$99,2,0)</f>
        <v>E61F38350CFAB211C5891DB6F0FB3E61</v>
      </c>
      <c r="C484" s="75" t="s">
        <v>1382</v>
      </c>
      <c r="D484" s="75" t="s">
        <v>1383</v>
      </c>
      <c r="E484" s="92">
        <v>3</v>
      </c>
      <c r="F484" s="92">
        <v>3</v>
      </c>
      <c r="G484" s="75" t="s">
        <v>1093</v>
      </c>
      <c r="H484" s="75"/>
      <c r="I484" s="75"/>
      <c r="J484" s="75" t="s">
        <v>162</v>
      </c>
      <c r="K484" s="75" t="s">
        <v>509</v>
      </c>
      <c r="L484" s="75" t="s">
        <v>535</v>
      </c>
      <c r="M484" s="75" t="s">
        <v>509</v>
      </c>
      <c r="N484" s="75" t="s">
        <v>535</v>
      </c>
      <c r="O484" s="86" t="s">
        <v>1430</v>
      </c>
    </row>
    <row r="485" spans="1:15">
      <c r="A485" s="63" t="s">
        <v>849</v>
      </c>
      <c r="B485" s="14" t="str">
        <f>VLOOKUP(O485,'护理记录单文书字典(数据)'!B$4:C$99,2,0)</f>
        <v>E61F38350CFAB211C5891DB6F0FB3E61</v>
      </c>
      <c r="C485" s="75" t="s">
        <v>1386</v>
      </c>
      <c r="D485" s="75" t="s">
        <v>1387</v>
      </c>
      <c r="E485" s="92">
        <v>1</v>
      </c>
      <c r="F485" s="92">
        <v>1</v>
      </c>
      <c r="G485" s="75" t="s">
        <v>962</v>
      </c>
      <c r="H485" s="75"/>
      <c r="I485" s="75"/>
      <c r="J485" s="75" t="s">
        <v>162</v>
      </c>
      <c r="K485" s="75" t="s">
        <v>509</v>
      </c>
      <c r="L485" s="75" t="s">
        <v>535</v>
      </c>
      <c r="M485" s="75" t="s">
        <v>509</v>
      </c>
      <c r="N485" s="75" t="s">
        <v>535</v>
      </c>
      <c r="O485" s="86" t="s">
        <v>1430</v>
      </c>
    </row>
    <row r="486" spans="1:15">
      <c r="A486" s="63" t="s">
        <v>849</v>
      </c>
      <c r="B486" s="14" t="str">
        <f>VLOOKUP(O486,'护理记录单文书字典(数据)'!B$4:C$99,2,0)</f>
        <v>E61F38350CFAB211C5891DB6F0FB3E61</v>
      </c>
      <c r="C486" s="75" t="s">
        <v>1386</v>
      </c>
      <c r="D486" s="75" t="s">
        <v>1387</v>
      </c>
      <c r="E486" s="92">
        <v>2</v>
      </c>
      <c r="F486" s="92">
        <v>2</v>
      </c>
      <c r="G486" s="75" t="s">
        <v>1190</v>
      </c>
      <c r="H486" s="75"/>
      <c r="I486" s="75"/>
      <c r="J486" s="75" t="s">
        <v>162</v>
      </c>
      <c r="K486" s="75" t="s">
        <v>509</v>
      </c>
      <c r="L486" s="75" t="s">
        <v>535</v>
      </c>
      <c r="M486" s="75" t="s">
        <v>509</v>
      </c>
      <c r="N486" s="75" t="s">
        <v>535</v>
      </c>
      <c r="O486" s="86" t="s">
        <v>1430</v>
      </c>
    </row>
    <row r="487" spans="1:15">
      <c r="A487" s="63" t="s">
        <v>849</v>
      </c>
      <c r="B487" s="14" t="str">
        <f>VLOOKUP(O487,'护理记录单文书字典(数据)'!B$4:C$99,2,0)</f>
        <v>E61F38350CFAB211C5891DB6F0FB3E61</v>
      </c>
      <c r="C487" s="75" t="s">
        <v>1386</v>
      </c>
      <c r="D487" s="75" t="s">
        <v>1387</v>
      </c>
      <c r="E487" s="92">
        <v>3</v>
      </c>
      <c r="F487" s="92">
        <v>3</v>
      </c>
      <c r="G487" s="75" t="s">
        <v>1191</v>
      </c>
      <c r="H487" s="75"/>
      <c r="I487" s="75"/>
      <c r="J487" s="75" t="s">
        <v>162</v>
      </c>
      <c r="K487" s="75" t="s">
        <v>509</v>
      </c>
      <c r="L487" s="75" t="s">
        <v>535</v>
      </c>
      <c r="M487" s="75" t="s">
        <v>509</v>
      </c>
      <c r="N487" s="75" t="s">
        <v>535</v>
      </c>
      <c r="O487" s="86" t="s">
        <v>1430</v>
      </c>
    </row>
    <row r="488" spans="1:15">
      <c r="A488" s="63" t="s">
        <v>849</v>
      </c>
      <c r="B488" s="14" t="str">
        <f>VLOOKUP(O488,'护理记录单文书字典(数据)'!B$4:C$99,2,0)</f>
        <v>E61F38350CFAB211C5891DB6F0FB3E61</v>
      </c>
      <c r="C488" s="75" t="s">
        <v>1386</v>
      </c>
      <c r="D488" s="75" t="s">
        <v>1387</v>
      </c>
      <c r="E488" s="92">
        <v>4</v>
      </c>
      <c r="F488" s="92">
        <v>4</v>
      </c>
      <c r="G488" s="75" t="s">
        <v>1192</v>
      </c>
      <c r="H488" s="75"/>
      <c r="I488" s="75"/>
      <c r="J488" s="75" t="s">
        <v>162</v>
      </c>
      <c r="K488" s="75" t="s">
        <v>509</v>
      </c>
      <c r="L488" s="75" t="s">
        <v>535</v>
      </c>
      <c r="M488" s="75" t="s">
        <v>509</v>
      </c>
      <c r="N488" s="75" t="s">
        <v>535</v>
      </c>
      <c r="O488" s="86" t="s">
        <v>1430</v>
      </c>
    </row>
    <row r="489" spans="1:15">
      <c r="A489" s="63" t="s">
        <v>849</v>
      </c>
      <c r="B489" s="14" t="str">
        <f>VLOOKUP(O489,'护理记录单文书字典(数据)'!B$4:C$99,2,0)</f>
        <v>E61F38350CFAB211C5891DB6F0FB3E61</v>
      </c>
      <c r="C489" s="75" t="s">
        <v>1388</v>
      </c>
      <c r="D489" s="75" t="s">
        <v>1389</v>
      </c>
      <c r="E489" s="92">
        <v>1</v>
      </c>
      <c r="F489" s="92">
        <v>1</v>
      </c>
      <c r="G489" s="75" t="s">
        <v>962</v>
      </c>
      <c r="H489" s="75"/>
      <c r="I489" s="75"/>
      <c r="J489" s="75" t="s">
        <v>162</v>
      </c>
      <c r="K489" s="75" t="s">
        <v>509</v>
      </c>
      <c r="L489" s="75" t="s">
        <v>535</v>
      </c>
      <c r="M489" s="75" t="s">
        <v>509</v>
      </c>
      <c r="N489" s="75" t="s">
        <v>535</v>
      </c>
      <c r="O489" s="86" t="s">
        <v>1430</v>
      </c>
    </row>
    <row r="490" spans="1:15">
      <c r="A490" s="63" t="s">
        <v>849</v>
      </c>
      <c r="B490" s="14" t="str">
        <f>VLOOKUP(O490,'护理记录单文书字典(数据)'!B$4:C$99,2,0)</f>
        <v>E61F38350CFAB211C5891DB6F0FB3E61</v>
      </c>
      <c r="C490" s="75" t="s">
        <v>1388</v>
      </c>
      <c r="D490" s="75" t="s">
        <v>1389</v>
      </c>
      <c r="E490" s="92">
        <v>2</v>
      </c>
      <c r="F490" s="92">
        <v>2</v>
      </c>
      <c r="G490" s="75" t="s">
        <v>1190</v>
      </c>
      <c r="H490" s="75"/>
      <c r="I490" s="75"/>
      <c r="J490" s="75" t="s">
        <v>162</v>
      </c>
      <c r="K490" s="75" t="s">
        <v>509</v>
      </c>
      <c r="L490" s="75" t="s">
        <v>535</v>
      </c>
      <c r="M490" s="75" t="s">
        <v>509</v>
      </c>
      <c r="N490" s="75" t="s">
        <v>535</v>
      </c>
      <c r="O490" s="86" t="s">
        <v>1430</v>
      </c>
    </row>
    <row r="491" spans="1:15">
      <c r="A491" s="63" t="s">
        <v>849</v>
      </c>
      <c r="B491" s="14" t="str">
        <f>VLOOKUP(O491,'护理记录单文书字典(数据)'!B$4:C$99,2,0)</f>
        <v>E61F38350CFAB211C5891DB6F0FB3E61</v>
      </c>
      <c r="C491" s="75" t="s">
        <v>1388</v>
      </c>
      <c r="D491" s="75" t="s">
        <v>1389</v>
      </c>
      <c r="E491" s="92">
        <v>3</v>
      </c>
      <c r="F491" s="92">
        <v>3</v>
      </c>
      <c r="G491" s="75" t="s">
        <v>1191</v>
      </c>
      <c r="H491" s="75"/>
      <c r="I491" s="75"/>
      <c r="J491" s="75" t="s">
        <v>162</v>
      </c>
      <c r="K491" s="75" t="s">
        <v>509</v>
      </c>
      <c r="L491" s="75" t="s">
        <v>535</v>
      </c>
      <c r="M491" s="75" t="s">
        <v>509</v>
      </c>
      <c r="N491" s="75" t="s">
        <v>535</v>
      </c>
      <c r="O491" s="86" t="s">
        <v>1430</v>
      </c>
    </row>
    <row r="492" spans="1:15">
      <c r="A492" s="63" t="s">
        <v>849</v>
      </c>
      <c r="B492" s="14" t="str">
        <f>VLOOKUP(O492,'护理记录单文书字典(数据)'!B$4:C$99,2,0)</f>
        <v>E61F38350CFAB211C5891DB6F0FB3E61</v>
      </c>
      <c r="C492" s="75" t="s">
        <v>1388</v>
      </c>
      <c r="D492" s="75" t="s">
        <v>1389</v>
      </c>
      <c r="E492" s="92">
        <v>4</v>
      </c>
      <c r="F492" s="92">
        <v>4</v>
      </c>
      <c r="G492" s="75" t="s">
        <v>1192</v>
      </c>
      <c r="H492" s="75"/>
      <c r="I492" s="75"/>
      <c r="J492" s="75" t="s">
        <v>162</v>
      </c>
      <c r="K492" s="75" t="s">
        <v>509</v>
      </c>
      <c r="L492" s="75" t="s">
        <v>535</v>
      </c>
      <c r="M492" s="75" t="s">
        <v>509</v>
      </c>
      <c r="N492" s="75" t="s">
        <v>535</v>
      </c>
      <c r="O492" s="86" t="s">
        <v>1430</v>
      </c>
    </row>
    <row r="493" spans="1:15">
      <c r="A493" s="63" t="s">
        <v>849</v>
      </c>
      <c r="B493" s="14" t="str">
        <f>VLOOKUP(O493,'护理记录单文书字典(数据)'!B$4:C$99,2,0)</f>
        <v>E61F38350CFAB211C5891DB6F0FB3E61</v>
      </c>
      <c r="C493" s="75" t="s">
        <v>1390</v>
      </c>
      <c r="D493" s="75" t="s">
        <v>1391</v>
      </c>
      <c r="E493" s="92">
        <v>1</v>
      </c>
      <c r="F493" s="92">
        <v>1</v>
      </c>
      <c r="G493" s="75" t="s">
        <v>1132</v>
      </c>
      <c r="H493" s="75"/>
      <c r="I493" s="75"/>
      <c r="J493" s="75" t="s">
        <v>162</v>
      </c>
      <c r="K493" s="75" t="s">
        <v>509</v>
      </c>
      <c r="L493" s="75" t="s">
        <v>535</v>
      </c>
      <c r="M493" s="75" t="s">
        <v>509</v>
      </c>
      <c r="N493" s="75" t="s">
        <v>535</v>
      </c>
      <c r="O493" s="86" t="s">
        <v>1430</v>
      </c>
    </row>
    <row r="494" spans="1:15">
      <c r="A494" s="63" t="s">
        <v>849</v>
      </c>
      <c r="B494" s="14" t="str">
        <f>VLOOKUP(O494,'护理记录单文书字典(数据)'!B$4:C$99,2,0)</f>
        <v>E61F38350CFAB211C5891DB6F0FB3E61</v>
      </c>
      <c r="C494" s="75" t="s">
        <v>1390</v>
      </c>
      <c r="D494" s="75" t="s">
        <v>1391</v>
      </c>
      <c r="E494" s="92">
        <v>2</v>
      </c>
      <c r="F494" s="92">
        <v>2</v>
      </c>
      <c r="G494" s="75" t="s">
        <v>1392</v>
      </c>
      <c r="H494" s="75"/>
      <c r="I494" s="75"/>
      <c r="J494" s="75" t="s">
        <v>162</v>
      </c>
      <c r="K494" s="75" t="s">
        <v>509</v>
      </c>
      <c r="L494" s="75" t="s">
        <v>535</v>
      </c>
      <c r="M494" s="75" t="s">
        <v>509</v>
      </c>
      <c r="N494" s="75" t="s">
        <v>535</v>
      </c>
      <c r="O494" s="86" t="s">
        <v>1430</v>
      </c>
    </row>
    <row r="495" spans="1:15">
      <c r="A495" s="63" t="s">
        <v>849</v>
      </c>
      <c r="B495" s="14" t="str">
        <f>VLOOKUP(O495,'护理记录单文书字典(数据)'!B$4:C$99,2,0)</f>
        <v>E61F38350CFAB211C5891DB6F0FB3E61</v>
      </c>
      <c r="C495" s="75" t="s">
        <v>1390</v>
      </c>
      <c r="D495" s="75" t="s">
        <v>1391</v>
      </c>
      <c r="E495" s="92">
        <v>3</v>
      </c>
      <c r="F495" s="92">
        <v>3</v>
      </c>
      <c r="G495" s="75" t="s">
        <v>1093</v>
      </c>
      <c r="H495" s="75"/>
      <c r="I495" s="75"/>
      <c r="J495" s="75" t="s">
        <v>162</v>
      </c>
      <c r="K495" s="75" t="s">
        <v>509</v>
      </c>
      <c r="L495" s="75" t="s">
        <v>535</v>
      </c>
      <c r="M495" s="75" t="s">
        <v>509</v>
      </c>
      <c r="N495" s="75" t="s">
        <v>535</v>
      </c>
      <c r="O495" s="86" t="s">
        <v>1430</v>
      </c>
    </row>
    <row r="496" spans="1:15">
      <c r="A496" s="63" t="s">
        <v>849</v>
      </c>
      <c r="B496" s="14" t="str">
        <f>VLOOKUP(O496,'护理记录单文书字典(数据)'!B$4:C$99,2,0)</f>
        <v>E61F38350CFAB211C5891DB6F0FB3E61</v>
      </c>
      <c r="C496" s="75" t="s">
        <v>1432</v>
      </c>
      <c r="D496" s="75" t="s">
        <v>1433</v>
      </c>
      <c r="E496" s="92">
        <v>1</v>
      </c>
      <c r="F496" s="92">
        <v>1</v>
      </c>
      <c r="G496" s="75" t="s">
        <v>1434</v>
      </c>
      <c r="H496" s="75"/>
      <c r="I496" s="75"/>
      <c r="J496" s="75" t="s">
        <v>162</v>
      </c>
      <c r="K496" s="75" t="s">
        <v>509</v>
      </c>
      <c r="L496" s="75" t="s">
        <v>535</v>
      </c>
      <c r="M496" s="75" t="s">
        <v>509</v>
      </c>
      <c r="N496" s="75" t="s">
        <v>535</v>
      </c>
      <c r="O496" s="86" t="s">
        <v>1430</v>
      </c>
    </row>
    <row r="497" spans="1:15">
      <c r="A497" s="63" t="s">
        <v>849</v>
      </c>
      <c r="B497" s="14" t="str">
        <f>VLOOKUP(O497,'护理记录单文书字典(数据)'!B$4:C$99,2,0)</f>
        <v>E61F38350CFAB211C5891DB6F0FB3E61</v>
      </c>
      <c r="C497" s="75" t="s">
        <v>1432</v>
      </c>
      <c r="D497" s="75" t="s">
        <v>1433</v>
      </c>
      <c r="E497" s="92">
        <v>2</v>
      </c>
      <c r="F497" s="92">
        <v>2</v>
      </c>
      <c r="G497" s="75" t="s">
        <v>1435</v>
      </c>
      <c r="H497" s="75"/>
      <c r="I497" s="75"/>
      <c r="J497" s="75" t="s">
        <v>162</v>
      </c>
      <c r="K497" s="75" t="s">
        <v>509</v>
      </c>
      <c r="L497" s="75" t="s">
        <v>535</v>
      </c>
      <c r="M497" s="75" t="s">
        <v>509</v>
      </c>
      <c r="N497" s="75" t="s">
        <v>535</v>
      </c>
      <c r="O497" s="86" t="s">
        <v>1430</v>
      </c>
    </row>
    <row r="498" spans="1:15">
      <c r="A498" s="63" t="s">
        <v>849</v>
      </c>
      <c r="B498" s="14" t="str">
        <f>VLOOKUP(O498,'护理记录单文书字典(数据)'!B$4:C$99,2,0)</f>
        <v>E61F38350CFAB211C5891DB6F0FB3E61</v>
      </c>
      <c r="C498" s="75" t="s">
        <v>1432</v>
      </c>
      <c r="D498" s="75" t="s">
        <v>1433</v>
      </c>
      <c r="E498" s="92">
        <v>3</v>
      </c>
      <c r="F498" s="92">
        <v>3</v>
      </c>
      <c r="G498" s="75" t="s">
        <v>1424</v>
      </c>
      <c r="H498" s="75"/>
      <c r="I498" s="75"/>
      <c r="J498" s="75" t="s">
        <v>162</v>
      </c>
      <c r="K498" s="75" t="s">
        <v>509</v>
      </c>
      <c r="L498" s="75" t="s">
        <v>535</v>
      </c>
      <c r="M498" s="75" t="s">
        <v>509</v>
      </c>
      <c r="N498" s="75" t="s">
        <v>535</v>
      </c>
      <c r="O498" s="86" t="s">
        <v>1430</v>
      </c>
    </row>
    <row r="499" spans="1:15">
      <c r="A499" s="63" t="s">
        <v>849</v>
      </c>
      <c r="B499" s="14" t="str">
        <f>VLOOKUP(O499,'护理记录单文书字典(数据)'!B$4:C$99,2,0)</f>
        <v>E61F38350CFAB211C5891DB6F0FB3E61</v>
      </c>
      <c r="C499" s="75" t="s">
        <v>1436</v>
      </c>
      <c r="D499" s="75" t="s">
        <v>1437</v>
      </c>
      <c r="E499" s="92">
        <v>1</v>
      </c>
      <c r="F499" s="92">
        <v>1</v>
      </c>
      <c r="G499" s="75" t="s">
        <v>981</v>
      </c>
      <c r="H499" s="75"/>
      <c r="I499" s="75"/>
      <c r="J499" s="75" t="s">
        <v>162</v>
      </c>
      <c r="K499" s="75" t="s">
        <v>509</v>
      </c>
      <c r="L499" s="75" t="s">
        <v>535</v>
      </c>
      <c r="M499" s="75" t="s">
        <v>509</v>
      </c>
      <c r="N499" s="75" t="s">
        <v>535</v>
      </c>
      <c r="O499" s="86" t="s">
        <v>1430</v>
      </c>
    </row>
    <row r="500" spans="1:15">
      <c r="A500" s="63" t="s">
        <v>849</v>
      </c>
      <c r="B500" s="14" t="str">
        <f>VLOOKUP(O500,'护理记录单文书字典(数据)'!B$4:C$99,2,0)</f>
        <v>E61F38350CFAB211C5891DB6F0FB3E61</v>
      </c>
      <c r="C500" s="75" t="s">
        <v>1436</v>
      </c>
      <c r="D500" s="75" t="s">
        <v>1437</v>
      </c>
      <c r="E500" s="92">
        <v>2</v>
      </c>
      <c r="F500" s="92">
        <v>2</v>
      </c>
      <c r="G500" s="75" t="s">
        <v>982</v>
      </c>
      <c r="H500" s="75"/>
      <c r="I500" s="75"/>
      <c r="J500" s="75" t="s">
        <v>162</v>
      </c>
      <c r="K500" s="75" t="s">
        <v>509</v>
      </c>
      <c r="L500" s="75" t="s">
        <v>535</v>
      </c>
      <c r="M500" s="75" t="s">
        <v>509</v>
      </c>
      <c r="N500" s="75" t="s">
        <v>535</v>
      </c>
      <c r="O500" s="86" t="s">
        <v>1430</v>
      </c>
    </row>
    <row r="501" spans="1:15">
      <c r="A501" s="63" t="s">
        <v>849</v>
      </c>
      <c r="B501" s="14" t="str">
        <f>VLOOKUP(O501,'护理记录单文书字典(数据)'!B$4:C$99,2,0)</f>
        <v>E61F38350CFAB211C5891DB6F0FB3E61</v>
      </c>
      <c r="C501" s="75" t="s">
        <v>1436</v>
      </c>
      <c r="D501" s="75" t="s">
        <v>1437</v>
      </c>
      <c r="E501" s="92">
        <v>3</v>
      </c>
      <c r="F501" s="92">
        <v>3</v>
      </c>
      <c r="G501" s="75" t="s">
        <v>983</v>
      </c>
      <c r="H501" s="75"/>
      <c r="I501" s="75"/>
      <c r="J501" s="75" t="s">
        <v>162</v>
      </c>
      <c r="K501" s="75" t="s">
        <v>509</v>
      </c>
      <c r="L501" s="75" t="s">
        <v>535</v>
      </c>
      <c r="M501" s="75" t="s">
        <v>509</v>
      </c>
      <c r="N501" s="75" t="s">
        <v>535</v>
      </c>
      <c r="O501" s="86" t="s">
        <v>1430</v>
      </c>
    </row>
    <row r="502" spans="1:15">
      <c r="A502" s="63" t="s">
        <v>849</v>
      </c>
      <c r="B502" s="14" t="str">
        <f>VLOOKUP(O502,'护理记录单文书字典(数据)'!B$4:C$99,2,0)</f>
        <v>E61F38350CFAB211C5891DB6F0FB3E61</v>
      </c>
      <c r="C502" s="75" t="s">
        <v>1413</v>
      </c>
      <c r="D502" s="75" t="s">
        <v>1414</v>
      </c>
      <c r="E502" s="92">
        <v>1</v>
      </c>
      <c r="F502" s="92">
        <v>1</v>
      </c>
      <c r="G502" s="75" t="s">
        <v>1415</v>
      </c>
      <c r="H502" s="75"/>
      <c r="I502" s="75"/>
      <c r="J502" s="75" t="s">
        <v>162</v>
      </c>
      <c r="K502" s="75" t="s">
        <v>509</v>
      </c>
      <c r="L502" s="75" t="s">
        <v>535</v>
      </c>
      <c r="M502" s="75" t="s">
        <v>509</v>
      </c>
      <c r="N502" s="75" t="s">
        <v>535</v>
      </c>
      <c r="O502" s="86" t="s">
        <v>1430</v>
      </c>
    </row>
    <row r="503" spans="1:15">
      <c r="A503" s="63" t="s">
        <v>849</v>
      </c>
      <c r="B503" s="14" t="str">
        <f>VLOOKUP(O503,'护理记录单文书字典(数据)'!B$4:C$99,2,0)</f>
        <v>E61F38350CFAB211C5891DB6F0FB3E61</v>
      </c>
      <c r="C503" s="75" t="s">
        <v>1413</v>
      </c>
      <c r="D503" s="75" t="s">
        <v>1414</v>
      </c>
      <c r="E503" s="92">
        <v>2</v>
      </c>
      <c r="F503" s="92">
        <v>2</v>
      </c>
      <c r="G503" s="75" t="s">
        <v>1416</v>
      </c>
      <c r="H503" s="75"/>
      <c r="I503" s="75"/>
      <c r="J503" s="75" t="s">
        <v>162</v>
      </c>
      <c r="K503" s="75" t="s">
        <v>509</v>
      </c>
      <c r="L503" s="75" t="s">
        <v>535</v>
      </c>
      <c r="M503" s="75" t="s">
        <v>509</v>
      </c>
      <c r="N503" s="75" t="s">
        <v>535</v>
      </c>
      <c r="O503" s="86" t="s">
        <v>1430</v>
      </c>
    </row>
    <row r="504" spans="1:15">
      <c r="A504" s="63" t="s">
        <v>849</v>
      </c>
      <c r="B504" s="14" t="str">
        <f>VLOOKUP(O504,'护理记录单文书字典(数据)'!B$4:C$99,2,0)</f>
        <v>E61F38350CFAB211C5891DB6F0FB3E61</v>
      </c>
      <c r="C504" s="75" t="s">
        <v>1413</v>
      </c>
      <c r="D504" s="75" t="s">
        <v>1414</v>
      </c>
      <c r="E504" s="92">
        <v>3</v>
      </c>
      <c r="F504" s="92">
        <v>3</v>
      </c>
      <c r="G504" s="75" t="s">
        <v>1417</v>
      </c>
      <c r="H504" s="75"/>
      <c r="I504" s="75"/>
      <c r="J504" s="75" t="s">
        <v>162</v>
      </c>
      <c r="K504" s="75" t="s">
        <v>509</v>
      </c>
      <c r="L504" s="75" t="s">
        <v>535</v>
      </c>
      <c r="M504" s="75" t="s">
        <v>509</v>
      </c>
      <c r="N504" s="75" t="s">
        <v>535</v>
      </c>
      <c r="O504" s="86" t="s">
        <v>1430</v>
      </c>
    </row>
    <row r="505" spans="1:15">
      <c r="A505" s="63" t="s">
        <v>849</v>
      </c>
      <c r="B505" s="14" t="str">
        <f>VLOOKUP(O505,'护理记录单文书字典(数据)'!B$4:C$99,2,0)</f>
        <v>E61F38350CFAB211C5891DB6F0FB3E61</v>
      </c>
      <c r="C505" s="75" t="s">
        <v>1393</v>
      </c>
      <c r="D505" s="75" t="s">
        <v>1394</v>
      </c>
      <c r="E505" s="92">
        <v>1</v>
      </c>
      <c r="F505" s="92">
        <v>1</v>
      </c>
      <c r="G505" s="75" t="s">
        <v>1395</v>
      </c>
      <c r="H505" s="75"/>
      <c r="I505" s="75"/>
      <c r="J505" s="75" t="s">
        <v>162</v>
      </c>
      <c r="K505" s="75" t="s">
        <v>509</v>
      </c>
      <c r="L505" s="75" t="s">
        <v>535</v>
      </c>
      <c r="M505" s="75" t="s">
        <v>509</v>
      </c>
      <c r="N505" s="75" t="s">
        <v>535</v>
      </c>
      <c r="O505" s="86" t="s">
        <v>1430</v>
      </c>
    </row>
    <row r="506" spans="1:15">
      <c r="A506" s="63" t="s">
        <v>849</v>
      </c>
      <c r="B506" s="14" t="str">
        <f>VLOOKUP(O506,'护理记录单文书字典(数据)'!B$4:C$99,2,0)</f>
        <v>E61F38350CFAB211C5891DB6F0FB3E61</v>
      </c>
      <c r="C506" s="75" t="s">
        <v>1393</v>
      </c>
      <c r="D506" s="75" t="s">
        <v>1394</v>
      </c>
      <c r="E506" s="92">
        <v>2</v>
      </c>
      <c r="F506" s="92">
        <v>2</v>
      </c>
      <c r="G506" s="75" t="s">
        <v>1396</v>
      </c>
      <c r="H506" s="75"/>
      <c r="I506" s="75"/>
      <c r="J506" s="75" t="s">
        <v>162</v>
      </c>
      <c r="K506" s="75" t="s">
        <v>509</v>
      </c>
      <c r="L506" s="75" t="s">
        <v>535</v>
      </c>
      <c r="M506" s="75" t="s">
        <v>509</v>
      </c>
      <c r="N506" s="75" t="s">
        <v>535</v>
      </c>
      <c r="O506" s="86" t="s">
        <v>1430</v>
      </c>
    </row>
    <row r="507" spans="1:15">
      <c r="A507" s="63" t="s">
        <v>849</v>
      </c>
      <c r="B507" s="14" t="str">
        <f>VLOOKUP(O507,'护理记录单文书字典(数据)'!B$4:C$99,2,0)</f>
        <v>E61F38350CFAB211C5891DB6F0FB3E61</v>
      </c>
      <c r="C507" s="75" t="s">
        <v>1393</v>
      </c>
      <c r="D507" s="75" t="s">
        <v>1394</v>
      </c>
      <c r="E507" s="92">
        <v>3</v>
      </c>
      <c r="F507" s="92">
        <v>3</v>
      </c>
      <c r="G507" s="75" t="s">
        <v>1397</v>
      </c>
      <c r="H507" s="75"/>
      <c r="I507" s="75"/>
      <c r="J507" s="75" t="s">
        <v>162</v>
      </c>
      <c r="K507" s="75" t="s">
        <v>509</v>
      </c>
      <c r="L507" s="75" t="s">
        <v>535</v>
      </c>
      <c r="M507" s="75" t="s">
        <v>509</v>
      </c>
      <c r="N507" s="75" t="s">
        <v>535</v>
      </c>
      <c r="O507" s="86" t="s">
        <v>1430</v>
      </c>
    </row>
    <row r="508" spans="1:15">
      <c r="A508" s="63" t="s">
        <v>849</v>
      </c>
      <c r="B508" s="14" t="str">
        <f>VLOOKUP(O508,'护理记录单文书字典(数据)'!B$4:C$99,2,0)</f>
        <v>E61F38350CFAB211C5891DB6F0FB3E61</v>
      </c>
      <c r="C508" s="75" t="s">
        <v>1393</v>
      </c>
      <c r="D508" s="75" t="s">
        <v>1394</v>
      </c>
      <c r="E508" s="92">
        <v>4</v>
      </c>
      <c r="F508" s="92">
        <v>4</v>
      </c>
      <c r="G508" s="75" t="s">
        <v>1223</v>
      </c>
      <c r="H508" s="75"/>
      <c r="I508" s="75"/>
      <c r="J508" s="75" t="s">
        <v>162</v>
      </c>
      <c r="K508" s="75" t="s">
        <v>509</v>
      </c>
      <c r="L508" s="75" t="s">
        <v>535</v>
      </c>
      <c r="M508" s="75" t="s">
        <v>509</v>
      </c>
      <c r="N508" s="75" t="s">
        <v>535</v>
      </c>
      <c r="O508" s="86" t="s">
        <v>1430</v>
      </c>
    </row>
    <row r="509" spans="1:15">
      <c r="A509" s="63" t="s">
        <v>849</v>
      </c>
      <c r="B509" s="14" t="str">
        <f>VLOOKUP(O509,'护理记录单文书字典(数据)'!B$4:C$99,2,0)</f>
        <v>E61F38350CFAB211C5891DB6F0FB3E61</v>
      </c>
      <c r="C509" s="75" t="s">
        <v>1398</v>
      </c>
      <c r="D509" s="75" t="s">
        <v>1399</v>
      </c>
      <c r="E509" s="92">
        <v>1</v>
      </c>
      <c r="F509" s="92">
        <v>1</v>
      </c>
      <c r="G509" s="75" t="s">
        <v>1096</v>
      </c>
      <c r="H509" s="75"/>
      <c r="I509" s="75"/>
      <c r="J509" s="75" t="s">
        <v>162</v>
      </c>
      <c r="K509" s="75" t="s">
        <v>509</v>
      </c>
      <c r="L509" s="75" t="s">
        <v>535</v>
      </c>
      <c r="M509" s="75" t="s">
        <v>509</v>
      </c>
      <c r="N509" s="75" t="s">
        <v>535</v>
      </c>
      <c r="O509" s="86" t="s">
        <v>1430</v>
      </c>
    </row>
    <row r="510" spans="1:15">
      <c r="A510" s="63" t="s">
        <v>849</v>
      </c>
      <c r="B510" s="14" t="str">
        <f>VLOOKUP(O510,'护理记录单文书字典(数据)'!B$4:C$99,2,0)</f>
        <v>E61F38350CFAB211C5891DB6F0FB3E61</v>
      </c>
      <c r="C510" s="75" t="s">
        <v>1398</v>
      </c>
      <c r="D510" s="75" t="s">
        <v>1399</v>
      </c>
      <c r="E510" s="92">
        <v>2</v>
      </c>
      <c r="F510" s="92">
        <v>2</v>
      </c>
      <c r="G510" s="75" t="s">
        <v>1400</v>
      </c>
      <c r="H510" s="75"/>
      <c r="I510" s="75"/>
      <c r="J510" s="75" t="s">
        <v>162</v>
      </c>
      <c r="K510" s="75" t="s">
        <v>509</v>
      </c>
      <c r="L510" s="75" t="s">
        <v>535</v>
      </c>
      <c r="M510" s="75" t="s">
        <v>509</v>
      </c>
      <c r="N510" s="75" t="s">
        <v>535</v>
      </c>
      <c r="O510" s="86" t="s">
        <v>1430</v>
      </c>
    </row>
    <row r="511" spans="1:15">
      <c r="A511" s="63" t="s">
        <v>849</v>
      </c>
      <c r="B511" s="14" t="str">
        <f>VLOOKUP(O511,'护理记录单文书字典(数据)'!B$4:C$99,2,0)</f>
        <v>E61F38350CFAB211C5891DB6F0FB3E61</v>
      </c>
      <c r="C511" s="75" t="s">
        <v>1398</v>
      </c>
      <c r="D511" s="75" t="s">
        <v>1399</v>
      </c>
      <c r="E511" s="92">
        <v>3</v>
      </c>
      <c r="F511" s="92">
        <v>3</v>
      </c>
      <c r="G511" s="75" t="s">
        <v>1093</v>
      </c>
      <c r="H511" s="75"/>
      <c r="I511" s="75"/>
      <c r="J511" s="75" t="s">
        <v>162</v>
      </c>
      <c r="K511" s="75" t="s">
        <v>509</v>
      </c>
      <c r="L511" s="75" t="s">
        <v>535</v>
      </c>
      <c r="M511" s="75" t="s">
        <v>509</v>
      </c>
      <c r="N511" s="75" t="s">
        <v>535</v>
      </c>
      <c r="O511" s="86" t="s">
        <v>1430</v>
      </c>
    </row>
    <row r="512" spans="1:15">
      <c r="A512" s="63" t="s">
        <v>849</v>
      </c>
      <c r="B512" s="14" t="str">
        <f>VLOOKUP(O512,'护理记录单文书字典(数据)'!B$4:C$99,2,0)</f>
        <v>E61F38350CFAB211C5891DB6F0FB3E61</v>
      </c>
      <c r="C512" s="75" t="s">
        <v>1438</v>
      </c>
      <c r="D512" s="75" t="s">
        <v>1439</v>
      </c>
      <c r="E512" s="92">
        <v>1</v>
      </c>
      <c r="F512" s="92">
        <v>1</v>
      </c>
      <c r="G512" s="75" t="s">
        <v>1362</v>
      </c>
      <c r="H512" s="75"/>
      <c r="I512" s="75"/>
      <c r="J512" s="75" t="s">
        <v>162</v>
      </c>
      <c r="K512" s="75" t="s">
        <v>509</v>
      </c>
      <c r="L512" s="75" t="s">
        <v>535</v>
      </c>
      <c r="M512" s="75" t="s">
        <v>509</v>
      </c>
      <c r="N512" s="75" t="s">
        <v>535</v>
      </c>
      <c r="O512" s="86" t="s">
        <v>1430</v>
      </c>
    </row>
    <row r="513" spans="1:15">
      <c r="A513" s="63" t="s">
        <v>849</v>
      </c>
      <c r="B513" s="14" t="str">
        <f>VLOOKUP(O513,'护理记录单文书字典(数据)'!B$4:C$99,2,0)</f>
        <v>E61F38350CFAB211C5891DB6F0FB3E61</v>
      </c>
      <c r="C513" s="75" t="s">
        <v>1438</v>
      </c>
      <c r="D513" s="75" t="s">
        <v>1439</v>
      </c>
      <c r="E513" s="92">
        <v>2</v>
      </c>
      <c r="F513" s="92">
        <v>2</v>
      </c>
      <c r="G513" s="75" t="s">
        <v>1363</v>
      </c>
      <c r="H513" s="75"/>
      <c r="I513" s="75"/>
      <c r="J513" s="75" t="s">
        <v>162</v>
      </c>
      <c r="K513" s="75" t="s">
        <v>509</v>
      </c>
      <c r="L513" s="75" t="s">
        <v>535</v>
      </c>
      <c r="M513" s="75" t="s">
        <v>509</v>
      </c>
      <c r="N513" s="75" t="s">
        <v>535</v>
      </c>
      <c r="O513" s="86" t="s">
        <v>1430</v>
      </c>
    </row>
    <row r="514" spans="1:15">
      <c r="A514" s="63" t="s">
        <v>849</v>
      </c>
      <c r="B514" s="14" t="str">
        <f>VLOOKUP(O514,'护理记录单文书字典(数据)'!B$4:C$99,2,0)</f>
        <v>E61F38350CFAB211C5891DB6F0FB3E61</v>
      </c>
      <c r="C514" s="75" t="s">
        <v>1438</v>
      </c>
      <c r="D514" s="75" t="s">
        <v>1439</v>
      </c>
      <c r="E514" s="92">
        <v>3</v>
      </c>
      <c r="F514" s="92">
        <v>3</v>
      </c>
      <c r="G514" s="75" t="s">
        <v>1364</v>
      </c>
      <c r="H514" s="75"/>
      <c r="I514" s="75"/>
      <c r="J514" s="75" t="s">
        <v>162</v>
      </c>
      <c r="K514" s="75" t="s">
        <v>509</v>
      </c>
      <c r="L514" s="75" t="s">
        <v>535</v>
      </c>
      <c r="M514" s="75" t="s">
        <v>509</v>
      </c>
      <c r="N514" s="75" t="s">
        <v>535</v>
      </c>
      <c r="O514" s="86" t="s">
        <v>1430</v>
      </c>
    </row>
    <row r="515" spans="1:15">
      <c r="A515" s="63" t="s">
        <v>849</v>
      </c>
      <c r="B515" s="14" t="str">
        <f>VLOOKUP(O515,'护理记录单文书字典(数据)'!B$4:C$99,2,0)</f>
        <v>E61F38350CFAB211C5891DB6F0FB3E61</v>
      </c>
      <c r="C515" s="75" t="s">
        <v>1440</v>
      </c>
      <c r="D515" s="75" t="s">
        <v>1441</v>
      </c>
      <c r="E515" s="92">
        <v>1</v>
      </c>
      <c r="F515" s="92">
        <v>1</v>
      </c>
      <c r="G515" s="75" t="s">
        <v>1362</v>
      </c>
      <c r="H515" s="75"/>
      <c r="I515" s="75"/>
      <c r="J515" s="75" t="s">
        <v>162</v>
      </c>
      <c r="K515" s="75" t="s">
        <v>509</v>
      </c>
      <c r="L515" s="75" t="s">
        <v>535</v>
      </c>
      <c r="M515" s="75" t="s">
        <v>509</v>
      </c>
      <c r="N515" s="75" t="s">
        <v>535</v>
      </c>
      <c r="O515" s="86" t="s">
        <v>1430</v>
      </c>
    </row>
    <row r="516" spans="1:15">
      <c r="A516" s="63" t="s">
        <v>849</v>
      </c>
      <c r="B516" s="14" t="str">
        <f>VLOOKUP(O516,'护理记录单文书字典(数据)'!B$4:C$99,2,0)</f>
        <v>E61F38350CFAB211C5891DB6F0FB3E61</v>
      </c>
      <c r="C516" s="75" t="s">
        <v>1440</v>
      </c>
      <c r="D516" s="75" t="s">
        <v>1441</v>
      </c>
      <c r="E516" s="92">
        <v>2</v>
      </c>
      <c r="F516" s="92">
        <v>2</v>
      </c>
      <c r="G516" s="75" t="s">
        <v>1363</v>
      </c>
      <c r="H516" s="75"/>
      <c r="I516" s="75"/>
      <c r="J516" s="75" t="s">
        <v>162</v>
      </c>
      <c r="K516" s="75" t="s">
        <v>509</v>
      </c>
      <c r="L516" s="75" t="s">
        <v>535</v>
      </c>
      <c r="M516" s="75" t="s">
        <v>509</v>
      </c>
      <c r="N516" s="75" t="s">
        <v>535</v>
      </c>
      <c r="O516" s="86" t="s">
        <v>1430</v>
      </c>
    </row>
    <row r="517" spans="1:15">
      <c r="A517" s="63" t="s">
        <v>849</v>
      </c>
      <c r="B517" s="14" t="str">
        <f>VLOOKUP(O517,'护理记录单文书字典(数据)'!B$4:C$99,2,0)</f>
        <v>E61F38350CFAB211C5891DB6F0FB3E61</v>
      </c>
      <c r="C517" s="75" t="s">
        <v>1440</v>
      </c>
      <c r="D517" s="75" t="s">
        <v>1441</v>
      </c>
      <c r="E517" s="92">
        <v>3</v>
      </c>
      <c r="F517" s="92">
        <v>3</v>
      </c>
      <c r="G517" s="75" t="s">
        <v>1364</v>
      </c>
      <c r="H517" s="75"/>
      <c r="I517" s="75"/>
      <c r="J517" s="75" t="s">
        <v>162</v>
      </c>
      <c r="K517" s="75" t="s">
        <v>509</v>
      </c>
      <c r="L517" s="75" t="s">
        <v>535</v>
      </c>
      <c r="M517" s="75" t="s">
        <v>509</v>
      </c>
      <c r="N517" s="75" t="s">
        <v>535</v>
      </c>
      <c r="O517" s="86" t="s">
        <v>1430</v>
      </c>
    </row>
    <row r="518" spans="1:15">
      <c r="A518" s="63" t="s">
        <v>849</v>
      </c>
      <c r="B518" s="14" t="str">
        <f>VLOOKUP(O518,'护理记录单文书字典(数据)'!B$4:C$99,2,0)</f>
        <v>E61F38350CFAB211C5891DB6F0FB3E61</v>
      </c>
      <c r="C518" s="75" t="s">
        <v>1442</v>
      </c>
      <c r="D518" s="75" t="s">
        <v>1443</v>
      </c>
      <c r="E518" s="92">
        <v>1</v>
      </c>
      <c r="F518" s="92">
        <v>1</v>
      </c>
      <c r="G518" s="75" t="s">
        <v>1362</v>
      </c>
      <c r="H518" s="75"/>
      <c r="I518" s="75"/>
      <c r="J518" s="75" t="s">
        <v>162</v>
      </c>
      <c r="K518" s="75" t="s">
        <v>509</v>
      </c>
      <c r="L518" s="75" t="s">
        <v>535</v>
      </c>
      <c r="M518" s="75" t="s">
        <v>509</v>
      </c>
      <c r="N518" s="75" t="s">
        <v>535</v>
      </c>
      <c r="O518" s="86" t="s">
        <v>1430</v>
      </c>
    </row>
    <row r="519" spans="1:15">
      <c r="A519" s="63" t="s">
        <v>849</v>
      </c>
      <c r="B519" s="14" t="str">
        <f>VLOOKUP(O519,'护理记录单文书字典(数据)'!B$4:C$99,2,0)</f>
        <v>E61F38350CFAB211C5891DB6F0FB3E61</v>
      </c>
      <c r="C519" s="75" t="s">
        <v>1442</v>
      </c>
      <c r="D519" s="75" t="s">
        <v>1443</v>
      </c>
      <c r="E519" s="92">
        <v>2</v>
      </c>
      <c r="F519" s="92">
        <v>2</v>
      </c>
      <c r="G519" s="75" t="s">
        <v>1363</v>
      </c>
      <c r="H519" s="75"/>
      <c r="I519" s="75"/>
      <c r="J519" s="75" t="s">
        <v>162</v>
      </c>
      <c r="K519" s="75" t="s">
        <v>509</v>
      </c>
      <c r="L519" s="75" t="s">
        <v>535</v>
      </c>
      <c r="M519" s="75" t="s">
        <v>509</v>
      </c>
      <c r="N519" s="75" t="s">
        <v>535</v>
      </c>
      <c r="O519" s="86" t="s">
        <v>1430</v>
      </c>
    </row>
    <row r="520" spans="1:15">
      <c r="A520" s="63" t="s">
        <v>849</v>
      </c>
      <c r="B520" s="14" t="str">
        <f>VLOOKUP(O520,'护理记录单文书字典(数据)'!B$4:C$99,2,0)</f>
        <v>E61F38350CFAB211C5891DB6F0FB3E61</v>
      </c>
      <c r="C520" s="75" t="s">
        <v>1442</v>
      </c>
      <c r="D520" s="75" t="s">
        <v>1443</v>
      </c>
      <c r="E520" s="92">
        <v>3</v>
      </c>
      <c r="F520" s="92">
        <v>3</v>
      </c>
      <c r="G520" s="75" t="s">
        <v>1364</v>
      </c>
      <c r="H520" s="75"/>
      <c r="I520" s="75"/>
      <c r="J520" s="75" t="s">
        <v>162</v>
      </c>
      <c r="K520" s="75" t="s">
        <v>509</v>
      </c>
      <c r="L520" s="75" t="s">
        <v>535</v>
      </c>
      <c r="M520" s="75" t="s">
        <v>509</v>
      </c>
      <c r="N520" s="75" t="s">
        <v>535</v>
      </c>
      <c r="O520" s="86" t="s">
        <v>1430</v>
      </c>
    </row>
    <row r="521" spans="1:15">
      <c r="A521" s="63" t="s">
        <v>849</v>
      </c>
      <c r="B521" s="14" t="str">
        <f>VLOOKUP(O521,'护理记录单文书字典(数据)'!B$4:C$99,2,0)</f>
        <v>137B44350CFAB211B6A735E0680B8417</v>
      </c>
      <c r="C521" s="75" t="s">
        <v>1444</v>
      </c>
      <c r="D521" s="75" t="s">
        <v>1445</v>
      </c>
      <c r="E521" s="92">
        <v>1</v>
      </c>
      <c r="F521" s="92">
        <v>1</v>
      </c>
      <c r="G521" s="75" t="s">
        <v>1446</v>
      </c>
      <c r="H521" s="75"/>
      <c r="I521" s="75"/>
      <c r="J521" s="75" t="s">
        <v>162</v>
      </c>
      <c r="K521" s="75" t="s">
        <v>509</v>
      </c>
      <c r="L521" s="75" t="s">
        <v>535</v>
      </c>
      <c r="M521" s="75" t="s">
        <v>509</v>
      </c>
      <c r="N521" s="75" t="s">
        <v>535</v>
      </c>
      <c r="O521" s="75" t="s">
        <v>1447</v>
      </c>
    </row>
    <row r="522" spans="1:15">
      <c r="A522" s="63" t="s">
        <v>849</v>
      </c>
      <c r="B522" s="14" t="str">
        <f>VLOOKUP(O522,'护理记录单文书字典(数据)'!B$4:C$99,2,0)</f>
        <v>137B44350CFAB211B6A735E0680B8417</v>
      </c>
      <c r="C522" s="75" t="s">
        <v>1444</v>
      </c>
      <c r="D522" s="75" t="s">
        <v>1445</v>
      </c>
      <c r="E522" s="92">
        <v>2</v>
      </c>
      <c r="F522" s="92">
        <v>2</v>
      </c>
      <c r="G522" s="75" t="s">
        <v>1448</v>
      </c>
      <c r="H522" s="75"/>
      <c r="I522" s="75"/>
      <c r="J522" s="75" t="s">
        <v>162</v>
      </c>
      <c r="K522" s="75" t="s">
        <v>509</v>
      </c>
      <c r="L522" s="75" t="s">
        <v>535</v>
      </c>
      <c r="M522" s="75" t="s">
        <v>509</v>
      </c>
      <c r="N522" s="75" t="s">
        <v>535</v>
      </c>
      <c r="O522" s="75" t="s">
        <v>1447</v>
      </c>
    </row>
    <row r="523" spans="1:15">
      <c r="A523" s="63" t="s">
        <v>849</v>
      </c>
      <c r="B523" s="14" t="str">
        <f>VLOOKUP(O523,'护理记录单文书字典(数据)'!B$4:C$99,2,0)</f>
        <v>137B44350CFAB211B6A735E0680B8417</v>
      </c>
      <c r="C523" s="75" t="s">
        <v>1444</v>
      </c>
      <c r="D523" s="75" t="s">
        <v>1445</v>
      </c>
      <c r="E523" s="92">
        <v>3</v>
      </c>
      <c r="F523" s="92">
        <v>3</v>
      </c>
      <c r="G523" s="75" t="s">
        <v>1449</v>
      </c>
      <c r="H523" s="75"/>
      <c r="I523" s="75"/>
      <c r="J523" s="75" t="s">
        <v>162</v>
      </c>
      <c r="K523" s="75" t="s">
        <v>509</v>
      </c>
      <c r="L523" s="75" t="s">
        <v>535</v>
      </c>
      <c r="M523" s="75" t="s">
        <v>509</v>
      </c>
      <c r="N523" s="75" t="s">
        <v>535</v>
      </c>
      <c r="O523" s="75" t="s">
        <v>1447</v>
      </c>
    </row>
    <row r="524" spans="1:15">
      <c r="A524" s="63" t="s">
        <v>849</v>
      </c>
      <c r="B524" s="14" t="str">
        <f>VLOOKUP(O524,'护理记录单文书字典(数据)'!B$4:C$99,2,0)</f>
        <v>137B44350CFAB211B6A735E0680B8417</v>
      </c>
      <c r="C524" s="75" t="s">
        <v>1450</v>
      </c>
      <c r="D524" s="75" t="s">
        <v>1451</v>
      </c>
      <c r="E524" s="92">
        <v>1</v>
      </c>
      <c r="F524" s="92">
        <v>1</v>
      </c>
      <c r="G524" s="75" t="s">
        <v>1452</v>
      </c>
      <c r="H524" s="75"/>
      <c r="I524" s="75"/>
      <c r="J524" s="75" t="s">
        <v>162</v>
      </c>
      <c r="K524" s="75" t="s">
        <v>509</v>
      </c>
      <c r="L524" s="75" t="s">
        <v>535</v>
      </c>
      <c r="M524" s="75" t="s">
        <v>509</v>
      </c>
      <c r="N524" s="75" t="s">
        <v>535</v>
      </c>
      <c r="O524" s="75" t="s">
        <v>1447</v>
      </c>
    </row>
    <row r="525" spans="1:15">
      <c r="A525" s="63" t="s">
        <v>849</v>
      </c>
      <c r="B525" s="14" t="str">
        <f>VLOOKUP(O525,'护理记录单文书字典(数据)'!B$4:C$99,2,0)</f>
        <v>137B44350CFAB211B6A735E0680B8417</v>
      </c>
      <c r="C525" s="75" t="s">
        <v>1450</v>
      </c>
      <c r="D525" s="75" t="s">
        <v>1451</v>
      </c>
      <c r="E525" s="92">
        <v>2</v>
      </c>
      <c r="F525" s="92">
        <v>2</v>
      </c>
      <c r="G525" s="75" t="s">
        <v>1453</v>
      </c>
      <c r="H525" s="75"/>
      <c r="I525" s="75"/>
      <c r="J525" s="75" t="s">
        <v>162</v>
      </c>
      <c r="K525" s="75" t="s">
        <v>509</v>
      </c>
      <c r="L525" s="75" t="s">
        <v>535</v>
      </c>
      <c r="M525" s="75" t="s">
        <v>509</v>
      </c>
      <c r="N525" s="75" t="s">
        <v>535</v>
      </c>
      <c r="O525" s="75" t="s">
        <v>1447</v>
      </c>
    </row>
    <row r="526" spans="1:15">
      <c r="A526" s="63" t="s">
        <v>849</v>
      </c>
      <c r="B526" s="14" t="str">
        <f>VLOOKUP(O526,'护理记录单文书字典(数据)'!B$4:C$99,2,0)</f>
        <v>137B44350CFAB211B6A735E0680B8417</v>
      </c>
      <c r="C526" s="75" t="s">
        <v>1454</v>
      </c>
      <c r="D526" s="75" t="s">
        <v>1455</v>
      </c>
      <c r="E526" s="92">
        <v>1</v>
      </c>
      <c r="F526" s="92">
        <v>1</v>
      </c>
      <c r="G526" s="75" t="s">
        <v>1096</v>
      </c>
      <c r="H526" s="75"/>
      <c r="I526" s="75"/>
      <c r="J526" s="75" t="s">
        <v>162</v>
      </c>
      <c r="K526" s="75" t="s">
        <v>509</v>
      </c>
      <c r="L526" s="75" t="s">
        <v>535</v>
      </c>
      <c r="M526" s="75" t="s">
        <v>509</v>
      </c>
      <c r="N526" s="75" t="s">
        <v>535</v>
      </c>
      <c r="O526" s="75" t="s">
        <v>1447</v>
      </c>
    </row>
    <row r="527" spans="1:15">
      <c r="A527" s="63" t="s">
        <v>849</v>
      </c>
      <c r="B527" s="14" t="str">
        <f>VLOOKUP(O527,'护理记录单文书字典(数据)'!B$4:C$99,2,0)</f>
        <v>137B44350CFAB211B6A735E0680B8417</v>
      </c>
      <c r="C527" s="75" t="s">
        <v>1454</v>
      </c>
      <c r="D527" s="75" t="s">
        <v>1455</v>
      </c>
      <c r="E527" s="92">
        <v>2</v>
      </c>
      <c r="F527" s="92">
        <v>2</v>
      </c>
      <c r="G527" s="75" t="s">
        <v>1091</v>
      </c>
      <c r="H527" s="75"/>
      <c r="I527" s="75"/>
      <c r="J527" s="75" t="s">
        <v>162</v>
      </c>
      <c r="K527" s="75" t="s">
        <v>509</v>
      </c>
      <c r="L527" s="75" t="s">
        <v>535</v>
      </c>
      <c r="M527" s="75" t="s">
        <v>509</v>
      </c>
      <c r="N527" s="75" t="s">
        <v>535</v>
      </c>
      <c r="O527" s="75" t="s">
        <v>1447</v>
      </c>
    </row>
    <row r="528" spans="1:15">
      <c r="A528" s="63" t="s">
        <v>849</v>
      </c>
      <c r="B528" s="14" t="str">
        <f>VLOOKUP(O528,'护理记录单文书字典(数据)'!B$4:C$99,2,0)</f>
        <v>137B44350CFAB211B6A735E0680B8417</v>
      </c>
      <c r="C528" s="75" t="s">
        <v>1454</v>
      </c>
      <c r="D528" s="75" t="s">
        <v>1455</v>
      </c>
      <c r="E528" s="92">
        <v>3</v>
      </c>
      <c r="F528" s="92">
        <v>3</v>
      </c>
      <c r="G528" s="75" t="s">
        <v>1093</v>
      </c>
      <c r="H528" s="75"/>
      <c r="I528" s="75"/>
      <c r="J528" s="75" t="s">
        <v>162</v>
      </c>
      <c r="K528" s="75" t="s">
        <v>509</v>
      </c>
      <c r="L528" s="75" t="s">
        <v>535</v>
      </c>
      <c r="M528" s="75" t="s">
        <v>509</v>
      </c>
      <c r="N528" s="75" t="s">
        <v>535</v>
      </c>
      <c r="O528" s="75" t="s">
        <v>1447</v>
      </c>
    </row>
    <row r="529" spans="1:15">
      <c r="A529" s="63" t="s">
        <v>849</v>
      </c>
      <c r="B529" s="14" t="str">
        <f>VLOOKUP(O529,'护理记录单文书字典(数据)'!B$4:C$99,2,0)</f>
        <v>137B44350CFAB211B6A735E0680B8417</v>
      </c>
      <c r="C529" s="75" t="s">
        <v>1456</v>
      </c>
      <c r="D529" s="75" t="s">
        <v>1457</v>
      </c>
      <c r="E529" s="92">
        <v>1</v>
      </c>
      <c r="F529" s="92">
        <v>1</v>
      </c>
      <c r="G529" s="75" t="s">
        <v>1096</v>
      </c>
      <c r="H529" s="75"/>
      <c r="I529" s="75"/>
      <c r="J529" s="75" t="s">
        <v>162</v>
      </c>
      <c r="K529" s="75" t="s">
        <v>509</v>
      </c>
      <c r="L529" s="75" t="s">
        <v>535</v>
      </c>
      <c r="M529" s="75" t="s">
        <v>509</v>
      </c>
      <c r="N529" s="75" t="s">
        <v>535</v>
      </c>
      <c r="O529" s="75" t="s">
        <v>1447</v>
      </c>
    </row>
    <row r="530" spans="1:15">
      <c r="A530" s="63" t="s">
        <v>849</v>
      </c>
      <c r="B530" s="14" t="str">
        <f>VLOOKUP(O530,'护理记录单文书字典(数据)'!B$4:C$99,2,0)</f>
        <v>137B44350CFAB211B6A735E0680B8417</v>
      </c>
      <c r="C530" s="75" t="s">
        <v>1456</v>
      </c>
      <c r="D530" s="75" t="s">
        <v>1457</v>
      </c>
      <c r="E530" s="92">
        <v>2</v>
      </c>
      <c r="F530" s="92">
        <v>2</v>
      </c>
      <c r="G530" s="75" t="s">
        <v>1223</v>
      </c>
      <c r="H530" s="75"/>
      <c r="I530" s="75"/>
      <c r="J530" s="75" t="s">
        <v>162</v>
      </c>
      <c r="K530" s="75" t="s">
        <v>509</v>
      </c>
      <c r="L530" s="75" t="s">
        <v>535</v>
      </c>
      <c r="M530" s="75" t="s">
        <v>509</v>
      </c>
      <c r="N530" s="75" t="s">
        <v>535</v>
      </c>
      <c r="O530" s="75" t="s">
        <v>1447</v>
      </c>
    </row>
    <row r="531" spans="1:15">
      <c r="A531" s="63" t="s">
        <v>849</v>
      </c>
      <c r="B531" s="14" t="str">
        <f>VLOOKUP(O531,'护理记录单文书字典(数据)'!B$4:C$99,2,0)</f>
        <v>137B44350CFAB211B6A735E0680B8417</v>
      </c>
      <c r="C531" s="75" t="s">
        <v>1458</v>
      </c>
      <c r="D531" s="75" t="s">
        <v>1459</v>
      </c>
      <c r="E531" s="92">
        <v>1</v>
      </c>
      <c r="F531" s="92">
        <v>1</v>
      </c>
      <c r="G531" s="75" t="s">
        <v>1096</v>
      </c>
      <c r="H531" s="75"/>
      <c r="I531" s="75"/>
      <c r="J531" s="75" t="s">
        <v>162</v>
      </c>
      <c r="K531" s="75" t="s">
        <v>509</v>
      </c>
      <c r="L531" s="75" t="s">
        <v>535</v>
      </c>
      <c r="M531" s="75" t="s">
        <v>509</v>
      </c>
      <c r="N531" s="75" t="s">
        <v>535</v>
      </c>
      <c r="O531" s="75" t="s">
        <v>1447</v>
      </c>
    </row>
    <row r="532" spans="1:15">
      <c r="A532" s="63" t="s">
        <v>849</v>
      </c>
      <c r="B532" s="14" t="str">
        <f>VLOOKUP(O532,'护理记录单文书字典(数据)'!B$4:C$99,2,0)</f>
        <v>137B44350CFAB211B6A735E0680B8417</v>
      </c>
      <c r="C532" s="75" t="s">
        <v>1458</v>
      </c>
      <c r="D532" s="75" t="s">
        <v>1459</v>
      </c>
      <c r="E532" s="92">
        <v>2</v>
      </c>
      <c r="F532" s="92">
        <v>2</v>
      </c>
      <c r="G532" s="75" t="s">
        <v>1223</v>
      </c>
      <c r="H532" s="75"/>
      <c r="I532" s="75"/>
      <c r="J532" s="75" t="s">
        <v>162</v>
      </c>
      <c r="K532" s="75" t="s">
        <v>509</v>
      </c>
      <c r="L532" s="75" t="s">
        <v>535</v>
      </c>
      <c r="M532" s="75" t="s">
        <v>509</v>
      </c>
      <c r="N532" s="75" t="s">
        <v>535</v>
      </c>
      <c r="O532" s="75" t="s">
        <v>1447</v>
      </c>
    </row>
    <row r="533" spans="1:15">
      <c r="A533" s="63" t="s">
        <v>849</v>
      </c>
      <c r="B533" s="14" t="str">
        <f>VLOOKUP(O533,'护理记录单文书字典(数据)'!B$4:C$99,2,0)</f>
        <v>240F52350CFAB21157AA2FE5BE48D149</v>
      </c>
      <c r="C533" s="75" t="s">
        <v>1460</v>
      </c>
      <c r="D533" s="75" t="s">
        <v>1461</v>
      </c>
      <c r="E533" s="92">
        <v>1</v>
      </c>
      <c r="F533" s="92">
        <v>1</v>
      </c>
      <c r="G533" s="75" t="s">
        <v>1462</v>
      </c>
      <c r="H533" s="75"/>
      <c r="I533" s="75"/>
      <c r="J533" s="75" t="s">
        <v>162</v>
      </c>
      <c r="K533" s="75" t="s">
        <v>509</v>
      </c>
      <c r="L533" s="75" t="s">
        <v>535</v>
      </c>
      <c r="M533" s="75" t="s">
        <v>509</v>
      </c>
      <c r="N533" s="75" t="s">
        <v>535</v>
      </c>
      <c r="O533" s="75" t="s">
        <v>1463</v>
      </c>
    </row>
    <row r="534" spans="1:15">
      <c r="A534" s="63" t="s">
        <v>849</v>
      </c>
      <c r="B534" s="14" t="str">
        <f>VLOOKUP(O534,'护理记录单文书字典(数据)'!B$4:C$99,2,0)</f>
        <v>240F52350CFAB21157AA2FE5BE48D149</v>
      </c>
      <c r="C534" s="75" t="s">
        <v>1460</v>
      </c>
      <c r="D534" s="75" t="s">
        <v>1461</v>
      </c>
      <c r="E534" s="92">
        <v>2</v>
      </c>
      <c r="F534" s="92">
        <v>2</v>
      </c>
      <c r="G534" s="75" t="s">
        <v>1464</v>
      </c>
      <c r="H534" s="75"/>
      <c r="I534" s="75"/>
      <c r="J534" s="75" t="s">
        <v>162</v>
      </c>
      <c r="K534" s="75" t="s">
        <v>509</v>
      </c>
      <c r="L534" s="75" t="s">
        <v>535</v>
      </c>
      <c r="M534" s="75" t="s">
        <v>509</v>
      </c>
      <c r="N534" s="75" t="s">
        <v>535</v>
      </c>
      <c r="O534" s="75" t="s">
        <v>1463</v>
      </c>
    </row>
    <row r="535" spans="1:15">
      <c r="A535" s="63" t="s">
        <v>849</v>
      </c>
      <c r="B535" s="14" t="str">
        <f>VLOOKUP(O535,'护理记录单文书字典(数据)'!B$4:C$99,2,0)</f>
        <v>240F52350CFAB21157AA2FE5BE48D149</v>
      </c>
      <c r="C535" s="75" t="s">
        <v>1460</v>
      </c>
      <c r="D535" s="75" t="s">
        <v>1461</v>
      </c>
      <c r="E535" s="92">
        <v>3</v>
      </c>
      <c r="F535" s="92">
        <v>3</v>
      </c>
      <c r="G535" s="75" t="s">
        <v>1465</v>
      </c>
      <c r="H535" s="75"/>
      <c r="I535" s="75"/>
      <c r="J535" s="75" t="s">
        <v>162</v>
      </c>
      <c r="K535" s="75" t="s">
        <v>509</v>
      </c>
      <c r="L535" s="75" t="s">
        <v>535</v>
      </c>
      <c r="M535" s="75" t="s">
        <v>509</v>
      </c>
      <c r="N535" s="75" t="s">
        <v>535</v>
      </c>
      <c r="O535" s="75" t="s">
        <v>1463</v>
      </c>
    </row>
    <row r="536" spans="1:15">
      <c r="A536" s="63" t="s">
        <v>849</v>
      </c>
      <c r="B536" s="14" t="str">
        <f>VLOOKUP(O536,'护理记录单文书字典(数据)'!B$4:C$99,2,0)</f>
        <v>240F52350CFAB21157AA2FE5BE48D149</v>
      </c>
      <c r="C536" s="75" t="s">
        <v>1460</v>
      </c>
      <c r="D536" s="75" t="s">
        <v>1461</v>
      </c>
      <c r="E536" s="92">
        <v>4</v>
      </c>
      <c r="F536" s="92">
        <v>4</v>
      </c>
      <c r="G536" s="75" t="s">
        <v>1466</v>
      </c>
      <c r="H536" s="75"/>
      <c r="I536" s="75"/>
      <c r="J536" s="75" t="s">
        <v>162</v>
      </c>
      <c r="K536" s="75" t="s">
        <v>509</v>
      </c>
      <c r="L536" s="75" t="s">
        <v>535</v>
      </c>
      <c r="M536" s="75" t="s">
        <v>509</v>
      </c>
      <c r="N536" s="75" t="s">
        <v>535</v>
      </c>
      <c r="O536" s="75" t="s">
        <v>1463</v>
      </c>
    </row>
    <row r="537" spans="1:15">
      <c r="A537" s="63" t="s">
        <v>849</v>
      </c>
      <c r="B537" s="14" t="str">
        <f>VLOOKUP(O537,'护理记录单文书字典(数据)'!B$4:C$99,2,0)</f>
        <v>240F52350CFAB21157AA2FE5BE48D149</v>
      </c>
      <c r="C537" s="75" t="s">
        <v>1460</v>
      </c>
      <c r="D537" s="75" t="s">
        <v>1461</v>
      </c>
      <c r="E537" s="92">
        <v>5</v>
      </c>
      <c r="F537" s="92">
        <v>5</v>
      </c>
      <c r="G537" s="75" t="s">
        <v>1467</v>
      </c>
      <c r="H537" s="75"/>
      <c r="I537" s="75"/>
      <c r="J537" s="75" t="s">
        <v>162</v>
      </c>
      <c r="K537" s="75" t="s">
        <v>509</v>
      </c>
      <c r="L537" s="75" t="s">
        <v>535</v>
      </c>
      <c r="M537" s="75" t="s">
        <v>509</v>
      </c>
      <c r="N537" s="75" t="s">
        <v>535</v>
      </c>
      <c r="O537" s="75" t="s">
        <v>1463</v>
      </c>
    </row>
    <row r="538" spans="1:15">
      <c r="A538" s="63" t="s">
        <v>849</v>
      </c>
      <c r="B538" s="14" t="str">
        <f>VLOOKUP(O538,'护理记录单文书字典(数据)'!B$4:C$99,2,0)</f>
        <v>6B4C59350CFAB211B4B450B5017BE817</v>
      </c>
      <c r="C538" s="75" t="s">
        <v>1468</v>
      </c>
      <c r="D538" s="75" t="s">
        <v>1469</v>
      </c>
      <c r="E538" s="92">
        <v>1</v>
      </c>
      <c r="F538" s="92">
        <v>1</v>
      </c>
      <c r="G538" s="75" t="s">
        <v>962</v>
      </c>
      <c r="H538" s="75"/>
      <c r="I538" s="75"/>
      <c r="J538" s="75" t="s">
        <v>162</v>
      </c>
      <c r="K538" s="75" t="s">
        <v>509</v>
      </c>
      <c r="L538" s="75" t="s">
        <v>535</v>
      </c>
      <c r="M538" s="75" t="s">
        <v>509</v>
      </c>
      <c r="N538" s="75" t="s">
        <v>535</v>
      </c>
      <c r="O538" s="75" t="s">
        <v>1470</v>
      </c>
    </row>
    <row r="539" spans="1:15">
      <c r="A539" s="63" t="s">
        <v>849</v>
      </c>
      <c r="B539" s="14" t="str">
        <f>VLOOKUP(O539,'护理记录单文书字典(数据)'!B$4:C$99,2,0)</f>
        <v>6B4C59350CFAB211B4B450B5017BE817</v>
      </c>
      <c r="C539" s="75" t="s">
        <v>1468</v>
      </c>
      <c r="D539" s="75" t="s">
        <v>1469</v>
      </c>
      <c r="E539" s="92">
        <v>2</v>
      </c>
      <c r="F539" s="92">
        <v>2</v>
      </c>
      <c r="G539" s="75" t="s">
        <v>1190</v>
      </c>
      <c r="H539" s="75"/>
      <c r="I539" s="75"/>
      <c r="J539" s="75" t="s">
        <v>162</v>
      </c>
      <c r="K539" s="75" t="s">
        <v>509</v>
      </c>
      <c r="L539" s="75" t="s">
        <v>535</v>
      </c>
      <c r="M539" s="75" t="s">
        <v>509</v>
      </c>
      <c r="N539" s="75" t="s">
        <v>535</v>
      </c>
      <c r="O539" s="75" t="s">
        <v>1470</v>
      </c>
    </row>
    <row r="540" spans="1:15">
      <c r="A540" s="63" t="s">
        <v>849</v>
      </c>
      <c r="B540" s="14" t="str">
        <f>VLOOKUP(O540,'护理记录单文书字典(数据)'!B$4:C$99,2,0)</f>
        <v>6B4C59350CFAB211B4B450B5017BE817</v>
      </c>
      <c r="C540" s="75" t="s">
        <v>1468</v>
      </c>
      <c r="D540" s="75" t="s">
        <v>1469</v>
      </c>
      <c r="E540" s="92">
        <v>3</v>
      </c>
      <c r="F540" s="92">
        <v>3</v>
      </c>
      <c r="G540" s="75" t="s">
        <v>1191</v>
      </c>
      <c r="H540" s="75"/>
      <c r="I540" s="75"/>
      <c r="J540" s="75" t="s">
        <v>162</v>
      </c>
      <c r="K540" s="75" t="s">
        <v>509</v>
      </c>
      <c r="L540" s="75" t="s">
        <v>535</v>
      </c>
      <c r="M540" s="75" t="s">
        <v>509</v>
      </c>
      <c r="N540" s="75" t="s">
        <v>535</v>
      </c>
      <c r="O540" s="75" t="s">
        <v>1470</v>
      </c>
    </row>
    <row r="541" spans="1:15">
      <c r="A541" s="63" t="s">
        <v>849</v>
      </c>
      <c r="B541" s="14" t="str">
        <f>VLOOKUP(O541,'护理记录单文书字典(数据)'!B$4:C$99,2,0)</f>
        <v>6B4C59350CFAB211B4B450B5017BE817</v>
      </c>
      <c r="C541" s="75" t="s">
        <v>1468</v>
      </c>
      <c r="D541" s="75" t="s">
        <v>1469</v>
      </c>
      <c r="E541" s="92">
        <v>4</v>
      </c>
      <c r="F541" s="92">
        <v>4</v>
      </c>
      <c r="G541" s="75" t="s">
        <v>1192</v>
      </c>
      <c r="H541" s="75"/>
      <c r="I541" s="75"/>
      <c r="J541" s="75" t="s">
        <v>162</v>
      </c>
      <c r="K541" s="75" t="s">
        <v>509</v>
      </c>
      <c r="L541" s="75" t="s">
        <v>535</v>
      </c>
      <c r="M541" s="75" t="s">
        <v>509</v>
      </c>
      <c r="N541" s="75" t="s">
        <v>535</v>
      </c>
      <c r="O541" s="75" t="s">
        <v>1470</v>
      </c>
    </row>
    <row r="542" spans="1:15">
      <c r="A542" s="63" t="s">
        <v>849</v>
      </c>
      <c r="B542" s="14" t="str">
        <f>VLOOKUP(O542,'护理记录单文书字典(数据)'!B$4:C$99,2,0)</f>
        <v>6B4C59350CFAB211B4B450B5017BE817</v>
      </c>
      <c r="C542" s="75" t="s">
        <v>1471</v>
      </c>
      <c r="D542" s="75" t="s">
        <v>1472</v>
      </c>
      <c r="E542" s="92">
        <v>1</v>
      </c>
      <c r="F542" s="92">
        <v>1</v>
      </c>
      <c r="G542" s="75" t="s">
        <v>962</v>
      </c>
      <c r="H542" s="75"/>
      <c r="I542" s="75"/>
      <c r="J542" s="75" t="s">
        <v>162</v>
      </c>
      <c r="K542" s="75" t="s">
        <v>509</v>
      </c>
      <c r="L542" s="75" t="s">
        <v>535</v>
      </c>
      <c r="M542" s="75" t="s">
        <v>509</v>
      </c>
      <c r="N542" s="75" t="s">
        <v>535</v>
      </c>
      <c r="O542" s="75" t="s">
        <v>1470</v>
      </c>
    </row>
    <row r="543" spans="1:15">
      <c r="A543" s="63" t="s">
        <v>849</v>
      </c>
      <c r="B543" s="14" t="str">
        <f>VLOOKUP(O543,'护理记录单文书字典(数据)'!B$4:C$99,2,0)</f>
        <v>6B4C59350CFAB211B4B450B5017BE817</v>
      </c>
      <c r="C543" s="75" t="s">
        <v>1471</v>
      </c>
      <c r="D543" s="75" t="s">
        <v>1472</v>
      </c>
      <c r="E543" s="92">
        <v>2</v>
      </c>
      <c r="F543" s="92">
        <v>2</v>
      </c>
      <c r="G543" s="75" t="s">
        <v>1190</v>
      </c>
      <c r="H543" s="75"/>
      <c r="I543" s="75"/>
      <c r="J543" s="75" t="s">
        <v>162</v>
      </c>
      <c r="K543" s="75" t="s">
        <v>509</v>
      </c>
      <c r="L543" s="75" t="s">
        <v>535</v>
      </c>
      <c r="M543" s="75" t="s">
        <v>509</v>
      </c>
      <c r="N543" s="75" t="s">
        <v>535</v>
      </c>
      <c r="O543" s="75" t="s">
        <v>1470</v>
      </c>
    </row>
    <row r="544" spans="1:15">
      <c r="A544" s="63" t="s">
        <v>849</v>
      </c>
      <c r="B544" s="14" t="str">
        <f>VLOOKUP(O544,'护理记录单文书字典(数据)'!B$4:C$99,2,0)</f>
        <v>6B4C59350CFAB211B4B450B5017BE817</v>
      </c>
      <c r="C544" s="75" t="s">
        <v>1471</v>
      </c>
      <c r="D544" s="75" t="s">
        <v>1472</v>
      </c>
      <c r="E544" s="92">
        <v>3</v>
      </c>
      <c r="F544" s="92">
        <v>3</v>
      </c>
      <c r="G544" s="75" t="s">
        <v>1191</v>
      </c>
      <c r="H544" s="75"/>
      <c r="I544" s="75"/>
      <c r="J544" s="75" t="s">
        <v>162</v>
      </c>
      <c r="K544" s="75" t="s">
        <v>509</v>
      </c>
      <c r="L544" s="75" t="s">
        <v>535</v>
      </c>
      <c r="M544" s="75" t="s">
        <v>509</v>
      </c>
      <c r="N544" s="75" t="s">
        <v>535</v>
      </c>
      <c r="O544" s="75" t="s">
        <v>1470</v>
      </c>
    </row>
    <row r="545" spans="1:15">
      <c r="A545" s="63" t="s">
        <v>849</v>
      </c>
      <c r="B545" s="14" t="str">
        <f>VLOOKUP(O545,'护理记录单文书字典(数据)'!B$4:C$99,2,0)</f>
        <v>6B4C59350CFAB211B4B450B5017BE817</v>
      </c>
      <c r="C545" s="75" t="s">
        <v>1471</v>
      </c>
      <c r="D545" s="75" t="s">
        <v>1472</v>
      </c>
      <c r="E545" s="92">
        <v>4</v>
      </c>
      <c r="F545" s="92">
        <v>4</v>
      </c>
      <c r="G545" s="75" t="s">
        <v>1192</v>
      </c>
      <c r="H545" s="75"/>
      <c r="I545" s="75"/>
      <c r="J545" s="75" t="s">
        <v>162</v>
      </c>
      <c r="K545" s="75" t="s">
        <v>509</v>
      </c>
      <c r="L545" s="75" t="s">
        <v>535</v>
      </c>
      <c r="M545" s="75" t="s">
        <v>509</v>
      </c>
      <c r="N545" s="75" t="s">
        <v>535</v>
      </c>
      <c r="O545" s="75" t="s">
        <v>1470</v>
      </c>
    </row>
    <row r="546" spans="1:15">
      <c r="A546" s="63" t="s">
        <v>849</v>
      </c>
      <c r="B546" s="14" t="str">
        <f>VLOOKUP(O546,'护理记录单文书字典(数据)'!B$4:C$99,2,0)</f>
        <v>6B4C59350CFAB211B4B450B5017BE817</v>
      </c>
      <c r="C546" s="75" t="s">
        <v>1473</v>
      </c>
      <c r="D546" s="75" t="s">
        <v>1474</v>
      </c>
      <c r="E546" s="92">
        <v>1</v>
      </c>
      <c r="F546" s="92">
        <v>1</v>
      </c>
      <c r="G546" s="75" t="s">
        <v>962</v>
      </c>
      <c r="H546" s="75"/>
      <c r="I546" s="75"/>
      <c r="J546" s="75" t="s">
        <v>162</v>
      </c>
      <c r="K546" s="75" t="s">
        <v>509</v>
      </c>
      <c r="L546" s="75" t="s">
        <v>535</v>
      </c>
      <c r="M546" s="75" t="s">
        <v>509</v>
      </c>
      <c r="N546" s="75" t="s">
        <v>535</v>
      </c>
      <c r="O546" s="75" t="s">
        <v>1470</v>
      </c>
    </row>
    <row r="547" spans="1:15">
      <c r="A547" s="63" t="s">
        <v>849</v>
      </c>
      <c r="B547" s="14" t="str">
        <f>VLOOKUP(O547,'护理记录单文书字典(数据)'!B$4:C$99,2,0)</f>
        <v>6B4C59350CFAB211B4B450B5017BE817</v>
      </c>
      <c r="C547" s="75" t="s">
        <v>1473</v>
      </c>
      <c r="D547" s="75" t="s">
        <v>1474</v>
      </c>
      <c r="E547" s="92">
        <v>2</v>
      </c>
      <c r="F547" s="92">
        <v>2</v>
      </c>
      <c r="G547" s="75" t="s">
        <v>995</v>
      </c>
      <c r="H547" s="75"/>
      <c r="I547" s="75"/>
      <c r="J547" s="75" t="s">
        <v>162</v>
      </c>
      <c r="K547" s="75" t="s">
        <v>509</v>
      </c>
      <c r="L547" s="75" t="s">
        <v>535</v>
      </c>
      <c r="M547" s="75" t="s">
        <v>509</v>
      </c>
      <c r="N547" s="75" t="s">
        <v>535</v>
      </c>
      <c r="O547" s="75" t="s">
        <v>1470</v>
      </c>
    </row>
    <row r="548" spans="1:15">
      <c r="A548" s="63" t="s">
        <v>849</v>
      </c>
      <c r="B548" s="14" t="str">
        <f>VLOOKUP(O548,'护理记录单文书字典(数据)'!B$4:C$99,2,0)</f>
        <v>6B4C59350CFAB211B4B450B5017BE817</v>
      </c>
      <c r="C548" s="75" t="s">
        <v>1473</v>
      </c>
      <c r="D548" s="75" t="s">
        <v>1474</v>
      </c>
      <c r="E548" s="92">
        <v>3</v>
      </c>
      <c r="F548" s="92">
        <v>3</v>
      </c>
      <c r="G548" s="75" t="s">
        <v>996</v>
      </c>
      <c r="H548" s="75"/>
      <c r="I548" s="75"/>
      <c r="J548" s="75" t="s">
        <v>162</v>
      </c>
      <c r="K548" s="75" t="s">
        <v>509</v>
      </c>
      <c r="L548" s="75" t="s">
        <v>535</v>
      </c>
      <c r="M548" s="75" t="s">
        <v>509</v>
      </c>
      <c r="N548" s="75" t="s">
        <v>535</v>
      </c>
      <c r="O548" s="75" t="s">
        <v>1470</v>
      </c>
    </row>
    <row r="549" spans="1:15">
      <c r="A549" s="63" t="s">
        <v>849</v>
      </c>
      <c r="B549" s="14" t="str">
        <f>VLOOKUP(O549,'护理记录单文书字典(数据)'!B$4:C$99,2,0)</f>
        <v>6B4C59350CFAB211B4B450B5017BE817</v>
      </c>
      <c r="C549" s="75" t="s">
        <v>1475</v>
      </c>
      <c r="D549" s="75" t="s">
        <v>1476</v>
      </c>
      <c r="E549" s="92">
        <v>1</v>
      </c>
      <c r="F549" s="92">
        <v>1</v>
      </c>
      <c r="G549" s="75" t="s">
        <v>962</v>
      </c>
      <c r="H549" s="75"/>
      <c r="I549" s="75"/>
      <c r="J549" s="75" t="s">
        <v>162</v>
      </c>
      <c r="K549" s="75" t="s">
        <v>509</v>
      </c>
      <c r="L549" s="75" t="s">
        <v>535</v>
      </c>
      <c r="M549" s="75" t="s">
        <v>509</v>
      </c>
      <c r="N549" s="75" t="s">
        <v>535</v>
      </c>
      <c r="O549" s="75" t="s">
        <v>1470</v>
      </c>
    </row>
    <row r="550" spans="1:15">
      <c r="A550" s="63" t="s">
        <v>849</v>
      </c>
      <c r="B550" s="14" t="str">
        <f>VLOOKUP(O550,'护理记录单文书字典(数据)'!B$4:C$99,2,0)</f>
        <v>6B4C59350CFAB211B4B450B5017BE817</v>
      </c>
      <c r="C550" s="75" t="s">
        <v>1475</v>
      </c>
      <c r="D550" s="75" t="s">
        <v>1476</v>
      </c>
      <c r="E550" s="92">
        <v>2</v>
      </c>
      <c r="F550" s="92">
        <v>2</v>
      </c>
      <c r="G550" s="75" t="s">
        <v>1190</v>
      </c>
      <c r="H550" s="75"/>
      <c r="I550" s="75"/>
      <c r="J550" s="75" t="s">
        <v>162</v>
      </c>
      <c r="K550" s="75" t="s">
        <v>509</v>
      </c>
      <c r="L550" s="75" t="s">
        <v>535</v>
      </c>
      <c r="M550" s="75" t="s">
        <v>509</v>
      </c>
      <c r="N550" s="75" t="s">
        <v>535</v>
      </c>
      <c r="O550" s="75" t="s">
        <v>1470</v>
      </c>
    </row>
    <row r="551" spans="1:15">
      <c r="A551" s="63" t="s">
        <v>849</v>
      </c>
      <c r="B551" s="14" t="str">
        <f>VLOOKUP(O551,'护理记录单文书字典(数据)'!B$4:C$99,2,0)</f>
        <v>6B4C59350CFAB211B4B450B5017BE817</v>
      </c>
      <c r="C551" s="75" t="s">
        <v>1475</v>
      </c>
      <c r="D551" s="75" t="s">
        <v>1476</v>
      </c>
      <c r="E551" s="92">
        <v>3</v>
      </c>
      <c r="F551" s="92">
        <v>3</v>
      </c>
      <c r="G551" s="75" t="s">
        <v>1191</v>
      </c>
      <c r="H551" s="75"/>
      <c r="I551" s="75"/>
      <c r="J551" s="75" t="s">
        <v>162</v>
      </c>
      <c r="K551" s="75" t="s">
        <v>509</v>
      </c>
      <c r="L551" s="75" t="s">
        <v>535</v>
      </c>
      <c r="M551" s="75" t="s">
        <v>509</v>
      </c>
      <c r="N551" s="75" t="s">
        <v>535</v>
      </c>
      <c r="O551" s="75" t="s">
        <v>1470</v>
      </c>
    </row>
    <row r="552" spans="1:15">
      <c r="A552" s="63" t="s">
        <v>849</v>
      </c>
      <c r="B552" s="14" t="str">
        <f>VLOOKUP(O552,'护理记录单文书字典(数据)'!B$4:C$99,2,0)</f>
        <v>6B4C59350CFAB211B4B450B5017BE817</v>
      </c>
      <c r="C552" s="75" t="s">
        <v>1475</v>
      </c>
      <c r="D552" s="75" t="s">
        <v>1476</v>
      </c>
      <c r="E552" s="92">
        <v>4</v>
      </c>
      <c r="F552" s="92">
        <v>4</v>
      </c>
      <c r="G552" s="75" t="s">
        <v>1192</v>
      </c>
      <c r="H552" s="75"/>
      <c r="I552" s="75"/>
      <c r="J552" s="75" t="s">
        <v>162</v>
      </c>
      <c r="K552" s="75" t="s">
        <v>509</v>
      </c>
      <c r="L552" s="75" t="s">
        <v>535</v>
      </c>
      <c r="M552" s="75" t="s">
        <v>509</v>
      </c>
      <c r="N552" s="75" t="s">
        <v>535</v>
      </c>
      <c r="O552" s="75" t="s">
        <v>1470</v>
      </c>
    </row>
    <row r="553" spans="1:15">
      <c r="A553" s="63" t="s">
        <v>849</v>
      </c>
      <c r="B553" s="14" t="str">
        <f>VLOOKUP(O553,'护理记录单文书字典(数据)'!B$4:C$99,2,0)</f>
        <v>6B4C59350CFAB211B4B450B5017BE817</v>
      </c>
      <c r="C553" s="75" t="s">
        <v>1477</v>
      </c>
      <c r="D553" s="75" t="s">
        <v>1478</v>
      </c>
      <c r="E553" s="92">
        <v>1</v>
      </c>
      <c r="F553" s="92">
        <v>1</v>
      </c>
      <c r="G553" s="75" t="s">
        <v>1479</v>
      </c>
      <c r="H553" s="75"/>
      <c r="I553" s="75"/>
      <c r="J553" s="75" t="s">
        <v>162</v>
      </c>
      <c r="K553" s="75" t="s">
        <v>509</v>
      </c>
      <c r="L553" s="75" t="s">
        <v>535</v>
      </c>
      <c r="M553" s="75" t="s">
        <v>509</v>
      </c>
      <c r="N553" s="75" t="s">
        <v>535</v>
      </c>
      <c r="O553" s="75" t="s">
        <v>1470</v>
      </c>
    </row>
    <row r="554" spans="1:15">
      <c r="A554" s="63" t="s">
        <v>849</v>
      </c>
      <c r="B554" s="14" t="str">
        <f>VLOOKUP(O554,'护理记录单文书字典(数据)'!B$4:C$99,2,0)</f>
        <v>6B4C59350CFAB211B4B450B5017BE817</v>
      </c>
      <c r="C554" s="75" t="s">
        <v>1477</v>
      </c>
      <c r="D554" s="75" t="s">
        <v>1478</v>
      </c>
      <c r="E554" s="92">
        <v>2</v>
      </c>
      <c r="F554" s="92">
        <v>2</v>
      </c>
      <c r="G554" s="75" t="s">
        <v>1435</v>
      </c>
      <c r="H554" s="75"/>
      <c r="I554" s="75"/>
      <c r="J554" s="75" t="s">
        <v>162</v>
      </c>
      <c r="K554" s="75" t="s">
        <v>509</v>
      </c>
      <c r="L554" s="75" t="s">
        <v>535</v>
      </c>
      <c r="M554" s="75" t="s">
        <v>509</v>
      </c>
      <c r="N554" s="75" t="s">
        <v>535</v>
      </c>
      <c r="O554" s="75" t="s">
        <v>1470</v>
      </c>
    </row>
    <row r="555" spans="1:15">
      <c r="A555" s="63" t="s">
        <v>849</v>
      </c>
      <c r="B555" s="14" t="str">
        <f>VLOOKUP(O555,'护理记录单文书字典(数据)'!B$4:C$99,2,0)</f>
        <v>6B4C59350CFAB211B4B450B5017BE817</v>
      </c>
      <c r="C555" s="75" t="s">
        <v>1477</v>
      </c>
      <c r="D555" s="75" t="s">
        <v>1478</v>
      </c>
      <c r="E555" s="92">
        <v>3</v>
      </c>
      <c r="F555" s="92">
        <v>3</v>
      </c>
      <c r="G555" s="75" t="s">
        <v>1424</v>
      </c>
      <c r="H555" s="75"/>
      <c r="I555" s="75"/>
      <c r="J555" s="75" t="s">
        <v>162</v>
      </c>
      <c r="K555" s="75" t="s">
        <v>509</v>
      </c>
      <c r="L555" s="75" t="s">
        <v>535</v>
      </c>
      <c r="M555" s="75" t="s">
        <v>509</v>
      </c>
      <c r="N555" s="75" t="s">
        <v>535</v>
      </c>
      <c r="O555" s="75" t="s">
        <v>1470</v>
      </c>
    </row>
    <row r="556" spans="1:15">
      <c r="A556" s="63" t="s">
        <v>849</v>
      </c>
      <c r="B556" s="14" t="str">
        <f>VLOOKUP(O556,'护理记录单文书字典(数据)'!B$4:C$99,2,0)</f>
        <v>6B4C59350CFAB211B4B450B5017BE817</v>
      </c>
      <c r="C556" s="75" t="s">
        <v>1436</v>
      </c>
      <c r="D556" s="75" t="s">
        <v>1437</v>
      </c>
      <c r="E556" s="92">
        <v>1</v>
      </c>
      <c r="F556" s="92">
        <v>1</v>
      </c>
      <c r="G556" s="75" t="s">
        <v>981</v>
      </c>
      <c r="H556" s="75"/>
      <c r="I556" s="75"/>
      <c r="J556" s="75" t="s">
        <v>162</v>
      </c>
      <c r="K556" s="75" t="s">
        <v>509</v>
      </c>
      <c r="L556" s="75" t="s">
        <v>535</v>
      </c>
      <c r="M556" s="75" t="s">
        <v>509</v>
      </c>
      <c r="N556" s="75" t="s">
        <v>535</v>
      </c>
      <c r="O556" s="75" t="s">
        <v>1470</v>
      </c>
    </row>
    <row r="557" spans="1:15">
      <c r="A557" s="63" t="s">
        <v>849</v>
      </c>
      <c r="B557" s="14" t="str">
        <f>VLOOKUP(O557,'护理记录单文书字典(数据)'!B$4:C$99,2,0)</f>
        <v>6B4C59350CFAB211B4B450B5017BE817</v>
      </c>
      <c r="C557" s="75" t="s">
        <v>1436</v>
      </c>
      <c r="D557" s="75" t="s">
        <v>1437</v>
      </c>
      <c r="E557" s="92">
        <v>2</v>
      </c>
      <c r="F557" s="92">
        <v>2</v>
      </c>
      <c r="G557" s="75" t="s">
        <v>982</v>
      </c>
      <c r="H557" s="75"/>
      <c r="I557" s="75"/>
      <c r="J557" s="75" t="s">
        <v>162</v>
      </c>
      <c r="K557" s="75" t="s">
        <v>509</v>
      </c>
      <c r="L557" s="75" t="s">
        <v>535</v>
      </c>
      <c r="M557" s="75" t="s">
        <v>509</v>
      </c>
      <c r="N557" s="75" t="s">
        <v>535</v>
      </c>
      <c r="O557" s="75" t="s">
        <v>1470</v>
      </c>
    </row>
    <row r="558" spans="1:15">
      <c r="A558" s="63" t="s">
        <v>849</v>
      </c>
      <c r="B558" s="14" t="str">
        <f>VLOOKUP(O558,'护理记录单文书字典(数据)'!B$4:C$99,2,0)</f>
        <v>6B4C59350CFAB211B4B450B5017BE817</v>
      </c>
      <c r="C558" s="75" t="s">
        <v>1436</v>
      </c>
      <c r="D558" s="75" t="s">
        <v>1437</v>
      </c>
      <c r="E558" s="92">
        <v>3</v>
      </c>
      <c r="F558" s="92">
        <v>3</v>
      </c>
      <c r="G558" s="75" t="s">
        <v>983</v>
      </c>
      <c r="H558" s="75"/>
      <c r="I558" s="75"/>
      <c r="J558" s="75" t="s">
        <v>162</v>
      </c>
      <c r="K558" s="75" t="s">
        <v>509</v>
      </c>
      <c r="L558" s="75" t="s">
        <v>535</v>
      </c>
      <c r="M558" s="75" t="s">
        <v>509</v>
      </c>
      <c r="N558" s="75" t="s">
        <v>535</v>
      </c>
      <c r="O558" s="75" t="s">
        <v>1470</v>
      </c>
    </row>
    <row r="559" spans="1:15">
      <c r="A559" s="63" t="s">
        <v>849</v>
      </c>
      <c r="B559" s="14" t="str">
        <f>VLOOKUP(O559,'护理记录单文书字典(数据)'!B$4:C$99,2,0)</f>
        <v>6B4C59350CFAB211B4B450B5017BE817</v>
      </c>
      <c r="C559" s="75" t="s">
        <v>1153</v>
      </c>
      <c r="D559" s="75" t="s">
        <v>1154</v>
      </c>
      <c r="E559" s="92">
        <v>1</v>
      </c>
      <c r="F559" s="92">
        <v>1</v>
      </c>
      <c r="G559" s="75" t="s">
        <v>1155</v>
      </c>
      <c r="H559" s="75"/>
      <c r="I559" s="75"/>
      <c r="J559" s="75" t="s">
        <v>162</v>
      </c>
      <c r="K559" s="75" t="s">
        <v>509</v>
      </c>
      <c r="L559" s="75" t="s">
        <v>535</v>
      </c>
      <c r="M559" s="75" t="s">
        <v>509</v>
      </c>
      <c r="N559" s="75" t="s">
        <v>535</v>
      </c>
      <c r="O559" s="75" t="s">
        <v>1470</v>
      </c>
    </row>
    <row r="560" spans="1:15">
      <c r="A560" s="63" t="s">
        <v>849</v>
      </c>
      <c r="B560" s="14" t="str">
        <f>VLOOKUP(O560,'护理记录单文书字典(数据)'!B$4:C$99,2,0)</f>
        <v>6B4C59350CFAB211B4B450B5017BE817</v>
      </c>
      <c r="C560" s="75" t="s">
        <v>1153</v>
      </c>
      <c r="D560" s="75" t="s">
        <v>1154</v>
      </c>
      <c r="E560" s="92">
        <v>2</v>
      </c>
      <c r="F560" s="92">
        <v>2</v>
      </c>
      <c r="G560" s="75" t="s">
        <v>1480</v>
      </c>
      <c r="H560" s="75"/>
      <c r="I560" s="75"/>
      <c r="J560" s="75" t="s">
        <v>162</v>
      </c>
      <c r="K560" s="75" t="s">
        <v>509</v>
      </c>
      <c r="L560" s="75" t="s">
        <v>535</v>
      </c>
      <c r="M560" s="75" t="s">
        <v>509</v>
      </c>
      <c r="N560" s="75" t="s">
        <v>535</v>
      </c>
      <c r="O560" s="75" t="s">
        <v>1470</v>
      </c>
    </row>
    <row r="561" spans="1:15">
      <c r="A561" s="63" t="s">
        <v>849</v>
      </c>
      <c r="B561" s="14" t="str">
        <f>VLOOKUP(O561,'护理记录单文书字典(数据)'!B$4:C$99,2,0)</f>
        <v>6B4C59350CFAB211B4B450B5017BE817</v>
      </c>
      <c r="C561" s="75" t="s">
        <v>1153</v>
      </c>
      <c r="D561" s="75" t="s">
        <v>1154</v>
      </c>
      <c r="E561" s="92">
        <v>3</v>
      </c>
      <c r="F561" s="92">
        <v>3</v>
      </c>
      <c r="G561" s="75" t="s">
        <v>1481</v>
      </c>
      <c r="H561" s="75"/>
      <c r="I561" s="75"/>
      <c r="J561" s="75" t="s">
        <v>162</v>
      </c>
      <c r="K561" s="75" t="s">
        <v>509</v>
      </c>
      <c r="L561" s="75" t="s">
        <v>535</v>
      </c>
      <c r="M561" s="75" t="s">
        <v>509</v>
      </c>
      <c r="N561" s="75" t="s">
        <v>535</v>
      </c>
      <c r="O561" s="75" t="s">
        <v>1470</v>
      </c>
    </row>
    <row r="562" spans="1:15">
      <c r="A562" s="63" t="s">
        <v>849</v>
      </c>
      <c r="B562" s="14" t="str">
        <f>VLOOKUP(O562,'护理记录单文书字典(数据)'!B$4:C$99,2,0)</f>
        <v>6B4C59350CFAB211B4B450B5017BE817</v>
      </c>
      <c r="C562" s="75" t="s">
        <v>1153</v>
      </c>
      <c r="D562" s="75" t="s">
        <v>1154</v>
      </c>
      <c r="E562" s="92">
        <v>4</v>
      </c>
      <c r="F562" s="92">
        <v>4</v>
      </c>
      <c r="G562" s="75" t="s">
        <v>1482</v>
      </c>
      <c r="H562" s="75"/>
      <c r="I562" s="75"/>
      <c r="J562" s="75" t="s">
        <v>162</v>
      </c>
      <c r="K562" s="75" t="s">
        <v>509</v>
      </c>
      <c r="L562" s="75" t="s">
        <v>535</v>
      </c>
      <c r="M562" s="75" t="s">
        <v>509</v>
      </c>
      <c r="N562" s="75" t="s">
        <v>535</v>
      </c>
      <c r="O562" s="75" t="s">
        <v>1470</v>
      </c>
    </row>
    <row r="563" spans="1:15">
      <c r="A563" s="63" t="s">
        <v>849</v>
      </c>
      <c r="B563" s="14" t="str">
        <f>VLOOKUP(O563,'护理记录单文书字典(数据)'!B$4:C$99,2,0)</f>
        <v>6B4C59350CFAB211B4B450B5017BE817</v>
      </c>
      <c r="C563" s="75" t="s">
        <v>1483</v>
      </c>
      <c r="D563" s="75" t="s">
        <v>1484</v>
      </c>
      <c r="E563" s="92">
        <v>1</v>
      </c>
      <c r="F563" s="92">
        <v>1</v>
      </c>
      <c r="G563" s="75" t="s">
        <v>1485</v>
      </c>
      <c r="H563" s="75"/>
      <c r="I563" s="75"/>
      <c r="J563" s="75" t="s">
        <v>162</v>
      </c>
      <c r="K563" s="75" t="s">
        <v>509</v>
      </c>
      <c r="L563" s="75" t="s">
        <v>535</v>
      </c>
      <c r="M563" s="75" t="s">
        <v>509</v>
      </c>
      <c r="N563" s="75" t="s">
        <v>535</v>
      </c>
      <c r="O563" s="75" t="s">
        <v>1470</v>
      </c>
    </row>
    <row r="564" spans="1:15">
      <c r="A564" s="63" t="s">
        <v>849</v>
      </c>
      <c r="B564" s="14" t="str">
        <f>VLOOKUP(O564,'护理记录单文书字典(数据)'!B$4:C$99,2,0)</f>
        <v>6B4C59350CFAB211B4B450B5017BE817</v>
      </c>
      <c r="C564" s="75" t="s">
        <v>1483</v>
      </c>
      <c r="D564" s="75" t="s">
        <v>1484</v>
      </c>
      <c r="E564" s="92">
        <v>2</v>
      </c>
      <c r="F564" s="92">
        <v>2</v>
      </c>
      <c r="G564" s="75" t="s">
        <v>1486</v>
      </c>
      <c r="H564" s="75"/>
      <c r="I564" s="75"/>
      <c r="J564" s="75" t="s">
        <v>162</v>
      </c>
      <c r="K564" s="75" t="s">
        <v>509</v>
      </c>
      <c r="L564" s="75" t="s">
        <v>535</v>
      </c>
      <c r="M564" s="75" t="s">
        <v>509</v>
      </c>
      <c r="N564" s="75" t="s">
        <v>535</v>
      </c>
      <c r="O564" s="75" t="s">
        <v>1470</v>
      </c>
    </row>
    <row r="565" spans="1:15">
      <c r="A565" s="63" t="s">
        <v>849</v>
      </c>
      <c r="B565" s="14" t="str">
        <f>VLOOKUP(O565,'护理记录单文书字典(数据)'!B$4:C$99,2,0)</f>
        <v>6B4C59350CFAB211B4B450B5017BE817</v>
      </c>
      <c r="C565" s="75" t="s">
        <v>1483</v>
      </c>
      <c r="D565" s="75" t="s">
        <v>1484</v>
      </c>
      <c r="E565" s="92">
        <v>3</v>
      </c>
      <c r="F565" s="92">
        <v>3</v>
      </c>
      <c r="G565" s="75" t="s">
        <v>1487</v>
      </c>
      <c r="H565" s="75"/>
      <c r="I565" s="75"/>
      <c r="J565" s="75" t="s">
        <v>162</v>
      </c>
      <c r="K565" s="75" t="s">
        <v>509</v>
      </c>
      <c r="L565" s="75" t="s">
        <v>535</v>
      </c>
      <c r="M565" s="75" t="s">
        <v>509</v>
      </c>
      <c r="N565" s="75" t="s">
        <v>535</v>
      </c>
      <c r="O565" s="75" t="s">
        <v>1470</v>
      </c>
    </row>
    <row r="566" spans="1:15">
      <c r="A566" s="63" t="s">
        <v>849</v>
      </c>
      <c r="B566" s="14" t="str">
        <f>VLOOKUP(O566,'护理记录单文书字典(数据)'!B$4:C$99,2,0)</f>
        <v>6B4C59350CFAB211B4B450B5017BE817</v>
      </c>
      <c r="C566" s="75" t="s">
        <v>1488</v>
      </c>
      <c r="D566" s="75" t="s">
        <v>1489</v>
      </c>
      <c r="E566" s="92">
        <v>1</v>
      </c>
      <c r="F566" s="92">
        <v>1</v>
      </c>
      <c r="G566" s="75" t="s">
        <v>1490</v>
      </c>
      <c r="H566" s="75"/>
      <c r="I566" s="75"/>
      <c r="J566" s="75" t="s">
        <v>162</v>
      </c>
      <c r="K566" s="75" t="s">
        <v>509</v>
      </c>
      <c r="L566" s="75" t="s">
        <v>535</v>
      </c>
      <c r="M566" s="75" t="s">
        <v>509</v>
      </c>
      <c r="N566" s="75" t="s">
        <v>535</v>
      </c>
      <c r="O566" s="75" t="s">
        <v>1470</v>
      </c>
    </row>
    <row r="567" spans="1:15">
      <c r="A567" s="63" t="s">
        <v>849</v>
      </c>
      <c r="B567" s="14" t="str">
        <f>VLOOKUP(O567,'护理记录单文书字典(数据)'!B$4:C$99,2,0)</f>
        <v>6B4C59350CFAB211B4B450B5017BE817</v>
      </c>
      <c r="C567" s="75" t="s">
        <v>1488</v>
      </c>
      <c r="D567" s="75" t="s">
        <v>1489</v>
      </c>
      <c r="E567" s="92">
        <v>2</v>
      </c>
      <c r="F567" s="92">
        <v>2</v>
      </c>
      <c r="G567" s="75" t="s">
        <v>1491</v>
      </c>
      <c r="H567" s="75"/>
      <c r="I567" s="75"/>
      <c r="J567" s="75" t="s">
        <v>162</v>
      </c>
      <c r="K567" s="75" t="s">
        <v>509</v>
      </c>
      <c r="L567" s="75" t="s">
        <v>535</v>
      </c>
      <c r="M567" s="75" t="s">
        <v>509</v>
      </c>
      <c r="N567" s="75" t="s">
        <v>535</v>
      </c>
      <c r="O567" s="75" t="s">
        <v>1470</v>
      </c>
    </row>
    <row r="568" spans="1:15">
      <c r="A568" s="63" t="s">
        <v>849</v>
      </c>
      <c r="B568" s="14" t="str">
        <f>VLOOKUP(O568,'护理记录单文书字典(数据)'!B$4:C$99,2,0)</f>
        <v>6B4C59350CFAB211B4B450B5017BE817</v>
      </c>
      <c r="C568" s="75" t="s">
        <v>1488</v>
      </c>
      <c r="D568" s="75" t="s">
        <v>1489</v>
      </c>
      <c r="E568" s="92">
        <v>3</v>
      </c>
      <c r="F568" s="92">
        <v>3</v>
      </c>
      <c r="G568" s="75" t="s">
        <v>1492</v>
      </c>
      <c r="H568" s="75"/>
      <c r="I568" s="75"/>
      <c r="J568" s="75" t="s">
        <v>162</v>
      </c>
      <c r="K568" s="75" t="s">
        <v>509</v>
      </c>
      <c r="L568" s="75" t="s">
        <v>535</v>
      </c>
      <c r="M568" s="75" t="s">
        <v>509</v>
      </c>
      <c r="N568" s="75" t="s">
        <v>535</v>
      </c>
      <c r="O568" s="75" t="s">
        <v>1470</v>
      </c>
    </row>
    <row r="569" spans="1:15">
      <c r="A569" s="63" t="s">
        <v>849</v>
      </c>
      <c r="B569" s="14" t="str">
        <f>VLOOKUP(O569,'护理记录单文书字典(数据)'!B$4:C$99,2,0)</f>
        <v>6B4C59350CFAB211B4B450B5017BE817</v>
      </c>
      <c r="C569" s="75" t="s">
        <v>1493</v>
      </c>
      <c r="D569" s="75" t="s">
        <v>1494</v>
      </c>
      <c r="E569" s="92">
        <v>1</v>
      </c>
      <c r="F569" s="92">
        <v>1</v>
      </c>
      <c r="G569" s="75" t="s">
        <v>1190</v>
      </c>
      <c r="H569" s="75"/>
      <c r="I569" s="75"/>
      <c r="J569" s="75" t="s">
        <v>162</v>
      </c>
      <c r="K569" s="75" t="s">
        <v>509</v>
      </c>
      <c r="L569" s="75" t="s">
        <v>535</v>
      </c>
      <c r="M569" s="75" t="s">
        <v>509</v>
      </c>
      <c r="N569" s="75" t="s">
        <v>535</v>
      </c>
      <c r="O569" s="75" t="s">
        <v>1470</v>
      </c>
    </row>
    <row r="570" spans="1:15">
      <c r="A570" s="63" t="s">
        <v>849</v>
      </c>
      <c r="B570" s="14" t="str">
        <f>VLOOKUP(O570,'护理记录单文书字典(数据)'!B$4:C$99,2,0)</f>
        <v>6B4C59350CFAB211B4B450B5017BE817</v>
      </c>
      <c r="C570" s="75" t="s">
        <v>1493</v>
      </c>
      <c r="D570" s="75" t="s">
        <v>1494</v>
      </c>
      <c r="E570" s="92">
        <v>2</v>
      </c>
      <c r="F570" s="92">
        <v>2</v>
      </c>
      <c r="G570" s="75" t="s">
        <v>1191</v>
      </c>
      <c r="H570" s="75"/>
      <c r="I570" s="75"/>
      <c r="J570" s="75" t="s">
        <v>162</v>
      </c>
      <c r="K570" s="75" t="s">
        <v>509</v>
      </c>
      <c r="L570" s="75" t="s">
        <v>535</v>
      </c>
      <c r="M570" s="75" t="s">
        <v>509</v>
      </c>
      <c r="N570" s="75" t="s">
        <v>535</v>
      </c>
      <c r="O570" s="75" t="s">
        <v>1470</v>
      </c>
    </row>
    <row r="571" spans="1:15">
      <c r="A571" s="63" t="s">
        <v>849</v>
      </c>
      <c r="B571" s="14" t="str">
        <f>VLOOKUP(O571,'护理记录单文书字典(数据)'!B$4:C$99,2,0)</f>
        <v>6B4C59350CFAB211B4B450B5017BE817</v>
      </c>
      <c r="C571" s="75" t="s">
        <v>1493</v>
      </c>
      <c r="D571" s="75" t="s">
        <v>1494</v>
      </c>
      <c r="E571" s="92">
        <v>3</v>
      </c>
      <c r="F571" s="92">
        <v>3</v>
      </c>
      <c r="G571" s="75" t="s">
        <v>1192</v>
      </c>
      <c r="H571" s="75"/>
      <c r="I571" s="75"/>
      <c r="J571" s="75" t="s">
        <v>162</v>
      </c>
      <c r="K571" s="75" t="s">
        <v>509</v>
      </c>
      <c r="L571" s="75" t="s">
        <v>535</v>
      </c>
      <c r="M571" s="75" t="s">
        <v>509</v>
      </c>
      <c r="N571" s="75" t="s">
        <v>535</v>
      </c>
      <c r="O571" s="75" t="s">
        <v>1470</v>
      </c>
    </row>
    <row r="572" spans="1:15">
      <c r="A572" s="63" t="s">
        <v>849</v>
      </c>
      <c r="B572" s="14" t="str">
        <f>VLOOKUP(O572,'护理记录单文书字典(数据)'!B$4:C$99,2,0)</f>
        <v>6B4C59350CFAB211B4B450B5017BE817</v>
      </c>
      <c r="C572" s="75" t="s">
        <v>1495</v>
      </c>
      <c r="D572" s="75" t="s">
        <v>1496</v>
      </c>
      <c r="E572" s="92">
        <v>1</v>
      </c>
      <c r="F572" s="92">
        <v>1</v>
      </c>
      <c r="G572" s="75" t="s">
        <v>962</v>
      </c>
      <c r="H572" s="75"/>
      <c r="I572" s="75"/>
      <c r="J572" s="75" t="s">
        <v>162</v>
      </c>
      <c r="K572" s="75" t="s">
        <v>509</v>
      </c>
      <c r="L572" s="75" t="s">
        <v>535</v>
      </c>
      <c r="M572" s="75" t="s">
        <v>509</v>
      </c>
      <c r="N572" s="75" t="s">
        <v>535</v>
      </c>
      <c r="O572" s="75" t="s">
        <v>1470</v>
      </c>
    </row>
    <row r="573" spans="1:15">
      <c r="A573" s="63" t="s">
        <v>849</v>
      </c>
      <c r="B573" s="14" t="str">
        <f>VLOOKUP(O573,'护理记录单文书字典(数据)'!B$4:C$99,2,0)</f>
        <v>6B4C59350CFAB211B4B450B5017BE817</v>
      </c>
      <c r="C573" s="75" t="s">
        <v>1495</v>
      </c>
      <c r="D573" s="75" t="s">
        <v>1496</v>
      </c>
      <c r="E573" s="92">
        <v>2</v>
      </c>
      <c r="F573" s="92">
        <v>2</v>
      </c>
      <c r="G573" s="75" t="s">
        <v>1190</v>
      </c>
      <c r="H573" s="75"/>
      <c r="I573" s="75"/>
      <c r="J573" s="75" t="s">
        <v>162</v>
      </c>
      <c r="K573" s="75" t="s">
        <v>509</v>
      </c>
      <c r="L573" s="75" t="s">
        <v>535</v>
      </c>
      <c r="M573" s="75" t="s">
        <v>509</v>
      </c>
      <c r="N573" s="75" t="s">
        <v>535</v>
      </c>
      <c r="O573" s="75" t="s">
        <v>1470</v>
      </c>
    </row>
    <row r="574" spans="1:15">
      <c r="A574" s="63" t="s">
        <v>849</v>
      </c>
      <c r="B574" s="14" t="str">
        <f>VLOOKUP(O574,'护理记录单文书字典(数据)'!B$4:C$99,2,0)</f>
        <v>6B4C59350CFAB211B4B450B5017BE817</v>
      </c>
      <c r="C574" s="75" t="s">
        <v>1495</v>
      </c>
      <c r="D574" s="75" t="s">
        <v>1496</v>
      </c>
      <c r="E574" s="92">
        <v>3</v>
      </c>
      <c r="F574" s="92">
        <v>3</v>
      </c>
      <c r="G574" s="75" t="s">
        <v>1191</v>
      </c>
      <c r="H574" s="75"/>
      <c r="I574" s="75"/>
      <c r="J574" s="75" t="s">
        <v>162</v>
      </c>
      <c r="K574" s="75" t="s">
        <v>509</v>
      </c>
      <c r="L574" s="75" t="s">
        <v>535</v>
      </c>
      <c r="M574" s="75" t="s">
        <v>509</v>
      </c>
      <c r="N574" s="75" t="s">
        <v>535</v>
      </c>
      <c r="O574" s="75" t="s">
        <v>1470</v>
      </c>
    </row>
    <row r="575" spans="1:15">
      <c r="A575" s="63" t="s">
        <v>849</v>
      </c>
      <c r="B575" s="14" t="str">
        <f>VLOOKUP(O575,'护理记录单文书字典(数据)'!B$4:C$99,2,0)</f>
        <v>6B4C59350CFAB211B4B450B5017BE817</v>
      </c>
      <c r="C575" s="75" t="s">
        <v>1495</v>
      </c>
      <c r="D575" s="75" t="s">
        <v>1496</v>
      </c>
      <c r="E575" s="92">
        <v>4</v>
      </c>
      <c r="F575" s="92">
        <v>4</v>
      </c>
      <c r="G575" s="75" t="s">
        <v>1192</v>
      </c>
      <c r="H575" s="75"/>
      <c r="I575" s="75"/>
      <c r="J575" s="75" t="s">
        <v>162</v>
      </c>
      <c r="K575" s="75" t="s">
        <v>509</v>
      </c>
      <c r="L575" s="75" t="s">
        <v>535</v>
      </c>
      <c r="M575" s="75" t="s">
        <v>509</v>
      </c>
      <c r="N575" s="75" t="s">
        <v>535</v>
      </c>
      <c r="O575" s="75" t="s">
        <v>1470</v>
      </c>
    </row>
    <row r="576" spans="1:15">
      <c r="A576" s="63" t="s">
        <v>849</v>
      </c>
      <c r="B576" s="14" t="str">
        <f>VLOOKUP(O576,'护理记录单文书字典(数据)'!B$4:C$99,2,0)</f>
        <v>6B4C59350CFAB211B4B450B5017BE817</v>
      </c>
      <c r="C576" s="75" t="s">
        <v>1497</v>
      </c>
      <c r="D576" s="75" t="s">
        <v>1498</v>
      </c>
      <c r="E576" s="92">
        <v>1</v>
      </c>
      <c r="F576" s="92">
        <v>1</v>
      </c>
      <c r="G576" s="75" t="s">
        <v>962</v>
      </c>
      <c r="H576" s="75"/>
      <c r="I576" s="75"/>
      <c r="J576" s="75" t="s">
        <v>162</v>
      </c>
      <c r="K576" s="75" t="s">
        <v>509</v>
      </c>
      <c r="L576" s="75" t="s">
        <v>535</v>
      </c>
      <c r="M576" s="75" t="s">
        <v>509</v>
      </c>
      <c r="N576" s="75" t="s">
        <v>535</v>
      </c>
      <c r="O576" s="75" t="s">
        <v>1470</v>
      </c>
    </row>
    <row r="577" spans="1:15">
      <c r="A577" s="63" t="s">
        <v>849</v>
      </c>
      <c r="B577" s="14" t="str">
        <f>VLOOKUP(O577,'护理记录单文书字典(数据)'!B$4:C$99,2,0)</f>
        <v>6B4C59350CFAB211B4B450B5017BE817</v>
      </c>
      <c r="C577" s="75" t="s">
        <v>1497</v>
      </c>
      <c r="D577" s="75" t="s">
        <v>1498</v>
      </c>
      <c r="E577" s="92">
        <v>2</v>
      </c>
      <c r="F577" s="92">
        <v>2</v>
      </c>
      <c r="G577" s="75" t="s">
        <v>1190</v>
      </c>
      <c r="H577" s="75"/>
      <c r="I577" s="75"/>
      <c r="J577" s="75" t="s">
        <v>162</v>
      </c>
      <c r="K577" s="75" t="s">
        <v>509</v>
      </c>
      <c r="L577" s="75" t="s">
        <v>535</v>
      </c>
      <c r="M577" s="75" t="s">
        <v>509</v>
      </c>
      <c r="N577" s="75" t="s">
        <v>535</v>
      </c>
      <c r="O577" s="75" t="s">
        <v>1470</v>
      </c>
    </row>
    <row r="578" spans="1:15">
      <c r="A578" s="63" t="s">
        <v>849</v>
      </c>
      <c r="B578" s="14" t="str">
        <f>VLOOKUP(O578,'护理记录单文书字典(数据)'!B$4:C$99,2,0)</f>
        <v>6B4C59350CFAB211B4B450B5017BE817</v>
      </c>
      <c r="C578" s="75" t="s">
        <v>1497</v>
      </c>
      <c r="D578" s="75" t="s">
        <v>1498</v>
      </c>
      <c r="E578" s="92">
        <v>3</v>
      </c>
      <c r="F578" s="92">
        <v>3</v>
      </c>
      <c r="G578" s="75" t="s">
        <v>1191</v>
      </c>
      <c r="H578" s="75"/>
      <c r="I578" s="75"/>
      <c r="J578" s="75" t="s">
        <v>162</v>
      </c>
      <c r="K578" s="75" t="s">
        <v>509</v>
      </c>
      <c r="L578" s="75" t="s">
        <v>535</v>
      </c>
      <c r="M578" s="75" t="s">
        <v>509</v>
      </c>
      <c r="N578" s="75" t="s">
        <v>535</v>
      </c>
      <c r="O578" s="75" t="s">
        <v>1470</v>
      </c>
    </row>
    <row r="579" spans="1:15">
      <c r="A579" s="63" t="s">
        <v>849</v>
      </c>
      <c r="B579" s="14" t="str">
        <f>VLOOKUP(O579,'护理记录单文书字典(数据)'!B$4:C$99,2,0)</f>
        <v>6B4C59350CFAB211B4B450B5017BE817</v>
      </c>
      <c r="C579" s="75" t="s">
        <v>1497</v>
      </c>
      <c r="D579" s="75" t="s">
        <v>1498</v>
      </c>
      <c r="E579" s="92">
        <v>4</v>
      </c>
      <c r="F579" s="92">
        <v>4</v>
      </c>
      <c r="G579" s="75" t="s">
        <v>1192</v>
      </c>
      <c r="H579" s="75"/>
      <c r="I579" s="75"/>
      <c r="J579" s="75" t="s">
        <v>162</v>
      </c>
      <c r="K579" s="75" t="s">
        <v>509</v>
      </c>
      <c r="L579" s="75" t="s">
        <v>535</v>
      </c>
      <c r="M579" s="75" t="s">
        <v>509</v>
      </c>
      <c r="N579" s="75" t="s">
        <v>535</v>
      </c>
      <c r="O579" s="75" t="s">
        <v>1470</v>
      </c>
    </row>
    <row r="580" spans="1:15">
      <c r="A580" s="63" t="s">
        <v>849</v>
      </c>
      <c r="B580" s="14" t="str">
        <f>VLOOKUP(O580,'护理记录单文书字典(数据)'!B$4:C$99,2,0)</f>
        <v>6B4C59350CFAB211B4B450B5017BE817</v>
      </c>
      <c r="C580" s="75" t="s">
        <v>1499</v>
      </c>
      <c r="D580" s="75" t="s">
        <v>1500</v>
      </c>
      <c r="E580" s="92">
        <v>1</v>
      </c>
      <c r="F580" s="92">
        <v>1</v>
      </c>
      <c r="G580" s="75" t="s">
        <v>1462</v>
      </c>
      <c r="H580" s="75"/>
      <c r="I580" s="75"/>
      <c r="J580" s="75" t="s">
        <v>162</v>
      </c>
      <c r="K580" s="75" t="s">
        <v>509</v>
      </c>
      <c r="L580" s="75" t="s">
        <v>535</v>
      </c>
      <c r="M580" s="75" t="s">
        <v>509</v>
      </c>
      <c r="N580" s="75" t="s">
        <v>535</v>
      </c>
      <c r="O580" s="75" t="s">
        <v>1470</v>
      </c>
    </row>
    <row r="581" spans="1:15">
      <c r="A581" s="63" t="s">
        <v>849</v>
      </c>
      <c r="B581" s="14" t="str">
        <f>VLOOKUP(O581,'护理记录单文书字典(数据)'!B$4:C$99,2,0)</f>
        <v>6B4C59350CFAB211B4B450B5017BE817</v>
      </c>
      <c r="C581" s="75" t="s">
        <v>1499</v>
      </c>
      <c r="D581" s="75" t="s">
        <v>1500</v>
      </c>
      <c r="E581" s="92">
        <v>2</v>
      </c>
      <c r="F581" s="92">
        <v>2</v>
      </c>
      <c r="G581" s="75" t="s">
        <v>1464</v>
      </c>
      <c r="H581" s="75"/>
      <c r="I581" s="75"/>
      <c r="J581" s="75" t="s">
        <v>162</v>
      </c>
      <c r="K581" s="75" t="s">
        <v>509</v>
      </c>
      <c r="L581" s="75" t="s">
        <v>535</v>
      </c>
      <c r="M581" s="75" t="s">
        <v>509</v>
      </c>
      <c r="N581" s="75" t="s">
        <v>535</v>
      </c>
      <c r="O581" s="75" t="s">
        <v>1470</v>
      </c>
    </row>
    <row r="582" spans="1:15">
      <c r="A582" s="63" t="s">
        <v>849</v>
      </c>
      <c r="B582" s="14" t="str">
        <f>VLOOKUP(O582,'护理记录单文书字典(数据)'!B$4:C$99,2,0)</f>
        <v>6B4C59350CFAB211B4B450B5017BE817</v>
      </c>
      <c r="C582" s="75" t="s">
        <v>1499</v>
      </c>
      <c r="D582" s="75" t="s">
        <v>1500</v>
      </c>
      <c r="E582" s="92">
        <v>3</v>
      </c>
      <c r="F582" s="92">
        <v>3</v>
      </c>
      <c r="G582" s="75" t="s">
        <v>1465</v>
      </c>
      <c r="H582" s="75"/>
      <c r="I582" s="75"/>
      <c r="J582" s="75" t="s">
        <v>162</v>
      </c>
      <c r="K582" s="75" t="s">
        <v>509</v>
      </c>
      <c r="L582" s="75" t="s">
        <v>535</v>
      </c>
      <c r="M582" s="75" t="s">
        <v>509</v>
      </c>
      <c r="N582" s="75" t="s">
        <v>535</v>
      </c>
      <c r="O582" s="75" t="s">
        <v>1470</v>
      </c>
    </row>
    <row r="583" spans="1:15">
      <c r="A583" s="63" t="s">
        <v>849</v>
      </c>
      <c r="B583" s="14" t="str">
        <f>VLOOKUP(O583,'护理记录单文书字典(数据)'!B$4:C$99,2,0)</f>
        <v>6B4C59350CFAB211B4B450B5017BE817</v>
      </c>
      <c r="C583" s="75" t="s">
        <v>1499</v>
      </c>
      <c r="D583" s="75" t="s">
        <v>1500</v>
      </c>
      <c r="E583" s="92">
        <v>4</v>
      </c>
      <c r="F583" s="92">
        <v>4</v>
      </c>
      <c r="G583" s="75" t="s">
        <v>1467</v>
      </c>
      <c r="H583" s="75"/>
      <c r="I583" s="75"/>
      <c r="J583" s="75" t="s">
        <v>162</v>
      </c>
      <c r="K583" s="75" t="s">
        <v>509</v>
      </c>
      <c r="L583" s="75" t="s">
        <v>535</v>
      </c>
      <c r="M583" s="75" t="s">
        <v>509</v>
      </c>
      <c r="N583" s="75" t="s">
        <v>535</v>
      </c>
      <c r="O583" s="75" t="s">
        <v>1470</v>
      </c>
    </row>
    <row r="584" spans="1:15">
      <c r="A584" s="63" t="s">
        <v>849</v>
      </c>
      <c r="B584" s="14" t="str">
        <f>VLOOKUP(O584,'护理记录单文书字典(数据)'!B$4:C$99,2,0)</f>
        <v>6B4C59350CFAB211B4B450B5017BE817</v>
      </c>
      <c r="C584" s="75" t="s">
        <v>1501</v>
      </c>
      <c r="D584" s="75" t="s">
        <v>1502</v>
      </c>
      <c r="E584" s="92">
        <v>1</v>
      </c>
      <c r="F584" s="92">
        <v>1</v>
      </c>
      <c r="G584" s="75" t="s">
        <v>1503</v>
      </c>
      <c r="H584" s="75"/>
      <c r="I584" s="75"/>
      <c r="J584" s="75" t="s">
        <v>162</v>
      </c>
      <c r="K584" s="75" t="s">
        <v>509</v>
      </c>
      <c r="L584" s="75" t="s">
        <v>535</v>
      </c>
      <c r="M584" s="75" t="s">
        <v>509</v>
      </c>
      <c r="N584" s="75" t="s">
        <v>535</v>
      </c>
      <c r="O584" s="75" t="s">
        <v>1470</v>
      </c>
    </row>
    <row r="585" spans="1:15">
      <c r="A585" s="63" t="s">
        <v>849</v>
      </c>
      <c r="B585" s="14" t="str">
        <f>VLOOKUP(O585,'护理记录单文书字典(数据)'!B$4:C$99,2,0)</f>
        <v>6B4C59350CFAB211B4B450B5017BE817</v>
      </c>
      <c r="C585" s="75" t="s">
        <v>1501</v>
      </c>
      <c r="D585" s="75" t="s">
        <v>1502</v>
      </c>
      <c r="E585" s="92">
        <v>2</v>
      </c>
      <c r="F585" s="92">
        <v>2</v>
      </c>
      <c r="G585" s="75" t="s">
        <v>1504</v>
      </c>
      <c r="H585" s="75"/>
      <c r="I585" s="75"/>
      <c r="J585" s="75" t="s">
        <v>162</v>
      </c>
      <c r="K585" s="75" t="s">
        <v>509</v>
      </c>
      <c r="L585" s="75" t="s">
        <v>535</v>
      </c>
      <c r="M585" s="75" t="s">
        <v>509</v>
      </c>
      <c r="N585" s="75" t="s">
        <v>535</v>
      </c>
      <c r="O585" s="75" t="s">
        <v>1470</v>
      </c>
    </row>
    <row r="586" spans="1:15">
      <c r="A586" s="63" t="s">
        <v>849</v>
      </c>
      <c r="B586" s="14" t="str">
        <f>VLOOKUP(O586,'护理记录单文书字典(数据)'!B$4:C$99,2,0)</f>
        <v>6B4C59350CFAB211B4B450B5017BE817</v>
      </c>
      <c r="C586" s="75" t="s">
        <v>1501</v>
      </c>
      <c r="D586" s="75" t="s">
        <v>1502</v>
      </c>
      <c r="E586" s="92">
        <v>3</v>
      </c>
      <c r="F586" s="92">
        <v>3</v>
      </c>
      <c r="G586" s="75" t="s">
        <v>1505</v>
      </c>
      <c r="H586" s="75"/>
      <c r="I586" s="75"/>
      <c r="J586" s="75" t="s">
        <v>162</v>
      </c>
      <c r="K586" s="75" t="s">
        <v>509</v>
      </c>
      <c r="L586" s="75" t="s">
        <v>535</v>
      </c>
      <c r="M586" s="75" t="s">
        <v>509</v>
      </c>
      <c r="N586" s="75" t="s">
        <v>535</v>
      </c>
      <c r="O586" s="75" t="s">
        <v>1470</v>
      </c>
    </row>
    <row r="587" spans="1:15">
      <c r="A587" s="63" t="s">
        <v>849</v>
      </c>
      <c r="B587" s="14" t="str">
        <f>VLOOKUP(O587,'护理记录单文书字典(数据)'!B$4:C$99,2,0)</f>
        <v>6B4C59350CFAB211B4B450B5017BE817</v>
      </c>
      <c r="C587" s="75" t="s">
        <v>1506</v>
      </c>
      <c r="D587" s="75" t="s">
        <v>1507</v>
      </c>
      <c r="E587" s="92">
        <v>1</v>
      </c>
      <c r="F587" s="92">
        <v>1</v>
      </c>
      <c r="G587" s="75" t="s">
        <v>1508</v>
      </c>
      <c r="H587" s="75"/>
      <c r="I587" s="75"/>
      <c r="J587" s="75" t="s">
        <v>162</v>
      </c>
      <c r="K587" s="75" t="s">
        <v>509</v>
      </c>
      <c r="L587" s="75" t="s">
        <v>535</v>
      </c>
      <c r="M587" s="75" t="s">
        <v>509</v>
      </c>
      <c r="N587" s="75" t="s">
        <v>535</v>
      </c>
      <c r="O587" s="75" t="s">
        <v>1470</v>
      </c>
    </row>
    <row r="588" spans="1:15">
      <c r="A588" s="63" t="s">
        <v>849</v>
      </c>
      <c r="B588" s="14" t="str">
        <f>VLOOKUP(O588,'护理记录单文书字典(数据)'!B$4:C$99,2,0)</f>
        <v>6B4C59350CFAB211B4B450B5017BE817</v>
      </c>
      <c r="C588" s="75" t="s">
        <v>1506</v>
      </c>
      <c r="D588" s="75" t="s">
        <v>1507</v>
      </c>
      <c r="E588" s="92">
        <v>2</v>
      </c>
      <c r="F588" s="92">
        <v>2</v>
      </c>
      <c r="G588" s="75" t="s">
        <v>1509</v>
      </c>
      <c r="H588" s="75"/>
      <c r="I588" s="75"/>
      <c r="J588" s="75" t="s">
        <v>162</v>
      </c>
      <c r="K588" s="75" t="s">
        <v>509</v>
      </c>
      <c r="L588" s="75" t="s">
        <v>535</v>
      </c>
      <c r="M588" s="75" t="s">
        <v>509</v>
      </c>
      <c r="N588" s="75" t="s">
        <v>535</v>
      </c>
      <c r="O588" s="75" t="s">
        <v>1470</v>
      </c>
    </row>
    <row r="589" spans="1:15">
      <c r="A589" s="63" t="s">
        <v>849</v>
      </c>
      <c r="B589" s="14" t="str">
        <f>VLOOKUP(O589,'护理记录单文书字典(数据)'!B$4:C$99,2,0)</f>
        <v>6B4C59350CFAB211B4B450B5017BE817</v>
      </c>
      <c r="C589" s="75" t="s">
        <v>1506</v>
      </c>
      <c r="D589" s="75" t="s">
        <v>1507</v>
      </c>
      <c r="E589" s="92">
        <v>3</v>
      </c>
      <c r="F589" s="92">
        <v>3</v>
      </c>
      <c r="G589" s="75" t="s">
        <v>1510</v>
      </c>
      <c r="H589" s="75"/>
      <c r="I589" s="75"/>
      <c r="J589" s="75" t="s">
        <v>162</v>
      </c>
      <c r="K589" s="75" t="s">
        <v>509</v>
      </c>
      <c r="L589" s="75" t="s">
        <v>535</v>
      </c>
      <c r="M589" s="75" t="s">
        <v>509</v>
      </c>
      <c r="N589" s="75" t="s">
        <v>535</v>
      </c>
      <c r="O589" s="75" t="s">
        <v>1470</v>
      </c>
    </row>
    <row r="590" spans="1:15">
      <c r="A590" s="63" t="s">
        <v>849</v>
      </c>
      <c r="B590" s="14" t="str">
        <f>VLOOKUP(O590,'护理记录单文书字典(数据)'!B$4:C$99,2,0)</f>
        <v>6B4C59350CFAB211B4B450B5017BE817</v>
      </c>
      <c r="C590" s="75" t="s">
        <v>1511</v>
      </c>
      <c r="D590" s="75" t="s">
        <v>1512</v>
      </c>
      <c r="E590" s="92">
        <v>1</v>
      </c>
      <c r="F590" s="92">
        <v>1</v>
      </c>
      <c r="G590" s="75" t="s">
        <v>1513</v>
      </c>
      <c r="H590" s="75"/>
      <c r="I590" s="75"/>
      <c r="J590" s="75" t="s">
        <v>162</v>
      </c>
      <c r="K590" s="75" t="s">
        <v>509</v>
      </c>
      <c r="L590" s="75" t="s">
        <v>535</v>
      </c>
      <c r="M590" s="75" t="s">
        <v>509</v>
      </c>
      <c r="N590" s="75" t="s">
        <v>535</v>
      </c>
      <c r="O590" s="75" t="s">
        <v>1470</v>
      </c>
    </row>
    <row r="591" spans="1:15">
      <c r="A591" s="63" t="s">
        <v>849</v>
      </c>
      <c r="B591" s="14" t="str">
        <f>VLOOKUP(O591,'护理记录单文书字典(数据)'!B$4:C$99,2,0)</f>
        <v>6B4C59350CFAB211B4B450B5017BE817</v>
      </c>
      <c r="C591" s="75" t="s">
        <v>1511</v>
      </c>
      <c r="D591" s="75" t="s">
        <v>1512</v>
      </c>
      <c r="E591" s="92">
        <v>2</v>
      </c>
      <c r="F591" s="92">
        <v>2</v>
      </c>
      <c r="G591" s="75" t="s">
        <v>1514</v>
      </c>
      <c r="H591" s="75"/>
      <c r="I591" s="75"/>
      <c r="J591" s="75" t="s">
        <v>162</v>
      </c>
      <c r="K591" s="75" t="s">
        <v>509</v>
      </c>
      <c r="L591" s="75" t="s">
        <v>535</v>
      </c>
      <c r="M591" s="75" t="s">
        <v>509</v>
      </c>
      <c r="N591" s="75" t="s">
        <v>535</v>
      </c>
      <c r="O591" s="75" t="s">
        <v>1470</v>
      </c>
    </row>
    <row r="592" spans="1:15">
      <c r="A592" s="63" t="s">
        <v>849</v>
      </c>
      <c r="B592" s="14" t="str">
        <f>VLOOKUP(O592,'护理记录单文书字典(数据)'!B$4:C$99,2,0)</f>
        <v>6B4C59350CFAB211B4B450B5017BE817</v>
      </c>
      <c r="C592" s="75" t="s">
        <v>1511</v>
      </c>
      <c r="D592" s="75" t="s">
        <v>1512</v>
      </c>
      <c r="E592" s="92">
        <v>3</v>
      </c>
      <c r="F592" s="92">
        <v>3</v>
      </c>
      <c r="G592" s="75" t="s">
        <v>1515</v>
      </c>
      <c r="H592" s="75"/>
      <c r="I592" s="75"/>
      <c r="J592" s="75" t="s">
        <v>162</v>
      </c>
      <c r="K592" s="75" t="s">
        <v>509</v>
      </c>
      <c r="L592" s="75" t="s">
        <v>535</v>
      </c>
      <c r="M592" s="75" t="s">
        <v>509</v>
      </c>
      <c r="N592" s="75" t="s">
        <v>535</v>
      </c>
      <c r="O592" s="75" t="s">
        <v>1470</v>
      </c>
    </row>
    <row r="593" spans="1:15">
      <c r="A593" s="63" t="s">
        <v>849</v>
      </c>
      <c r="B593" s="14" t="str">
        <f>VLOOKUP(O593,'护理记录单文书字典(数据)'!B$4:C$99,2,0)</f>
        <v>6B4C59350CFAB211B4B450B5017BE817</v>
      </c>
      <c r="C593" s="75" t="s">
        <v>1516</v>
      </c>
      <c r="D593" s="75" t="s">
        <v>1517</v>
      </c>
      <c r="E593" s="92">
        <v>1</v>
      </c>
      <c r="F593" s="92">
        <v>1</v>
      </c>
      <c r="G593" s="75" t="s">
        <v>1518</v>
      </c>
      <c r="H593" s="75"/>
      <c r="I593" s="75"/>
      <c r="J593" s="75" t="s">
        <v>162</v>
      </c>
      <c r="K593" s="75" t="s">
        <v>509</v>
      </c>
      <c r="L593" s="75" t="s">
        <v>535</v>
      </c>
      <c r="M593" s="75" t="s">
        <v>509</v>
      </c>
      <c r="N593" s="75" t="s">
        <v>535</v>
      </c>
      <c r="O593" s="75" t="s">
        <v>1470</v>
      </c>
    </row>
    <row r="594" spans="1:15">
      <c r="A594" s="63" t="s">
        <v>849</v>
      </c>
      <c r="B594" s="14" t="str">
        <f>VLOOKUP(O594,'护理记录单文书字典(数据)'!B$4:C$99,2,0)</f>
        <v>6B4C59350CFAB211B4B450B5017BE817</v>
      </c>
      <c r="C594" s="75" t="s">
        <v>1516</v>
      </c>
      <c r="D594" s="75" t="s">
        <v>1517</v>
      </c>
      <c r="E594" s="92">
        <v>2</v>
      </c>
      <c r="F594" s="92">
        <v>2</v>
      </c>
      <c r="G594" s="75" t="s">
        <v>982</v>
      </c>
      <c r="H594" s="75"/>
      <c r="I594" s="75"/>
      <c r="J594" s="75" t="s">
        <v>162</v>
      </c>
      <c r="K594" s="75" t="s">
        <v>509</v>
      </c>
      <c r="L594" s="75" t="s">
        <v>535</v>
      </c>
      <c r="M594" s="75" t="s">
        <v>509</v>
      </c>
      <c r="N594" s="75" t="s">
        <v>535</v>
      </c>
      <c r="O594" s="75" t="s">
        <v>1470</v>
      </c>
    </row>
    <row r="595" spans="1:15">
      <c r="A595" s="63" t="s">
        <v>849</v>
      </c>
      <c r="B595" s="14" t="str">
        <f>VLOOKUP(O595,'护理记录单文书字典(数据)'!B$4:C$99,2,0)</f>
        <v>6B4C59350CFAB211B4B450B5017BE817</v>
      </c>
      <c r="C595" s="75" t="s">
        <v>1516</v>
      </c>
      <c r="D595" s="75" t="s">
        <v>1517</v>
      </c>
      <c r="E595" s="92">
        <v>3</v>
      </c>
      <c r="F595" s="92">
        <v>3</v>
      </c>
      <c r="G595" s="75" t="s">
        <v>1519</v>
      </c>
      <c r="H595" s="75"/>
      <c r="I595" s="75"/>
      <c r="J595" s="75" t="s">
        <v>162</v>
      </c>
      <c r="K595" s="75" t="s">
        <v>509</v>
      </c>
      <c r="L595" s="75" t="s">
        <v>535</v>
      </c>
      <c r="M595" s="75" t="s">
        <v>509</v>
      </c>
      <c r="N595" s="75" t="s">
        <v>535</v>
      </c>
      <c r="O595" s="75" t="s">
        <v>1470</v>
      </c>
    </row>
    <row r="596" spans="1:15">
      <c r="A596" s="63" t="s">
        <v>849</v>
      </c>
      <c r="B596" s="14" t="str">
        <f>VLOOKUP(O596,'护理记录单文书字典(数据)'!B$4:C$99,2,0)</f>
        <v>6B4C59350CFAB211B4B450B5017BE817</v>
      </c>
      <c r="C596" s="75" t="s">
        <v>1520</v>
      </c>
      <c r="D596" s="75" t="s">
        <v>1521</v>
      </c>
      <c r="E596" s="92">
        <v>1</v>
      </c>
      <c r="F596" s="92">
        <v>1</v>
      </c>
      <c r="G596" s="75" t="s">
        <v>981</v>
      </c>
      <c r="H596" s="75"/>
      <c r="I596" s="75"/>
      <c r="J596" s="75" t="s">
        <v>162</v>
      </c>
      <c r="K596" s="75" t="s">
        <v>509</v>
      </c>
      <c r="L596" s="75" t="s">
        <v>535</v>
      </c>
      <c r="M596" s="75" t="s">
        <v>509</v>
      </c>
      <c r="N596" s="75" t="s">
        <v>535</v>
      </c>
      <c r="O596" s="75" t="s">
        <v>1470</v>
      </c>
    </row>
    <row r="597" spans="1:15">
      <c r="A597" s="63" t="s">
        <v>849</v>
      </c>
      <c r="B597" s="14" t="str">
        <f>VLOOKUP(O597,'护理记录单文书字典(数据)'!B$4:C$99,2,0)</f>
        <v>6B4C59350CFAB211B4B450B5017BE817</v>
      </c>
      <c r="C597" s="75" t="s">
        <v>1520</v>
      </c>
      <c r="D597" s="75" t="s">
        <v>1521</v>
      </c>
      <c r="E597" s="92">
        <v>2</v>
      </c>
      <c r="F597" s="92">
        <v>2</v>
      </c>
      <c r="G597" s="75" t="s">
        <v>982</v>
      </c>
      <c r="H597" s="75"/>
      <c r="I597" s="75"/>
      <c r="J597" s="75" t="s">
        <v>162</v>
      </c>
      <c r="K597" s="75" t="s">
        <v>509</v>
      </c>
      <c r="L597" s="75" t="s">
        <v>535</v>
      </c>
      <c r="M597" s="75" t="s">
        <v>509</v>
      </c>
      <c r="N597" s="75" t="s">
        <v>535</v>
      </c>
      <c r="O597" s="75" t="s">
        <v>1470</v>
      </c>
    </row>
    <row r="598" spans="1:15">
      <c r="A598" s="63" t="s">
        <v>849</v>
      </c>
      <c r="B598" s="14" t="str">
        <f>VLOOKUP(O598,'护理记录单文书字典(数据)'!B$4:C$99,2,0)</f>
        <v>6B4C59350CFAB211B4B450B5017BE817</v>
      </c>
      <c r="C598" s="75" t="s">
        <v>1520</v>
      </c>
      <c r="D598" s="75" t="s">
        <v>1521</v>
      </c>
      <c r="E598" s="92">
        <v>3</v>
      </c>
      <c r="F598" s="92">
        <v>3</v>
      </c>
      <c r="G598" s="75" t="s">
        <v>983</v>
      </c>
      <c r="H598" s="75"/>
      <c r="I598" s="75"/>
      <c r="J598" s="75" t="s">
        <v>162</v>
      </c>
      <c r="K598" s="75" t="s">
        <v>509</v>
      </c>
      <c r="L598" s="75" t="s">
        <v>535</v>
      </c>
      <c r="M598" s="75" t="s">
        <v>509</v>
      </c>
      <c r="N598" s="75" t="s">
        <v>535</v>
      </c>
      <c r="O598" s="75" t="s">
        <v>1470</v>
      </c>
    </row>
    <row r="599" spans="1:15">
      <c r="A599" s="63" t="s">
        <v>849</v>
      </c>
      <c r="B599" s="14" t="str">
        <f>VLOOKUP(O599,'护理记录单文书字典(数据)'!B$4:C$99,2,0)</f>
        <v>6B4C59350CFAB211B4B450B5017BE817</v>
      </c>
      <c r="C599" s="75" t="s">
        <v>1522</v>
      </c>
      <c r="D599" s="75" t="s">
        <v>1523</v>
      </c>
      <c r="E599" s="92">
        <v>1</v>
      </c>
      <c r="F599" s="92">
        <v>1</v>
      </c>
      <c r="G599" s="75" t="s">
        <v>981</v>
      </c>
      <c r="H599" s="75"/>
      <c r="I599" s="75"/>
      <c r="J599" s="75" t="s">
        <v>162</v>
      </c>
      <c r="K599" s="75" t="s">
        <v>509</v>
      </c>
      <c r="L599" s="75" t="s">
        <v>535</v>
      </c>
      <c r="M599" s="75" t="s">
        <v>509</v>
      </c>
      <c r="N599" s="75" t="s">
        <v>535</v>
      </c>
      <c r="O599" s="75" t="s">
        <v>1470</v>
      </c>
    </row>
    <row r="600" spans="1:15">
      <c r="A600" s="63" t="s">
        <v>849</v>
      </c>
      <c r="B600" s="14" t="str">
        <f>VLOOKUP(O600,'护理记录单文书字典(数据)'!B$4:C$99,2,0)</f>
        <v>6B4C59350CFAB211B4B450B5017BE817</v>
      </c>
      <c r="C600" s="75" t="s">
        <v>1522</v>
      </c>
      <c r="D600" s="75" t="s">
        <v>1523</v>
      </c>
      <c r="E600" s="92">
        <v>2</v>
      </c>
      <c r="F600" s="92">
        <v>2</v>
      </c>
      <c r="G600" s="75" t="s">
        <v>982</v>
      </c>
      <c r="H600" s="75"/>
      <c r="I600" s="75"/>
      <c r="J600" s="75" t="s">
        <v>162</v>
      </c>
      <c r="K600" s="75" t="s">
        <v>509</v>
      </c>
      <c r="L600" s="75" t="s">
        <v>535</v>
      </c>
      <c r="M600" s="75" t="s">
        <v>509</v>
      </c>
      <c r="N600" s="75" t="s">
        <v>535</v>
      </c>
      <c r="O600" s="75" t="s">
        <v>1470</v>
      </c>
    </row>
    <row r="601" spans="1:15">
      <c r="A601" s="63" t="s">
        <v>849</v>
      </c>
      <c r="B601" s="14" t="str">
        <f>VLOOKUP(O601,'护理记录单文书字典(数据)'!B$4:C$99,2,0)</f>
        <v>6B4C59350CFAB211B4B450B5017BE817</v>
      </c>
      <c r="C601" s="75" t="s">
        <v>1522</v>
      </c>
      <c r="D601" s="75" t="s">
        <v>1523</v>
      </c>
      <c r="E601" s="92">
        <v>3</v>
      </c>
      <c r="F601" s="92">
        <v>3</v>
      </c>
      <c r="G601" s="75" t="s">
        <v>983</v>
      </c>
      <c r="H601" s="75"/>
      <c r="I601" s="75"/>
      <c r="J601" s="75" t="s">
        <v>162</v>
      </c>
      <c r="K601" s="75" t="s">
        <v>509</v>
      </c>
      <c r="L601" s="75" t="s">
        <v>535</v>
      </c>
      <c r="M601" s="75" t="s">
        <v>509</v>
      </c>
      <c r="N601" s="75" t="s">
        <v>535</v>
      </c>
      <c r="O601" s="75" t="s">
        <v>1470</v>
      </c>
    </row>
    <row r="602" spans="1:15">
      <c r="A602" s="63" t="s">
        <v>849</v>
      </c>
      <c r="B602" s="14" t="str">
        <f>VLOOKUP(O602,'护理记录单文书字典(数据)'!B$4:C$99,2,0)</f>
        <v>6B4C59350CFAB211B4B450B5017BE817</v>
      </c>
      <c r="C602" s="170" t="s">
        <v>2737</v>
      </c>
      <c r="D602" s="170" t="s">
        <v>2738</v>
      </c>
      <c r="E602" s="171">
        <v>1</v>
      </c>
      <c r="F602" s="171">
        <v>0</v>
      </c>
      <c r="G602" s="170" t="s">
        <v>961</v>
      </c>
      <c r="H602" s="170"/>
      <c r="I602" s="170"/>
      <c r="J602" s="170" t="s">
        <v>162</v>
      </c>
      <c r="K602" s="170" t="s">
        <v>509</v>
      </c>
      <c r="L602" s="170" t="s">
        <v>535</v>
      </c>
      <c r="M602" s="170" t="s">
        <v>509</v>
      </c>
      <c r="N602" s="170" t="s">
        <v>535</v>
      </c>
      <c r="O602" s="170" t="s">
        <v>2739</v>
      </c>
    </row>
    <row r="603" spans="1:15">
      <c r="A603" s="63" t="s">
        <v>849</v>
      </c>
      <c r="B603" s="14" t="str">
        <f>VLOOKUP(O603,'护理记录单文书字典(数据)'!B$4:C$99,2,0)</f>
        <v>6B4C59350CFAB211B4B450B5017BE817</v>
      </c>
      <c r="C603" s="170" t="s">
        <v>2737</v>
      </c>
      <c r="D603" s="170" t="s">
        <v>2738</v>
      </c>
      <c r="E603" s="171">
        <v>2</v>
      </c>
      <c r="F603" s="171">
        <v>1</v>
      </c>
      <c r="G603" s="170" t="s">
        <v>962</v>
      </c>
      <c r="H603" s="170"/>
      <c r="I603" s="170"/>
      <c r="J603" s="170" t="s">
        <v>162</v>
      </c>
      <c r="K603" s="170" t="s">
        <v>509</v>
      </c>
      <c r="L603" s="170" t="s">
        <v>535</v>
      </c>
      <c r="M603" s="170" t="s">
        <v>509</v>
      </c>
      <c r="N603" s="170" t="s">
        <v>535</v>
      </c>
      <c r="O603" s="170" t="s">
        <v>1470</v>
      </c>
    </row>
    <row r="604" spans="1:15">
      <c r="A604" s="63" t="s">
        <v>849</v>
      </c>
      <c r="B604" s="14" t="str">
        <f>VLOOKUP(O604,'护理记录单文书字典(数据)'!B$4:C$99,2,0)</f>
        <v>6B4C59350CFAB211B4B450B5017BE817</v>
      </c>
      <c r="C604" s="170" t="s">
        <v>2740</v>
      </c>
      <c r="D604" s="170" t="s">
        <v>2741</v>
      </c>
      <c r="E604" s="171">
        <v>1</v>
      </c>
      <c r="F604" s="171">
        <v>1</v>
      </c>
      <c r="G604" s="170" t="s">
        <v>2742</v>
      </c>
      <c r="H604" s="170"/>
      <c r="I604" s="170"/>
      <c r="J604" s="170" t="s">
        <v>162</v>
      </c>
      <c r="K604" s="170" t="s">
        <v>509</v>
      </c>
      <c r="L604" s="170" t="s">
        <v>535</v>
      </c>
      <c r="M604" s="170" t="s">
        <v>509</v>
      </c>
      <c r="N604" s="170" t="s">
        <v>535</v>
      </c>
      <c r="O604" s="170" t="s">
        <v>1470</v>
      </c>
    </row>
    <row r="605" spans="1:15">
      <c r="A605" s="63" t="s">
        <v>849</v>
      </c>
      <c r="B605" s="14" t="str">
        <f>VLOOKUP(O605,'护理记录单文书字典(数据)'!B$4:C$99,2,0)</f>
        <v>6B4C59350CFAB211B4B450B5017BE817</v>
      </c>
      <c r="C605" s="170" t="s">
        <v>2740</v>
      </c>
      <c r="D605" s="170" t="s">
        <v>2741</v>
      </c>
      <c r="E605" s="171">
        <v>2</v>
      </c>
      <c r="F605" s="171">
        <v>2</v>
      </c>
      <c r="G605" s="170" t="s">
        <v>2743</v>
      </c>
      <c r="H605" s="170"/>
      <c r="I605" s="170"/>
      <c r="J605" s="170" t="s">
        <v>162</v>
      </c>
      <c r="K605" s="170" t="s">
        <v>509</v>
      </c>
      <c r="L605" s="170" t="s">
        <v>535</v>
      </c>
      <c r="M605" s="170" t="s">
        <v>509</v>
      </c>
      <c r="N605" s="170" t="s">
        <v>535</v>
      </c>
      <c r="O605" s="170" t="s">
        <v>1470</v>
      </c>
    </row>
    <row r="606" spans="1:15">
      <c r="A606" s="63" t="s">
        <v>849</v>
      </c>
      <c r="B606" s="14" t="str">
        <f>VLOOKUP(O606,'护理记录单文书字典(数据)'!B$4:C$99,2,0)</f>
        <v>6B4C59350CFAB211B4B450B5017BE817</v>
      </c>
      <c r="C606" s="170" t="s">
        <v>2740</v>
      </c>
      <c r="D606" s="170" t="s">
        <v>2741</v>
      </c>
      <c r="E606" s="171">
        <v>3</v>
      </c>
      <c r="F606" s="171">
        <v>3</v>
      </c>
      <c r="G606" s="170" t="s">
        <v>2744</v>
      </c>
      <c r="H606" s="170"/>
      <c r="I606" s="170"/>
      <c r="J606" s="170" t="s">
        <v>162</v>
      </c>
      <c r="K606" s="170" t="s">
        <v>509</v>
      </c>
      <c r="L606" s="170" t="s">
        <v>535</v>
      </c>
      <c r="M606" s="170" t="s">
        <v>509</v>
      </c>
      <c r="N606" s="170" t="s">
        <v>535</v>
      </c>
      <c r="O606" s="170" t="s">
        <v>1470</v>
      </c>
    </row>
    <row r="607" spans="1:15">
      <c r="A607" s="63" t="s">
        <v>849</v>
      </c>
      <c r="B607" s="14" t="str">
        <f>VLOOKUP(O607,'护理记录单文书字典(数据)'!B$4:C$99,2,0)</f>
        <v>4DCC68350CFAB2110B8C72B42CBC9602</v>
      </c>
      <c r="C607" s="75" t="s">
        <v>942</v>
      </c>
      <c r="D607" s="75" t="s">
        <v>159</v>
      </c>
      <c r="E607" s="92">
        <v>1</v>
      </c>
      <c r="F607" s="92">
        <v>1</v>
      </c>
      <c r="G607" s="75" t="s">
        <v>943</v>
      </c>
      <c r="H607" s="75"/>
      <c r="I607" s="75"/>
      <c r="J607" s="75" t="s">
        <v>162</v>
      </c>
      <c r="K607" s="75" t="s">
        <v>509</v>
      </c>
      <c r="L607" s="75" t="s">
        <v>535</v>
      </c>
      <c r="M607" s="75" t="s">
        <v>509</v>
      </c>
      <c r="N607" s="75" t="s">
        <v>535</v>
      </c>
      <c r="O607" s="75" t="s">
        <v>1524</v>
      </c>
    </row>
    <row r="608" spans="1:15">
      <c r="A608" s="63" t="s">
        <v>849</v>
      </c>
      <c r="B608" s="14" t="str">
        <f>VLOOKUP(O608,'护理记录单文书字典(数据)'!B$4:C$99,2,0)</f>
        <v>4DCC68350CFAB2110B8C72B42CBC9602</v>
      </c>
      <c r="C608" s="75" t="s">
        <v>942</v>
      </c>
      <c r="D608" s="75" t="s">
        <v>159</v>
      </c>
      <c r="E608" s="92">
        <v>2</v>
      </c>
      <c r="F608" s="92">
        <v>2</v>
      </c>
      <c r="G608" s="75" t="s">
        <v>944</v>
      </c>
      <c r="H608" s="75"/>
      <c r="I608" s="75"/>
      <c r="J608" s="75" t="s">
        <v>162</v>
      </c>
      <c r="K608" s="75" t="s">
        <v>509</v>
      </c>
      <c r="L608" s="75" t="s">
        <v>535</v>
      </c>
      <c r="M608" s="75" t="s">
        <v>509</v>
      </c>
      <c r="N608" s="75" t="s">
        <v>535</v>
      </c>
      <c r="O608" s="75" t="s">
        <v>1524</v>
      </c>
    </row>
    <row r="609" spans="1:15">
      <c r="A609" s="63" t="s">
        <v>849</v>
      </c>
      <c r="B609" s="14" t="str">
        <f>VLOOKUP(O609,'护理记录单文书字典(数据)'!B$4:C$99,2,0)</f>
        <v>4DCC68350CFAB2110B8C72B42CBC9602</v>
      </c>
      <c r="C609" s="75" t="s">
        <v>951</v>
      </c>
      <c r="D609" s="75" t="s">
        <v>952</v>
      </c>
      <c r="E609" s="92">
        <v>1</v>
      </c>
      <c r="F609" s="92">
        <v>1</v>
      </c>
      <c r="G609" s="75" t="s">
        <v>960</v>
      </c>
      <c r="H609" s="75"/>
      <c r="I609" s="75"/>
      <c r="J609" s="75" t="s">
        <v>162</v>
      </c>
      <c r="K609" s="75" t="s">
        <v>509</v>
      </c>
      <c r="L609" s="75" t="s">
        <v>535</v>
      </c>
      <c r="M609" s="75" t="s">
        <v>509</v>
      </c>
      <c r="N609" s="75" t="s">
        <v>535</v>
      </c>
      <c r="O609" s="75" t="s">
        <v>1524</v>
      </c>
    </row>
    <row r="610" spans="1:15">
      <c r="A610" s="63" t="s">
        <v>849</v>
      </c>
      <c r="B610" s="14" t="str">
        <f>VLOOKUP(O610,'护理记录单文书字典(数据)'!B$4:C$99,2,0)</f>
        <v>4DCC68350CFAB2110B8C72B42CBC9602</v>
      </c>
      <c r="C610" s="75" t="s">
        <v>951</v>
      </c>
      <c r="D610" s="75" t="s">
        <v>952</v>
      </c>
      <c r="E610" s="92">
        <v>2</v>
      </c>
      <c r="F610" s="92">
        <v>2</v>
      </c>
      <c r="G610" s="75" t="s">
        <v>959</v>
      </c>
      <c r="H610" s="75"/>
      <c r="I610" s="75"/>
      <c r="J610" s="75" t="s">
        <v>162</v>
      </c>
      <c r="K610" s="75" t="s">
        <v>509</v>
      </c>
      <c r="L610" s="75" t="s">
        <v>535</v>
      </c>
      <c r="M610" s="75" t="s">
        <v>509</v>
      </c>
      <c r="N610" s="75" t="s">
        <v>535</v>
      </c>
      <c r="O610" s="75" t="s">
        <v>1524</v>
      </c>
    </row>
    <row r="611" spans="1:15">
      <c r="A611" s="63" t="s">
        <v>849</v>
      </c>
      <c r="B611" s="14" t="str">
        <f>VLOOKUP(O611,'护理记录单文书字典(数据)'!B$4:C$99,2,0)</f>
        <v>4DCC68350CFAB2110B8C72B42CBC9602</v>
      </c>
      <c r="C611" s="75" t="s">
        <v>951</v>
      </c>
      <c r="D611" s="75" t="s">
        <v>952</v>
      </c>
      <c r="E611" s="92">
        <v>3</v>
      </c>
      <c r="F611" s="92">
        <v>3</v>
      </c>
      <c r="G611" s="75" t="s">
        <v>1525</v>
      </c>
      <c r="H611" s="75"/>
      <c r="I611" s="75"/>
      <c r="J611" s="75" t="s">
        <v>162</v>
      </c>
      <c r="K611" s="75" t="s">
        <v>509</v>
      </c>
      <c r="L611" s="75" t="s">
        <v>535</v>
      </c>
      <c r="M611" s="75" t="s">
        <v>509</v>
      </c>
      <c r="N611" s="75" t="s">
        <v>535</v>
      </c>
      <c r="O611" s="75" t="s">
        <v>1524</v>
      </c>
    </row>
    <row r="612" spans="1:15">
      <c r="A612" s="63" t="s">
        <v>849</v>
      </c>
      <c r="B612" s="14" t="str">
        <f>VLOOKUP(O612,'护理记录单文书字典(数据)'!B$4:C$99,2,0)</f>
        <v>4DCC68350CFAB2110B8C72B42CBC9602</v>
      </c>
      <c r="C612" s="75" t="s">
        <v>951</v>
      </c>
      <c r="D612" s="75" t="s">
        <v>952</v>
      </c>
      <c r="E612" s="92">
        <v>4</v>
      </c>
      <c r="F612" s="92">
        <v>4</v>
      </c>
      <c r="G612" s="75" t="s">
        <v>1526</v>
      </c>
      <c r="H612" s="75"/>
      <c r="I612" s="75"/>
      <c r="J612" s="75" t="s">
        <v>162</v>
      </c>
      <c r="K612" s="75" t="s">
        <v>509</v>
      </c>
      <c r="L612" s="75" t="s">
        <v>535</v>
      </c>
      <c r="M612" s="75" t="s">
        <v>509</v>
      </c>
      <c r="N612" s="75" t="s">
        <v>535</v>
      </c>
      <c r="O612" s="75" t="s">
        <v>1524</v>
      </c>
    </row>
    <row r="613" spans="1:15">
      <c r="A613" s="63" t="s">
        <v>849</v>
      </c>
      <c r="B613" s="14" t="str">
        <f>VLOOKUP(O613,'护理记录单文书字典(数据)'!B$4:C$99,2,0)</f>
        <v>4DCC68350CFAB2110B8C72B42CBC9602</v>
      </c>
      <c r="C613" s="75" t="s">
        <v>1527</v>
      </c>
      <c r="D613" s="75" t="s">
        <v>1528</v>
      </c>
      <c r="E613" s="92">
        <v>1</v>
      </c>
      <c r="F613" s="92">
        <v>1</v>
      </c>
      <c r="G613" s="75" t="s">
        <v>1529</v>
      </c>
      <c r="H613" s="75"/>
      <c r="I613" s="75"/>
      <c r="J613" s="75" t="s">
        <v>162</v>
      </c>
      <c r="K613" s="75" t="s">
        <v>509</v>
      </c>
      <c r="L613" s="75" t="s">
        <v>535</v>
      </c>
      <c r="M613" s="75" t="s">
        <v>509</v>
      </c>
      <c r="N613" s="75" t="s">
        <v>535</v>
      </c>
      <c r="O613" s="75" t="s">
        <v>1524</v>
      </c>
    </row>
    <row r="614" spans="1:15">
      <c r="A614" s="63" t="s">
        <v>849</v>
      </c>
      <c r="B614" s="14" t="str">
        <f>VLOOKUP(O614,'护理记录单文书字典(数据)'!B$4:C$99,2,0)</f>
        <v>4DCC68350CFAB2110B8C72B42CBC9602</v>
      </c>
      <c r="C614" s="75" t="s">
        <v>1527</v>
      </c>
      <c r="D614" s="75" t="s">
        <v>1528</v>
      </c>
      <c r="E614" s="92">
        <v>2</v>
      </c>
      <c r="F614" s="92">
        <v>2</v>
      </c>
      <c r="G614" s="75" t="s">
        <v>1530</v>
      </c>
      <c r="H614" s="75"/>
      <c r="I614" s="75"/>
      <c r="J614" s="75" t="s">
        <v>162</v>
      </c>
      <c r="K614" s="75" t="s">
        <v>509</v>
      </c>
      <c r="L614" s="75" t="s">
        <v>535</v>
      </c>
      <c r="M614" s="75" t="s">
        <v>509</v>
      </c>
      <c r="N614" s="75" t="s">
        <v>535</v>
      </c>
      <c r="O614" s="75" t="s">
        <v>1524</v>
      </c>
    </row>
    <row r="615" spans="1:15">
      <c r="A615" s="63" t="s">
        <v>849</v>
      </c>
      <c r="B615" s="14" t="str">
        <f>VLOOKUP(O615,'护理记录单文书字典(数据)'!B$4:C$99,2,0)</f>
        <v>4DCC68350CFAB2110B8C72B42CBC9602</v>
      </c>
      <c r="C615" s="75" t="s">
        <v>1527</v>
      </c>
      <c r="D615" s="75" t="s">
        <v>1528</v>
      </c>
      <c r="E615" s="92">
        <v>3</v>
      </c>
      <c r="F615" s="92">
        <v>3</v>
      </c>
      <c r="G615" s="75" t="s">
        <v>1531</v>
      </c>
      <c r="H615" s="75"/>
      <c r="I615" s="75"/>
      <c r="J615" s="75" t="s">
        <v>162</v>
      </c>
      <c r="K615" s="75" t="s">
        <v>509</v>
      </c>
      <c r="L615" s="75" t="s">
        <v>535</v>
      </c>
      <c r="M615" s="75" t="s">
        <v>509</v>
      </c>
      <c r="N615" s="75" t="s">
        <v>535</v>
      </c>
      <c r="O615" s="75" t="s">
        <v>1524</v>
      </c>
    </row>
    <row r="616" spans="1:15">
      <c r="A616" s="63" t="s">
        <v>849</v>
      </c>
      <c r="B616" s="14" t="str">
        <f>VLOOKUP(O616,'护理记录单文书字典(数据)'!B$4:C$99,2,0)</f>
        <v>4DCC68350CFAB2110B8C72B42CBC9602</v>
      </c>
      <c r="C616" s="75" t="s">
        <v>1532</v>
      </c>
      <c r="D616" s="75" t="s">
        <v>947</v>
      </c>
      <c r="E616" s="92">
        <v>1</v>
      </c>
      <c r="F616" s="92">
        <v>1</v>
      </c>
      <c r="G616" s="75" t="s">
        <v>948</v>
      </c>
      <c r="H616" s="75"/>
      <c r="I616" s="75"/>
      <c r="J616" s="75" t="s">
        <v>162</v>
      </c>
      <c r="K616" s="75" t="s">
        <v>509</v>
      </c>
      <c r="L616" s="75" t="s">
        <v>535</v>
      </c>
      <c r="M616" s="75" t="s">
        <v>509</v>
      </c>
      <c r="N616" s="75" t="s">
        <v>535</v>
      </c>
      <c r="O616" s="75" t="s">
        <v>1524</v>
      </c>
    </row>
    <row r="617" spans="1:15">
      <c r="A617" s="63" t="s">
        <v>849</v>
      </c>
      <c r="B617" s="14" t="str">
        <f>VLOOKUP(O617,'护理记录单文书字典(数据)'!B$4:C$99,2,0)</f>
        <v>4DCC68350CFAB2110B8C72B42CBC9602</v>
      </c>
      <c r="C617" s="75" t="s">
        <v>1532</v>
      </c>
      <c r="D617" s="75" t="s">
        <v>947</v>
      </c>
      <c r="E617" s="92">
        <v>2</v>
      </c>
      <c r="F617" s="92">
        <v>2</v>
      </c>
      <c r="G617" s="75" t="s">
        <v>1533</v>
      </c>
      <c r="H617" s="75"/>
      <c r="I617" s="75"/>
      <c r="J617" s="75" t="s">
        <v>162</v>
      </c>
      <c r="K617" s="75" t="s">
        <v>509</v>
      </c>
      <c r="L617" s="75" t="s">
        <v>535</v>
      </c>
      <c r="M617" s="75" t="s">
        <v>509</v>
      </c>
      <c r="N617" s="75" t="s">
        <v>535</v>
      </c>
      <c r="O617" s="75" t="s">
        <v>1524</v>
      </c>
    </row>
    <row r="618" spans="1:15">
      <c r="A618" s="63" t="s">
        <v>849</v>
      </c>
      <c r="B618" s="14" t="str">
        <f>VLOOKUP(O618,'护理记录单文书字典(数据)'!B$4:C$99,2,0)</f>
        <v>4DCC68350CFAB2110B8C72B42CBC9602</v>
      </c>
      <c r="C618" s="75" t="s">
        <v>1532</v>
      </c>
      <c r="D618" s="75" t="s">
        <v>947</v>
      </c>
      <c r="E618" s="92">
        <v>3</v>
      </c>
      <c r="F618" s="92">
        <v>3</v>
      </c>
      <c r="G618" s="75" t="s">
        <v>1534</v>
      </c>
      <c r="H618" s="75"/>
      <c r="I618" s="75"/>
      <c r="J618" s="75" t="s">
        <v>162</v>
      </c>
      <c r="K618" s="75" t="s">
        <v>509</v>
      </c>
      <c r="L618" s="75" t="s">
        <v>535</v>
      </c>
      <c r="M618" s="75" t="s">
        <v>509</v>
      </c>
      <c r="N618" s="75" t="s">
        <v>535</v>
      </c>
      <c r="O618" s="75" t="s">
        <v>1524</v>
      </c>
    </row>
    <row r="619" spans="1:15">
      <c r="A619" s="63" t="s">
        <v>849</v>
      </c>
      <c r="B619" s="14" t="str">
        <f>VLOOKUP(O619,'护理记录单文书字典(数据)'!B$4:C$99,2,0)</f>
        <v>4DCC68350CFAB2110B8C72B42CBC9602</v>
      </c>
      <c r="C619" s="75" t="s">
        <v>1532</v>
      </c>
      <c r="D619" s="75" t="s">
        <v>947</v>
      </c>
      <c r="E619" s="92">
        <v>4</v>
      </c>
      <c r="F619" s="92">
        <v>4</v>
      </c>
      <c r="G619" s="75" t="s">
        <v>950</v>
      </c>
      <c r="H619" s="75"/>
      <c r="I619" s="75"/>
      <c r="J619" s="75" t="s">
        <v>162</v>
      </c>
      <c r="K619" s="75" t="s">
        <v>509</v>
      </c>
      <c r="L619" s="75" t="s">
        <v>535</v>
      </c>
      <c r="M619" s="75" t="s">
        <v>509</v>
      </c>
      <c r="N619" s="75" t="s">
        <v>535</v>
      </c>
      <c r="O619" s="75" t="s">
        <v>1524</v>
      </c>
    </row>
    <row r="620" spans="1:15">
      <c r="A620" s="63" t="s">
        <v>849</v>
      </c>
      <c r="B620" s="14" t="str">
        <f>VLOOKUP(O620,'护理记录单文书字典(数据)'!B$4:C$99,2,0)</f>
        <v>4DCC68350CFAB2110B8C72B42CBC9602</v>
      </c>
      <c r="C620" s="75" t="s">
        <v>1535</v>
      </c>
      <c r="D620" s="75" t="s">
        <v>1536</v>
      </c>
      <c r="E620" s="92">
        <v>1</v>
      </c>
      <c r="F620" s="92">
        <v>1</v>
      </c>
      <c r="G620" s="75" t="s">
        <v>1537</v>
      </c>
      <c r="H620" s="75"/>
      <c r="I620" s="75"/>
      <c r="J620" s="75" t="s">
        <v>162</v>
      </c>
      <c r="K620" s="75" t="s">
        <v>509</v>
      </c>
      <c r="L620" s="75" t="s">
        <v>535</v>
      </c>
      <c r="M620" s="75" t="s">
        <v>509</v>
      </c>
      <c r="N620" s="75" t="s">
        <v>535</v>
      </c>
      <c r="O620" s="75" t="s">
        <v>1524</v>
      </c>
    </row>
    <row r="621" spans="1:15">
      <c r="A621" s="63" t="s">
        <v>849</v>
      </c>
      <c r="B621" s="14" t="str">
        <f>VLOOKUP(O621,'护理记录单文书字典(数据)'!B$4:C$99,2,0)</f>
        <v>4DCC68350CFAB2110B8C72B42CBC9602</v>
      </c>
      <c r="C621" s="75" t="s">
        <v>1535</v>
      </c>
      <c r="D621" s="75" t="s">
        <v>1536</v>
      </c>
      <c r="E621" s="92">
        <v>2</v>
      </c>
      <c r="F621" s="92">
        <v>2</v>
      </c>
      <c r="G621" s="75" t="s">
        <v>1538</v>
      </c>
      <c r="H621" s="75"/>
      <c r="I621" s="75"/>
      <c r="J621" s="75" t="s">
        <v>162</v>
      </c>
      <c r="K621" s="75" t="s">
        <v>509</v>
      </c>
      <c r="L621" s="75" t="s">
        <v>535</v>
      </c>
      <c r="M621" s="75" t="s">
        <v>509</v>
      </c>
      <c r="N621" s="75" t="s">
        <v>535</v>
      </c>
      <c r="O621" s="75" t="s">
        <v>1524</v>
      </c>
    </row>
    <row r="622" spans="1:15">
      <c r="A622" s="63" t="s">
        <v>849</v>
      </c>
      <c r="B622" s="14" t="str">
        <f>VLOOKUP(O622,'护理记录单文书字典(数据)'!B$4:C$99,2,0)</f>
        <v>4DCC68350CFAB2110B8C72B42CBC9602</v>
      </c>
      <c r="C622" s="75" t="s">
        <v>1535</v>
      </c>
      <c r="D622" s="75" t="s">
        <v>1536</v>
      </c>
      <c r="E622" s="92">
        <v>3</v>
      </c>
      <c r="F622" s="92">
        <v>3</v>
      </c>
      <c r="G622" s="75" t="s">
        <v>1539</v>
      </c>
      <c r="H622" s="75"/>
      <c r="I622" s="75"/>
      <c r="J622" s="75" t="s">
        <v>162</v>
      </c>
      <c r="K622" s="75" t="s">
        <v>509</v>
      </c>
      <c r="L622" s="75" t="s">
        <v>535</v>
      </c>
      <c r="M622" s="75" t="s">
        <v>509</v>
      </c>
      <c r="N622" s="75" t="s">
        <v>535</v>
      </c>
      <c r="O622" s="75" t="s">
        <v>1524</v>
      </c>
    </row>
    <row r="623" spans="1:15">
      <c r="A623" s="63" t="s">
        <v>849</v>
      </c>
      <c r="B623" s="14" t="str">
        <f>VLOOKUP(O623,'护理记录单文书字典(数据)'!B$4:C$99,2,0)</f>
        <v>4DCC68350CFAB2110B8C72B42CBC9602</v>
      </c>
      <c r="C623" s="75" t="s">
        <v>1535</v>
      </c>
      <c r="D623" s="75" t="s">
        <v>1536</v>
      </c>
      <c r="E623" s="92">
        <v>4</v>
      </c>
      <c r="F623" s="92">
        <v>4</v>
      </c>
      <c r="G623" s="75" t="s">
        <v>1540</v>
      </c>
      <c r="H623" s="75"/>
      <c r="I623" s="75"/>
      <c r="J623" s="75" t="s">
        <v>162</v>
      </c>
      <c r="K623" s="75" t="s">
        <v>509</v>
      </c>
      <c r="L623" s="75" t="s">
        <v>535</v>
      </c>
      <c r="M623" s="75" t="s">
        <v>509</v>
      </c>
      <c r="N623" s="75" t="s">
        <v>535</v>
      </c>
      <c r="O623" s="75" t="s">
        <v>1524</v>
      </c>
    </row>
    <row r="624" spans="1:15">
      <c r="A624" s="63" t="s">
        <v>849</v>
      </c>
      <c r="B624" s="14" t="str">
        <f>VLOOKUP(O624,'护理记录单文书字典(数据)'!B$4:C$99,2,0)</f>
        <v>4DCC68350CFAB2110B8C72B42CBC9602</v>
      </c>
      <c r="C624" s="75" t="s">
        <v>1535</v>
      </c>
      <c r="D624" s="75" t="s">
        <v>1536</v>
      </c>
      <c r="E624" s="92">
        <v>5</v>
      </c>
      <c r="F624" s="92">
        <v>5</v>
      </c>
      <c r="G624" s="75" t="s">
        <v>1541</v>
      </c>
      <c r="H624" s="75"/>
      <c r="I624" s="75"/>
      <c r="J624" s="75" t="s">
        <v>162</v>
      </c>
      <c r="K624" s="75" t="s">
        <v>509</v>
      </c>
      <c r="L624" s="75" t="s">
        <v>535</v>
      </c>
      <c r="M624" s="75" t="s">
        <v>509</v>
      </c>
      <c r="N624" s="75" t="s">
        <v>535</v>
      </c>
      <c r="O624" s="75" t="s">
        <v>1524</v>
      </c>
    </row>
    <row r="625" spans="1:15">
      <c r="A625" s="63" t="s">
        <v>849</v>
      </c>
      <c r="B625" s="14" t="str">
        <f>VLOOKUP(O625,'护理记录单文书字典(数据)'!B$4:C$99,2,0)</f>
        <v>4DCC68350CFAB2110B8C72B42CBC9602</v>
      </c>
      <c r="C625" s="75" t="s">
        <v>1535</v>
      </c>
      <c r="D625" s="75" t="s">
        <v>1536</v>
      </c>
      <c r="E625" s="92">
        <v>6</v>
      </c>
      <c r="F625" s="92">
        <v>6</v>
      </c>
      <c r="G625" s="75" t="s">
        <v>1542</v>
      </c>
      <c r="H625" s="75"/>
      <c r="I625" s="75"/>
      <c r="J625" s="75" t="s">
        <v>162</v>
      </c>
      <c r="K625" s="75" t="s">
        <v>509</v>
      </c>
      <c r="L625" s="75" t="s">
        <v>535</v>
      </c>
      <c r="M625" s="75" t="s">
        <v>509</v>
      </c>
      <c r="N625" s="75" t="s">
        <v>535</v>
      </c>
      <c r="O625" s="75" t="s">
        <v>1524</v>
      </c>
    </row>
    <row r="626" spans="1:15">
      <c r="A626" s="63" t="s">
        <v>849</v>
      </c>
      <c r="B626" s="14" t="str">
        <f>VLOOKUP(O626,'护理记录单文书字典(数据)'!B$4:C$99,2,0)</f>
        <v>4DCC68350CFAB2110B8C72B42CBC9602</v>
      </c>
      <c r="C626" s="75" t="s">
        <v>1543</v>
      </c>
      <c r="D626" s="75" t="s">
        <v>1544</v>
      </c>
      <c r="E626" s="92">
        <v>1</v>
      </c>
      <c r="F626" s="92">
        <v>1</v>
      </c>
      <c r="G626" s="75" t="s">
        <v>1545</v>
      </c>
      <c r="H626" s="75"/>
      <c r="I626" s="75"/>
      <c r="J626" s="75" t="s">
        <v>162</v>
      </c>
      <c r="K626" s="75" t="s">
        <v>509</v>
      </c>
      <c r="L626" s="75" t="s">
        <v>535</v>
      </c>
      <c r="M626" s="75" t="s">
        <v>509</v>
      </c>
      <c r="N626" s="75" t="s">
        <v>535</v>
      </c>
      <c r="O626" s="75" t="s">
        <v>1524</v>
      </c>
    </row>
    <row r="627" spans="1:15">
      <c r="A627" s="63" t="s">
        <v>849</v>
      </c>
      <c r="B627" s="14" t="str">
        <f>VLOOKUP(O627,'护理记录单文书字典(数据)'!B$4:C$99,2,0)</f>
        <v>4DCC68350CFAB2110B8C72B42CBC9602</v>
      </c>
      <c r="C627" s="75" t="s">
        <v>1543</v>
      </c>
      <c r="D627" s="75" t="s">
        <v>1544</v>
      </c>
      <c r="E627" s="92">
        <v>2</v>
      </c>
      <c r="F627" s="92">
        <v>2</v>
      </c>
      <c r="G627" s="75" t="s">
        <v>1546</v>
      </c>
      <c r="H627" s="75"/>
      <c r="I627" s="75"/>
      <c r="J627" s="75" t="s">
        <v>162</v>
      </c>
      <c r="K627" s="75" t="s">
        <v>509</v>
      </c>
      <c r="L627" s="75" t="s">
        <v>535</v>
      </c>
      <c r="M627" s="75" t="s">
        <v>509</v>
      </c>
      <c r="N627" s="75" t="s">
        <v>535</v>
      </c>
      <c r="O627" s="75" t="s">
        <v>1524</v>
      </c>
    </row>
    <row r="628" spans="1:15">
      <c r="A628" s="63" t="s">
        <v>849</v>
      </c>
      <c r="B628" s="14" t="str">
        <f>VLOOKUP(O628,'护理记录单文书字典(数据)'!B$4:C$99,2,0)</f>
        <v>4DCC68350CFAB2110B8C72B42CBC9602</v>
      </c>
      <c r="C628" s="75" t="s">
        <v>1543</v>
      </c>
      <c r="D628" s="75" t="s">
        <v>1544</v>
      </c>
      <c r="E628" s="92">
        <v>3</v>
      </c>
      <c r="F628" s="92">
        <v>3</v>
      </c>
      <c r="G628" s="75" t="s">
        <v>1547</v>
      </c>
      <c r="H628" s="75"/>
      <c r="I628" s="75"/>
      <c r="J628" s="75" t="s">
        <v>162</v>
      </c>
      <c r="K628" s="75" t="s">
        <v>509</v>
      </c>
      <c r="L628" s="75" t="s">
        <v>535</v>
      </c>
      <c r="M628" s="75" t="s">
        <v>509</v>
      </c>
      <c r="N628" s="75" t="s">
        <v>535</v>
      </c>
      <c r="O628" s="75" t="s">
        <v>1524</v>
      </c>
    </row>
    <row r="629" spans="1:15">
      <c r="A629" s="63" t="s">
        <v>849</v>
      </c>
      <c r="B629" s="14" t="str">
        <f>VLOOKUP(O629,'护理记录单文书字典(数据)'!B$4:C$99,2,0)</f>
        <v>4DCC68350CFAB2110B8C72B42CBC9602</v>
      </c>
      <c r="C629" s="75" t="s">
        <v>1543</v>
      </c>
      <c r="D629" s="75" t="s">
        <v>1544</v>
      </c>
      <c r="E629" s="92">
        <v>4</v>
      </c>
      <c r="F629" s="92">
        <v>4</v>
      </c>
      <c r="G629" s="75" t="s">
        <v>1548</v>
      </c>
      <c r="H629" s="75"/>
      <c r="I629" s="75"/>
      <c r="J629" s="75" t="s">
        <v>162</v>
      </c>
      <c r="K629" s="75" t="s">
        <v>509</v>
      </c>
      <c r="L629" s="75" t="s">
        <v>535</v>
      </c>
      <c r="M629" s="75" t="s">
        <v>509</v>
      </c>
      <c r="N629" s="75" t="s">
        <v>535</v>
      </c>
      <c r="O629" s="75" t="s">
        <v>1524</v>
      </c>
    </row>
    <row r="630" spans="1:15">
      <c r="A630" s="63" t="s">
        <v>849</v>
      </c>
      <c r="B630" s="14" t="str">
        <f>VLOOKUP(O630,'护理记录单文书字典(数据)'!B$4:C$99,2,0)</f>
        <v>4DCC68350CFAB2110B8C72B42CBC9602</v>
      </c>
      <c r="C630" s="75" t="s">
        <v>1549</v>
      </c>
      <c r="D630" s="75" t="s">
        <v>1550</v>
      </c>
      <c r="E630" s="92">
        <v>1</v>
      </c>
      <c r="F630" s="92">
        <v>1</v>
      </c>
      <c r="G630" s="75" t="s">
        <v>1551</v>
      </c>
      <c r="H630" s="75"/>
      <c r="I630" s="75"/>
      <c r="J630" s="75" t="s">
        <v>162</v>
      </c>
      <c r="K630" s="75" t="s">
        <v>509</v>
      </c>
      <c r="L630" s="75" t="s">
        <v>535</v>
      </c>
      <c r="M630" s="75" t="s">
        <v>509</v>
      </c>
      <c r="N630" s="75" t="s">
        <v>535</v>
      </c>
      <c r="O630" s="75" t="s">
        <v>1524</v>
      </c>
    </row>
    <row r="631" spans="1:15">
      <c r="A631" s="63" t="s">
        <v>849</v>
      </c>
      <c r="B631" s="14" t="str">
        <f>VLOOKUP(O631,'护理记录单文书字典(数据)'!B$4:C$99,2,0)</f>
        <v>4DCC68350CFAB2110B8C72B42CBC9602</v>
      </c>
      <c r="C631" s="75" t="s">
        <v>1549</v>
      </c>
      <c r="D631" s="75" t="s">
        <v>1550</v>
      </c>
      <c r="E631" s="92">
        <v>2</v>
      </c>
      <c r="F631" s="92">
        <v>2</v>
      </c>
      <c r="G631" s="75" t="s">
        <v>1552</v>
      </c>
      <c r="H631" s="75"/>
      <c r="I631" s="75"/>
      <c r="J631" s="75" t="s">
        <v>162</v>
      </c>
      <c r="K631" s="75" t="s">
        <v>509</v>
      </c>
      <c r="L631" s="75" t="s">
        <v>535</v>
      </c>
      <c r="M631" s="75" t="s">
        <v>509</v>
      </c>
      <c r="N631" s="75" t="s">
        <v>535</v>
      </c>
      <c r="O631" s="75" t="s">
        <v>1524</v>
      </c>
    </row>
    <row r="632" spans="1:15">
      <c r="A632" s="63" t="s">
        <v>849</v>
      </c>
      <c r="B632" s="14" t="str">
        <f>VLOOKUP(O632,'护理记录单文书字典(数据)'!B$4:C$99,2,0)</f>
        <v>4DCC68350CFAB2110B8C72B42CBC9602</v>
      </c>
      <c r="C632" s="75" t="s">
        <v>1549</v>
      </c>
      <c r="D632" s="75" t="s">
        <v>1550</v>
      </c>
      <c r="E632" s="92">
        <v>3</v>
      </c>
      <c r="F632" s="92">
        <v>3</v>
      </c>
      <c r="G632" s="75" t="s">
        <v>1553</v>
      </c>
      <c r="H632" s="75"/>
      <c r="I632" s="75"/>
      <c r="J632" s="75" t="s">
        <v>162</v>
      </c>
      <c r="K632" s="75" t="s">
        <v>509</v>
      </c>
      <c r="L632" s="75" t="s">
        <v>535</v>
      </c>
      <c r="M632" s="75" t="s">
        <v>509</v>
      </c>
      <c r="N632" s="75" t="s">
        <v>535</v>
      </c>
      <c r="O632" s="75" t="s">
        <v>1524</v>
      </c>
    </row>
    <row r="633" spans="1:15">
      <c r="A633" s="63" t="s">
        <v>849</v>
      </c>
      <c r="B633" s="14" t="str">
        <f>VLOOKUP(O633,'护理记录单文书字典(数据)'!B$4:C$99,2,0)</f>
        <v>4DCC68350CFAB2110B8C72B42CBC9602</v>
      </c>
      <c r="C633" s="75" t="s">
        <v>1554</v>
      </c>
      <c r="D633" s="75" t="s">
        <v>1555</v>
      </c>
      <c r="E633" s="92">
        <v>1</v>
      </c>
      <c r="F633" s="92">
        <v>1</v>
      </c>
      <c r="G633" s="75" t="s">
        <v>962</v>
      </c>
      <c r="H633" s="75"/>
      <c r="I633" s="75"/>
      <c r="J633" s="75" t="s">
        <v>162</v>
      </c>
      <c r="K633" s="75" t="s">
        <v>509</v>
      </c>
      <c r="L633" s="75" t="s">
        <v>535</v>
      </c>
      <c r="M633" s="75" t="s">
        <v>509</v>
      </c>
      <c r="N633" s="75" t="s">
        <v>535</v>
      </c>
      <c r="O633" s="75" t="s">
        <v>1524</v>
      </c>
    </row>
    <row r="634" spans="1:15">
      <c r="A634" s="63" t="s">
        <v>849</v>
      </c>
      <c r="B634" s="14" t="str">
        <f>VLOOKUP(O634,'护理记录单文书字典(数据)'!B$4:C$99,2,0)</f>
        <v>4DCC68350CFAB2110B8C72B42CBC9602</v>
      </c>
      <c r="C634" s="75" t="s">
        <v>1554</v>
      </c>
      <c r="D634" s="75" t="s">
        <v>1555</v>
      </c>
      <c r="E634" s="92">
        <v>2</v>
      </c>
      <c r="F634" s="92">
        <v>2</v>
      </c>
      <c r="G634" s="75" t="s">
        <v>1556</v>
      </c>
      <c r="H634" s="75"/>
      <c r="I634" s="75"/>
      <c r="J634" s="75" t="s">
        <v>162</v>
      </c>
      <c r="K634" s="75" t="s">
        <v>509</v>
      </c>
      <c r="L634" s="75" t="s">
        <v>535</v>
      </c>
      <c r="M634" s="75" t="s">
        <v>509</v>
      </c>
      <c r="N634" s="75" t="s">
        <v>535</v>
      </c>
      <c r="O634" s="75" t="s">
        <v>1524</v>
      </c>
    </row>
    <row r="635" spans="1:15">
      <c r="A635" s="63" t="s">
        <v>849</v>
      </c>
      <c r="B635" s="14" t="str">
        <f>VLOOKUP(O635,'护理记录单文书字典(数据)'!B$4:C$99,2,0)</f>
        <v>4DCC68350CFAB2110B8C72B42CBC9602</v>
      </c>
      <c r="C635" s="75" t="s">
        <v>1554</v>
      </c>
      <c r="D635" s="75" t="s">
        <v>1555</v>
      </c>
      <c r="E635" s="92">
        <v>3</v>
      </c>
      <c r="F635" s="92">
        <v>3</v>
      </c>
      <c r="G635" s="75" t="s">
        <v>1557</v>
      </c>
      <c r="H635" s="75"/>
      <c r="I635" s="75"/>
      <c r="J635" s="75" t="s">
        <v>162</v>
      </c>
      <c r="K635" s="75" t="s">
        <v>509</v>
      </c>
      <c r="L635" s="75" t="s">
        <v>535</v>
      </c>
      <c r="M635" s="75" t="s">
        <v>509</v>
      </c>
      <c r="N635" s="75" t="s">
        <v>535</v>
      </c>
      <c r="O635" s="75" t="s">
        <v>1524</v>
      </c>
    </row>
    <row r="636" spans="1:15">
      <c r="A636" s="63" t="s">
        <v>849</v>
      </c>
      <c r="B636" s="14" t="str">
        <f>VLOOKUP(O636,'护理记录单文书字典(数据)'!B$4:C$99,2,0)</f>
        <v>4DCC68350CFAB2110B8C72B42CBC9602</v>
      </c>
      <c r="C636" s="75" t="s">
        <v>1554</v>
      </c>
      <c r="D636" s="75" t="s">
        <v>1555</v>
      </c>
      <c r="E636" s="92">
        <v>4</v>
      </c>
      <c r="F636" s="92">
        <v>4</v>
      </c>
      <c r="G636" s="75" t="s">
        <v>1558</v>
      </c>
      <c r="H636" s="75"/>
      <c r="I636" s="75"/>
      <c r="J636" s="75" t="s">
        <v>162</v>
      </c>
      <c r="K636" s="75" t="s">
        <v>509</v>
      </c>
      <c r="L636" s="75" t="s">
        <v>535</v>
      </c>
      <c r="M636" s="75" t="s">
        <v>509</v>
      </c>
      <c r="N636" s="75" t="s">
        <v>535</v>
      </c>
      <c r="O636" s="75" t="s">
        <v>1524</v>
      </c>
    </row>
    <row r="637" spans="1:15">
      <c r="A637" s="63" t="s">
        <v>849</v>
      </c>
      <c r="B637" s="14" t="str">
        <f>VLOOKUP(O637,'护理记录单文书字典(数据)'!B$4:C$99,2,0)</f>
        <v>4DCC68350CFAB2110B8C72B42CBC9602</v>
      </c>
      <c r="C637" s="75" t="s">
        <v>1554</v>
      </c>
      <c r="D637" s="75" t="s">
        <v>1555</v>
      </c>
      <c r="E637" s="92">
        <v>5</v>
      </c>
      <c r="F637" s="92">
        <v>5</v>
      </c>
      <c r="G637" s="75" t="s">
        <v>1559</v>
      </c>
      <c r="H637" s="75"/>
      <c r="I637" s="75"/>
      <c r="J637" s="75" t="s">
        <v>162</v>
      </c>
      <c r="K637" s="75" t="s">
        <v>509</v>
      </c>
      <c r="L637" s="75" t="s">
        <v>535</v>
      </c>
      <c r="M637" s="75" t="s">
        <v>509</v>
      </c>
      <c r="N637" s="75" t="s">
        <v>535</v>
      </c>
      <c r="O637" s="75" t="s">
        <v>1524</v>
      </c>
    </row>
    <row r="638" spans="1:15">
      <c r="A638" s="63" t="s">
        <v>849</v>
      </c>
      <c r="B638" s="14" t="str">
        <f>VLOOKUP(O638,'护理记录单文书字典(数据)'!B$4:C$99,2,0)</f>
        <v>4DCC68350CFAB2110B8C72B42CBC9602</v>
      </c>
      <c r="C638" s="75" t="s">
        <v>1560</v>
      </c>
      <c r="D638" s="75" t="s">
        <v>1561</v>
      </c>
      <c r="E638" s="92">
        <v>1</v>
      </c>
      <c r="F638" s="92">
        <v>1</v>
      </c>
      <c r="G638" s="75" t="s">
        <v>1562</v>
      </c>
      <c r="H638" s="75"/>
      <c r="I638" s="75"/>
      <c r="J638" s="75" t="s">
        <v>162</v>
      </c>
      <c r="K638" s="75" t="s">
        <v>509</v>
      </c>
      <c r="L638" s="75" t="s">
        <v>535</v>
      </c>
      <c r="M638" s="75" t="s">
        <v>509</v>
      </c>
      <c r="N638" s="75" t="s">
        <v>535</v>
      </c>
      <c r="O638" s="75" t="s">
        <v>1524</v>
      </c>
    </row>
    <row r="639" spans="1:15">
      <c r="A639" s="63" t="s">
        <v>849</v>
      </c>
      <c r="B639" s="14" t="str">
        <f>VLOOKUP(O639,'护理记录单文书字典(数据)'!B$4:C$99,2,0)</f>
        <v>4DCC68350CFAB2110B8C72B42CBC9602</v>
      </c>
      <c r="C639" s="75" t="s">
        <v>1560</v>
      </c>
      <c r="D639" s="75" t="s">
        <v>1561</v>
      </c>
      <c r="E639" s="92">
        <v>2</v>
      </c>
      <c r="F639" s="92">
        <v>2</v>
      </c>
      <c r="G639" s="75" t="s">
        <v>1563</v>
      </c>
      <c r="H639" s="75"/>
      <c r="I639" s="75"/>
      <c r="J639" s="75" t="s">
        <v>162</v>
      </c>
      <c r="K639" s="75" t="s">
        <v>509</v>
      </c>
      <c r="L639" s="75" t="s">
        <v>535</v>
      </c>
      <c r="M639" s="75" t="s">
        <v>509</v>
      </c>
      <c r="N639" s="75" t="s">
        <v>535</v>
      </c>
      <c r="O639" s="75" t="s">
        <v>1524</v>
      </c>
    </row>
    <row r="640" spans="1:15">
      <c r="A640" s="63" t="s">
        <v>849</v>
      </c>
      <c r="B640" s="14" t="str">
        <f>VLOOKUP(O640,'护理记录单文书字典(数据)'!B$4:C$99,2,0)</f>
        <v>4DCC68350CFAB2110B8C72B42CBC9602</v>
      </c>
      <c r="C640" s="75" t="s">
        <v>1560</v>
      </c>
      <c r="D640" s="75" t="s">
        <v>1561</v>
      </c>
      <c r="E640" s="92">
        <v>3</v>
      </c>
      <c r="F640" s="92">
        <v>3</v>
      </c>
      <c r="G640" s="75" t="s">
        <v>1564</v>
      </c>
      <c r="H640" s="75"/>
      <c r="I640" s="75"/>
      <c r="J640" s="75" t="s">
        <v>162</v>
      </c>
      <c r="K640" s="75" t="s">
        <v>509</v>
      </c>
      <c r="L640" s="75" t="s">
        <v>535</v>
      </c>
      <c r="M640" s="75" t="s">
        <v>509</v>
      </c>
      <c r="N640" s="75" t="s">
        <v>535</v>
      </c>
      <c r="O640" s="75" t="s">
        <v>1524</v>
      </c>
    </row>
    <row r="641" spans="1:15">
      <c r="A641" s="63" t="s">
        <v>849</v>
      </c>
      <c r="B641" s="14" t="str">
        <f>VLOOKUP(O641,'护理记录单文书字典(数据)'!B$4:C$99,2,0)</f>
        <v>4DCC68350CFAB2110B8C72B42CBC9602</v>
      </c>
      <c r="C641" s="75" t="s">
        <v>1560</v>
      </c>
      <c r="D641" s="75" t="s">
        <v>1561</v>
      </c>
      <c r="E641" s="92">
        <v>4</v>
      </c>
      <c r="F641" s="92">
        <v>4</v>
      </c>
      <c r="G641" s="75" t="s">
        <v>1565</v>
      </c>
      <c r="H641" s="75"/>
      <c r="I641" s="75"/>
      <c r="J641" s="75" t="s">
        <v>162</v>
      </c>
      <c r="K641" s="75" t="s">
        <v>509</v>
      </c>
      <c r="L641" s="75" t="s">
        <v>535</v>
      </c>
      <c r="M641" s="75" t="s">
        <v>509</v>
      </c>
      <c r="N641" s="75" t="s">
        <v>535</v>
      </c>
      <c r="O641" s="75" t="s">
        <v>1524</v>
      </c>
    </row>
    <row r="642" spans="1:15">
      <c r="A642" s="63" t="s">
        <v>849</v>
      </c>
      <c r="B642" s="14" t="str">
        <f>VLOOKUP(O642,'护理记录单文书字典(数据)'!B$4:C$99,2,0)</f>
        <v>4DCC68350CFAB2110B8C72B42CBC9602</v>
      </c>
      <c r="C642" s="75" t="s">
        <v>1566</v>
      </c>
      <c r="D642" s="75" t="s">
        <v>1567</v>
      </c>
      <c r="E642" s="92">
        <v>1</v>
      </c>
      <c r="F642" s="92">
        <v>1</v>
      </c>
      <c r="G642" s="75" t="s">
        <v>1568</v>
      </c>
      <c r="H642" s="75"/>
      <c r="I642" s="75"/>
      <c r="J642" s="75" t="s">
        <v>162</v>
      </c>
      <c r="K642" s="75" t="s">
        <v>509</v>
      </c>
      <c r="L642" s="75" t="s">
        <v>535</v>
      </c>
      <c r="M642" s="75" t="s">
        <v>509</v>
      </c>
      <c r="N642" s="75" t="s">
        <v>535</v>
      </c>
      <c r="O642" s="75" t="s">
        <v>1524</v>
      </c>
    </row>
    <row r="643" spans="1:15">
      <c r="A643" s="63" t="s">
        <v>849</v>
      </c>
      <c r="B643" s="14" t="str">
        <f>VLOOKUP(O643,'护理记录单文书字典(数据)'!B$4:C$99,2,0)</f>
        <v>4DCC68350CFAB2110B8C72B42CBC9602</v>
      </c>
      <c r="C643" s="75" t="s">
        <v>1566</v>
      </c>
      <c r="D643" s="75" t="s">
        <v>1567</v>
      </c>
      <c r="E643" s="92">
        <v>2</v>
      </c>
      <c r="F643" s="92">
        <v>2</v>
      </c>
      <c r="G643" s="75" t="s">
        <v>1569</v>
      </c>
      <c r="H643" s="75"/>
      <c r="I643" s="75"/>
      <c r="J643" s="75" t="s">
        <v>162</v>
      </c>
      <c r="K643" s="75" t="s">
        <v>509</v>
      </c>
      <c r="L643" s="75" t="s">
        <v>535</v>
      </c>
      <c r="M643" s="75" t="s">
        <v>509</v>
      </c>
      <c r="N643" s="75" t="s">
        <v>535</v>
      </c>
      <c r="O643" s="75" t="s">
        <v>1524</v>
      </c>
    </row>
    <row r="644" spans="1:15">
      <c r="A644" s="63" t="s">
        <v>849</v>
      </c>
      <c r="B644" s="14" t="str">
        <f>VLOOKUP(O644,'护理记录单文书字典(数据)'!B$4:C$99,2,0)</f>
        <v>4DCC68350CFAB2110B8C72B42CBC9602</v>
      </c>
      <c r="C644" s="75" t="s">
        <v>1566</v>
      </c>
      <c r="D644" s="75" t="s">
        <v>1567</v>
      </c>
      <c r="E644" s="92">
        <v>3</v>
      </c>
      <c r="F644" s="92">
        <v>3</v>
      </c>
      <c r="G644" s="75" t="s">
        <v>1570</v>
      </c>
      <c r="H644" s="75"/>
      <c r="I644" s="75"/>
      <c r="J644" s="75" t="s">
        <v>162</v>
      </c>
      <c r="K644" s="75" t="s">
        <v>509</v>
      </c>
      <c r="L644" s="75" t="s">
        <v>535</v>
      </c>
      <c r="M644" s="75" t="s">
        <v>509</v>
      </c>
      <c r="N644" s="75" t="s">
        <v>535</v>
      </c>
      <c r="O644" s="75" t="s">
        <v>1524</v>
      </c>
    </row>
    <row r="645" spans="1:15">
      <c r="A645" s="63" t="s">
        <v>849</v>
      </c>
      <c r="B645" s="14" t="str">
        <f>VLOOKUP(O645,'护理记录单文书字典(数据)'!B$4:C$99,2,0)</f>
        <v>4DCC68350CFAB2110B8C72B42CBC9602</v>
      </c>
      <c r="C645" s="75" t="s">
        <v>1566</v>
      </c>
      <c r="D645" s="75" t="s">
        <v>1567</v>
      </c>
      <c r="E645" s="92">
        <v>4</v>
      </c>
      <c r="F645" s="92">
        <v>4</v>
      </c>
      <c r="G645" s="75" t="s">
        <v>1571</v>
      </c>
      <c r="H645" s="75"/>
      <c r="I645" s="75"/>
      <c r="J645" s="75" t="s">
        <v>162</v>
      </c>
      <c r="K645" s="75" t="s">
        <v>509</v>
      </c>
      <c r="L645" s="75" t="s">
        <v>535</v>
      </c>
      <c r="M645" s="75" t="s">
        <v>509</v>
      </c>
      <c r="N645" s="75" t="s">
        <v>535</v>
      </c>
      <c r="O645" s="75" t="s">
        <v>1524</v>
      </c>
    </row>
    <row r="646" spans="1:15">
      <c r="A646" s="63" t="s">
        <v>849</v>
      </c>
      <c r="B646" s="14" t="str">
        <f>VLOOKUP(O646,'护理记录单文书字典(数据)'!B$4:C$99,2,0)</f>
        <v>4DCC68350CFAB2110B8C72B42CBC9602</v>
      </c>
      <c r="C646" s="75" t="s">
        <v>1572</v>
      </c>
      <c r="D646" s="75" t="s">
        <v>1573</v>
      </c>
      <c r="E646" s="92">
        <v>1</v>
      </c>
      <c r="F646" s="92">
        <v>1</v>
      </c>
      <c r="G646" s="75" t="s">
        <v>1574</v>
      </c>
      <c r="H646" s="75"/>
      <c r="I646" s="75"/>
      <c r="J646" s="75" t="s">
        <v>162</v>
      </c>
      <c r="K646" s="75" t="s">
        <v>509</v>
      </c>
      <c r="L646" s="75" t="s">
        <v>535</v>
      </c>
      <c r="M646" s="75" t="s">
        <v>509</v>
      </c>
      <c r="N646" s="75" t="s">
        <v>535</v>
      </c>
      <c r="O646" s="75" t="s">
        <v>1524</v>
      </c>
    </row>
    <row r="647" spans="1:15">
      <c r="A647" s="63" t="s">
        <v>849</v>
      </c>
      <c r="B647" s="14" t="str">
        <f>VLOOKUP(O647,'护理记录单文书字典(数据)'!B$4:C$99,2,0)</f>
        <v>4DCC68350CFAB2110B8C72B42CBC9602</v>
      </c>
      <c r="C647" s="75" t="s">
        <v>1572</v>
      </c>
      <c r="D647" s="75" t="s">
        <v>1573</v>
      </c>
      <c r="E647" s="92">
        <v>2</v>
      </c>
      <c r="F647" s="92">
        <v>2</v>
      </c>
      <c r="G647" s="75" t="s">
        <v>1575</v>
      </c>
      <c r="H647" s="75"/>
      <c r="I647" s="75"/>
      <c r="J647" s="75" t="s">
        <v>162</v>
      </c>
      <c r="K647" s="75" t="s">
        <v>509</v>
      </c>
      <c r="L647" s="75" t="s">
        <v>535</v>
      </c>
      <c r="M647" s="75" t="s">
        <v>509</v>
      </c>
      <c r="N647" s="75" t="s">
        <v>535</v>
      </c>
      <c r="O647" s="75" t="s">
        <v>1524</v>
      </c>
    </row>
    <row r="648" spans="1:15">
      <c r="A648" s="63" t="s">
        <v>849</v>
      </c>
      <c r="B648" s="14" t="str">
        <f>VLOOKUP(O648,'护理记录单文书字典(数据)'!B$4:C$99,2,0)</f>
        <v>4DCC68350CFAB2110B8C72B42CBC9602</v>
      </c>
      <c r="C648" s="75" t="s">
        <v>1572</v>
      </c>
      <c r="D648" s="75" t="s">
        <v>1573</v>
      </c>
      <c r="E648" s="92">
        <v>3</v>
      </c>
      <c r="F648" s="92">
        <v>3</v>
      </c>
      <c r="G648" s="75" t="s">
        <v>1576</v>
      </c>
      <c r="H648" s="75"/>
      <c r="I648" s="75"/>
      <c r="J648" s="75" t="s">
        <v>162</v>
      </c>
      <c r="K648" s="75" t="s">
        <v>509</v>
      </c>
      <c r="L648" s="75" t="s">
        <v>535</v>
      </c>
      <c r="M648" s="75" t="s">
        <v>509</v>
      </c>
      <c r="N648" s="75" t="s">
        <v>535</v>
      </c>
      <c r="O648" s="75" t="s">
        <v>1524</v>
      </c>
    </row>
    <row r="649" spans="1:15">
      <c r="A649" s="63" t="s">
        <v>849</v>
      </c>
      <c r="B649" s="14" t="str">
        <f>VLOOKUP(O649,'护理记录单文书字典(数据)'!B$4:C$99,2,0)</f>
        <v>4DCC68350CFAB2110B8C72B42CBC9602</v>
      </c>
      <c r="C649" s="75" t="s">
        <v>1572</v>
      </c>
      <c r="D649" s="75" t="s">
        <v>1573</v>
      </c>
      <c r="E649" s="92">
        <v>4</v>
      </c>
      <c r="F649" s="92">
        <v>4</v>
      </c>
      <c r="G649" s="75" t="s">
        <v>1577</v>
      </c>
      <c r="H649" s="75"/>
      <c r="I649" s="75"/>
      <c r="J649" s="75" t="s">
        <v>162</v>
      </c>
      <c r="K649" s="75" t="s">
        <v>509</v>
      </c>
      <c r="L649" s="75" t="s">
        <v>535</v>
      </c>
      <c r="M649" s="75" t="s">
        <v>509</v>
      </c>
      <c r="N649" s="75" t="s">
        <v>535</v>
      </c>
      <c r="O649" s="75" t="s">
        <v>1524</v>
      </c>
    </row>
    <row r="650" spans="1:15">
      <c r="A650" s="63" t="s">
        <v>849</v>
      </c>
      <c r="B650" s="14" t="str">
        <f>VLOOKUP(O650,'护理记录单文书字典(数据)'!B$4:C$99,2,0)</f>
        <v>4DCC68350CFAB2110B8C72B42CBC9602</v>
      </c>
      <c r="C650" s="75" t="s">
        <v>1578</v>
      </c>
      <c r="D650" s="75" t="s">
        <v>1579</v>
      </c>
      <c r="E650" s="92">
        <v>1</v>
      </c>
      <c r="F650" s="92">
        <v>1</v>
      </c>
      <c r="G650" s="75" t="s">
        <v>1580</v>
      </c>
      <c r="H650" s="75"/>
      <c r="I650" s="75"/>
      <c r="J650" s="75" t="s">
        <v>162</v>
      </c>
      <c r="K650" s="75" t="s">
        <v>509</v>
      </c>
      <c r="L650" s="75" t="s">
        <v>535</v>
      </c>
      <c r="M650" s="75" t="s">
        <v>509</v>
      </c>
      <c r="N650" s="75" t="s">
        <v>535</v>
      </c>
      <c r="O650" s="75" t="s">
        <v>1524</v>
      </c>
    </row>
    <row r="651" spans="1:15">
      <c r="A651" s="63" t="s">
        <v>849</v>
      </c>
      <c r="B651" s="14" t="str">
        <f>VLOOKUP(O651,'护理记录单文书字典(数据)'!B$4:C$99,2,0)</f>
        <v>4DCC68350CFAB2110B8C72B42CBC9602</v>
      </c>
      <c r="C651" s="75" t="s">
        <v>1578</v>
      </c>
      <c r="D651" s="75" t="s">
        <v>1579</v>
      </c>
      <c r="E651" s="92">
        <v>2</v>
      </c>
      <c r="F651" s="92">
        <v>2</v>
      </c>
      <c r="G651" s="75" t="s">
        <v>1581</v>
      </c>
      <c r="H651" s="75"/>
      <c r="I651" s="75"/>
      <c r="J651" s="75" t="s">
        <v>162</v>
      </c>
      <c r="K651" s="75" t="s">
        <v>509</v>
      </c>
      <c r="L651" s="75" t="s">
        <v>535</v>
      </c>
      <c r="M651" s="75" t="s">
        <v>509</v>
      </c>
      <c r="N651" s="75" t="s">
        <v>535</v>
      </c>
      <c r="O651" s="75" t="s">
        <v>1524</v>
      </c>
    </row>
    <row r="652" spans="1:15">
      <c r="A652" s="63" t="s">
        <v>849</v>
      </c>
      <c r="B652" s="14" t="str">
        <f>VLOOKUP(O652,'护理记录单文书字典(数据)'!B$4:C$99,2,0)</f>
        <v>4DCC68350CFAB2110B8C72B42CBC9602</v>
      </c>
      <c r="C652" s="75" t="s">
        <v>1578</v>
      </c>
      <c r="D652" s="75" t="s">
        <v>1579</v>
      </c>
      <c r="E652" s="92">
        <v>3</v>
      </c>
      <c r="F652" s="92">
        <v>3</v>
      </c>
      <c r="G652" s="75" t="s">
        <v>1582</v>
      </c>
      <c r="H652" s="75"/>
      <c r="I652" s="75"/>
      <c r="J652" s="75" t="s">
        <v>162</v>
      </c>
      <c r="K652" s="75" t="s">
        <v>509</v>
      </c>
      <c r="L652" s="75" t="s">
        <v>535</v>
      </c>
      <c r="M652" s="75" t="s">
        <v>509</v>
      </c>
      <c r="N652" s="75" t="s">
        <v>535</v>
      </c>
      <c r="O652" s="75" t="s">
        <v>1524</v>
      </c>
    </row>
    <row r="653" spans="1:15">
      <c r="A653" s="63" t="s">
        <v>849</v>
      </c>
      <c r="B653" s="14" t="str">
        <f>VLOOKUP(O653,'护理记录单文书字典(数据)'!B$4:C$99,2,0)</f>
        <v>4DCC68350CFAB2110B8C72B42CBC9602</v>
      </c>
      <c r="C653" s="75" t="s">
        <v>1583</v>
      </c>
      <c r="D653" s="75" t="s">
        <v>1584</v>
      </c>
      <c r="E653" s="92">
        <v>1</v>
      </c>
      <c r="F653" s="92">
        <v>1</v>
      </c>
      <c r="G653" s="75" t="s">
        <v>1096</v>
      </c>
      <c r="H653" s="75"/>
      <c r="I653" s="75"/>
      <c r="J653" s="75" t="s">
        <v>162</v>
      </c>
      <c r="K653" s="75" t="s">
        <v>509</v>
      </c>
      <c r="L653" s="75" t="s">
        <v>535</v>
      </c>
      <c r="M653" s="75" t="s">
        <v>509</v>
      </c>
      <c r="N653" s="75" t="s">
        <v>535</v>
      </c>
      <c r="O653" s="75" t="s">
        <v>1524</v>
      </c>
    </row>
    <row r="654" spans="1:15">
      <c r="A654" s="63" t="s">
        <v>849</v>
      </c>
      <c r="B654" s="14" t="str">
        <f>VLOOKUP(O654,'护理记录单文书字典(数据)'!B$4:C$99,2,0)</f>
        <v>4DCC68350CFAB2110B8C72B42CBC9602</v>
      </c>
      <c r="C654" s="75" t="s">
        <v>1583</v>
      </c>
      <c r="D654" s="75" t="s">
        <v>1584</v>
      </c>
      <c r="E654" s="92">
        <v>2</v>
      </c>
      <c r="F654" s="92">
        <v>2</v>
      </c>
      <c r="G654" s="75" t="s">
        <v>1585</v>
      </c>
      <c r="H654" s="75"/>
      <c r="I654" s="75"/>
      <c r="J654" s="75" t="s">
        <v>162</v>
      </c>
      <c r="K654" s="75" t="s">
        <v>509</v>
      </c>
      <c r="L654" s="75" t="s">
        <v>535</v>
      </c>
      <c r="M654" s="75" t="s">
        <v>509</v>
      </c>
      <c r="N654" s="75" t="s">
        <v>535</v>
      </c>
      <c r="O654" s="75" t="s">
        <v>1524</v>
      </c>
    </row>
    <row r="655" spans="1:15">
      <c r="A655" s="63" t="s">
        <v>849</v>
      </c>
      <c r="B655" s="14" t="str">
        <f>VLOOKUP(O655,'护理记录单文书字典(数据)'!B$4:C$99,2,0)</f>
        <v>4DCC68350CFAB2110B8C72B42CBC9602</v>
      </c>
      <c r="C655" s="75" t="s">
        <v>1583</v>
      </c>
      <c r="D655" s="75" t="s">
        <v>1584</v>
      </c>
      <c r="E655" s="92">
        <v>3</v>
      </c>
      <c r="F655" s="92">
        <v>3</v>
      </c>
      <c r="G655" s="75" t="s">
        <v>1586</v>
      </c>
      <c r="H655" s="75"/>
      <c r="I655" s="75"/>
      <c r="J655" s="75" t="s">
        <v>162</v>
      </c>
      <c r="K655" s="75" t="s">
        <v>509</v>
      </c>
      <c r="L655" s="75" t="s">
        <v>535</v>
      </c>
      <c r="M655" s="75" t="s">
        <v>509</v>
      </c>
      <c r="N655" s="75" t="s">
        <v>535</v>
      </c>
      <c r="O655" s="75" t="s">
        <v>1524</v>
      </c>
    </row>
    <row r="656" spans="1:15">
      <c r="A656" s="63" t="s">
        <v>849</v>
      </c>
      <c r="B656" s="14" t="str">
        <f>VLOOKUP(O656,'护理记录单文书字典(数据)'!B$4:C$99,2,0)</f>
        <v>4DCC68350CFAB2110B8C72B42CBC9602</v>
      </c>
      <c r="C656" s="75" t="s">
        <v>1583</v>
      </c>
      <c r="D656" s="75" t="s">
        <v>1584</v>
      </c>
      <c r="E656" s="92">
        <v>4</v>
      </c>
      <c r="F656" s="92">
        <v>4</v>
      </c>
      <c r="G656" s="75" t="s">
        <v>1587</v>
      </c>
      <c r="H656" s="75"/>
      <c r="I656" s="75"/>
      <c r="J656" s="75" t="s">
        <v>162</v>
      </c>
      <c r="K656" s="75" t="s">
        <v>509</v>
      </c>
      <c r="L656" s="75" t="s">
        <v>535</v>
      </c>
      <c r="M656" s="75" t="s">
        <v>509</v>
      </c>
      <c r="N656" s="75" t="s">
        <v>535</v>
      </c>
      <c r="O656" s="75" t="s">
        <v>1524</v>
      </c>
    </row>
    <row r="657" spans="1:15">
      <c r="A657" s="63" t="s">
        <v>849</v>
      </c>
      <c r="B657" s="14" t="str">
        <f>VLOOKUP(O657,'护理记录单文书字典(数据)'!B$4:C$99,2,0)</f>
        <v>4DCC68350CFAB2110B8C72B42CBC9602</v>
      </c>
      <c r="C657" s="75" t="s">
        <v>1588</v>
      </c>
      <c r="D657" s="75" t="s">
        <v>1589</v>
      </c>
      <c r="E657" s="92">
        <v>1</v>
      </c>
      <c r="F657" s="92">
        <v>1</v>
      </c>
      <c r="G657" s="75" t="s">
        <v>1096</v>
      </c>
      <c r="H657" s="75"/>
      <c r="I657" s="75"/>
      <c r="J657" s="75" t="s">
        <v>162</v>
      </c>
      <c r="K657" s="75" t="s">
        <v>509</v>
      </c>
      <c r="L657" s="75" t="s">
        <v>535</v>
      </c>
      <c r="M657" s="75" t="s">
        <v>509</v>
      </c>
      <c r="N657" s="75" t="s">
        <v>535</v>
      </c>
      <c r="O657" s="75" t="s">
        <v>1524</v>
      </c>
    </row>
    <row r="658" spans="1:15">
      <c r="A658" s="63" t="s">
        <v>849</v>
      </c>
      <c r="B658" s="14" t="str">
        <f>VLOOKUP(O658,'护理记录单文书字典(数据)'!B$4:C$99,2,0)</f>
        <v>4DCC68350CFAB2110B8C72B42CBC9602</v>
      </c>
      <c r="C658" s="75" t="s">
        <v>1588</v>
      </c>
      <c r="D658" s="75" t="s">
        <v>1589</v>
      </c>
      <c r="E658" s="92">
        <v>2</v>
      </c>
      <c r="F658" s="92">
        <v>2</v>
      </c>
      <c r="G658" s="75" t="s">
        <v>1590</v>
      </c>
      <c r="H658" s="75"/>
      <c r="I658" s="75"/>
      <c r="J658" s="75" t="s">
        <v>162</v>
      </c>
      <c r="K658" s="75" t="s">
        <v>509</v>
      </c>
      <c r="L658" s="75" t="s">
        <v>535</v>
      </c>
      <c r="M658" s="75" t="s">
        <v>509</v>
      </c>
      <c r="N658" s="75" t="s">
        <v>535</v>
      </c>
      <c r="O658" s="75" t="s">
        <v>1524</v>
      </c>
    </row>
    <row r="659" spans="1:15">
      <c r="A659" s="63" t="s">
        <v>849</v>
      </c>
      <c r="B659" s="14" t="str">
        <f>VLOOKUP(O659,'护理记录单文书字典(数据)'!B$4:C$99,2,0)</f>
        <v>4DCC68350CFAB2110B8C72B42CBC9602</v>
      </c>
      <c r="C659" s="75" t="s">
        <v>1588</v>
      </c>
      <c r="D659" s="75" t="s">
        <v>1589</v>
      </c>
      <c r="E659" s="92">
        <v>3</v>
      </c>
      <c r="F659" s="92">
        <v>3</v>
      </c>
      <c r="G659" s="75" t="s">
        <v>1591</v>
      </c>
      <c r="H659" s="75"/>
      <c r="I659" s="75"/>
      <c r="J659" s="75" t="s">
        <v>162</v>
      </c>
      <c r="K659" s="75" t="s">
        <v>509</v>
      </c>
      <c r="L659" s="75" t="s">
        <v>535</v>
      </c>
      <c r="M659" s="75" t="s">
        <v>509</v>
      </c>
      <c r="N659" s="75" t="s">
        <v>535</v>
      </c>
      <c r="O659" s="75" t="s">
        <v>1524</v>
      </c>
    </row>
    <row r="660" spans="1:15">
      <c r="A660" s="63" t="s">
        <v>849</v>
      </c>
      <c r="B660" s="14" t="str">
        <f>VLOOKUP(O660,'护理记录单文书字典(数据)'!B$4:C$99,2,0)</f>
        <v>4DCC68350CFAB2110B8C72B42CBC9602</v>
      </c>
      <c r="C660" s="75" t="s">
        <v>1592</v>
      </c>
      <c r="D660" s="75" t="s">
        <v>1593</v>
      </c>
      <c r="E660" s="92">
        <v>1</v>
      </c>
      <c r="F660" s="92">
        <v>1</v>
      </c>
      <c r="G660" s="75" t="s">
        <v>962</v>
      </c>
      <c r="H660" s="75"/>
      <c r="I660" s="75"/>
      <c r="J660" s="75" t="s">
        <v>162</v>
      </c>
      <c r="K660" s="75" t="s">
        <v>509</v>
      </c>
      <c r="L660" s="75" t="s">
        <v>535</v>
      </c>
      <c r="M660" s="75" t="s">
        <v>509</v>
      </c>
      <c r="N660" s="75" t="s">
        <v>535</v>
      </c>
      <c r="O660" s="75" t="s">
        <v>1524</v>
      </c>
    </row>
    <row r="661" spans="1:15">
      <c r="A661" s="63" t="s">
        <v>849</v>
      </c>
      <c r="B661" s="14" t="str">
        <f>VLOOKUP(O661,'护理记录单文书字典(数据)'!B$4:C$99,2,0)</f>
        <v>4DCC68350CFAB2110B8C72B42CBC9602</v>
      </c>
      <c r="C661" s="75" t="s">
        <v>1592</v>
      </c>
      <c r="D661" s="75" t="s">
        <v>1593</v>
      </c>
      <c r="E661" s="92">
        <v>2</v>
      </c>
      <c r="F661" s="92">
        <v>2</v>
      </c>
      <c r="G661" s="75" t="s">
        <v>1594</v>
      </c>
      <c r="H661" s="75"/>
      <c r="I661" s="75"/>
      <c r="J661" s="75" t="s">
        <v>162</v>
      </c>
      <c r="K661" s="75" t="s">
        <v>509</v>
      </c>
      <c r="L661" s="75" t="s">
        <v>535</v>
      </c>
      <c r="M661" s="75" t="s">
        <v>509</v>
      </c>
      <c r="N661" s="75" t="s">
        <v>535</v>
      </c>
      <c r="O661" s="75" t="s">
        <v>1524</v>
      </c>
    </row>
    <row r="662" spans="1:15">
      <c r="A662" s="63" t="s">
        <v>849</v>
      </c>
      <c r="B662" s="14" t="str">
        <f>VLOOKUP(O662,'护理记录单文书字典(数据)'!B$4:C$99,2,0)</f>
        <v>4DCC68350CFAB2110B8C72B42CBC9602</v>
      </c>
      <c r="C662" s="75" t="s">
        <v>1592</v>
      </c>
      <c r="D662" s="75" t="s">
        <v>1593</v>
      </c>
      <c r="E662" s="92">
        <v>3</v>
      </c>
      <c r="F662" s="92">
        <v>3</v>
      </c>
      <c r="G662" s="75" t="s">
        <v>1595</v>
      </c>
      <c r="H662" s="75"/>
      <c r="I662" s="75"/>
      <c r="J662" s="75" t="s">
        <v>162</v>
      </c>
      <c r="K662" s="75" t="s">
        <v>509</v>
      </c>
      <c r="L662" s="75" t="s">
        <v>535</v>
      </c>
      <c r="M662" s="75" t="s">
        <v>509</v>
      </c>
      <c r="N662" s="75" t="s">
        <v>535</v>
      </c>
      <c r="O662" s="75" t="s">
        <v>1524</v>
      </c>
    </row>
    <row r="663" spans="1:15">
      <c r="A663" s="63" t="s">
        <v>849</v>
      </c>
      <c r="B663" s="14" t="str">
        <f>VLOOKUP(O663,'护理记录单文书字典(数据)'!B$4:C$99,2,0)</f>
        <v>4DCC68350CFAB2110B8C72B42CBC9602</v>
      </c>
      <c r="C663" s="75" t="s">
        <v>1592</v>
      </c>
      <c r="D663" s="75" t="s">
        <v>1593</v>
      </c>
      <c r="E663" s="92">
        <v>4</v>
      </c>
      <c r="F663" s="92">
        <v>4</v>
      </c>
      <c r="G663" s="75" t="s">
        <v>1596</v>
      </c>
      <c r="H663" s="75"/>
      <c r="I663" s="75"/>
      <c r="J663" s="75" t="s">
        <v>162</v>
      </c>
      <c r="K663" s="75" t="s">
        <v>509</v>
      </c>
      <c r="L663" s="75" t="s">
        <v>535</v>
      </c>
      <c r="M663" s="75" t="s">
        <v>509</v>
      </c>
      <c r="N663" s="75" t="s">
        <v>535</v>
      </c>
      <c r="O663" s="75" t="s">
        <v>1524</v>
      </c>
    </row>
    <row r="664" spans="1:15">
      <c r="A664" s="63" t="s">
        <v>849</v>
      </c>
      <c r="B664" s="14" t="str">
        <f>VLOOKUP(O664,'护理记录单文书字典(数据)'!B$4:C$99,2,0)</f>
        <v>4DCC68350CFAB2110B8C72B42CBC9602</v>
      </c>
      <c r="C664" s="75" t="s">
        <v>1597</v>
      </c>
      <c r="D664" s="75" t="s">
        <v>1598</v>
      </c>
      <c r="E664" s="92">
        <v>1</v>
      </c>
      <c r="F664" s="92">
        <v>1</v>
      </c>
      <c r="G664" s="75" t="s">
        <v>962</v>
      </c>
      <c r="H664" s="75"/>
      <c r="I664" s="75"/>
      <c r="J664" s="75" t="s">
        <v>162</v>
      </c>
      <c r="K664" s="75" t="s">
        <v>509</v>
      </c>
      <c r="L664" s="75" t="s">
        <v>535</v>
      </c>
      <c r="M664" s="75" t="s">
        <v>509</v>
      </c>
      <c r="N664" s="75" t="s">
        <v>535</v>
      </c>
      <c r="O664" s="75" t="s">
        <v>1524</v>
      </c>
    </row>
    <row r="665" spans="1:15">
      <c r="A665" s="63" t="s">
        <v>849</v>
      </c>
      <c r="B665" s="14" t="str">
        <f>VLOOKUP(O665,'护理记录单文书字典(数据)'!B$4:C$99,2,0)</f>
        <v>4DCC68350CFAB2110B8C72B42CBC9602</v>
      </c>
      <c r="C665" s="75" t="s">
        <v>1597</v>
      </c>
      <c r="D665" s="75" t="s">
        <v>1598</v>
      </c>
      <c r="E665" s="92">
        <v>2</v>
      </c>
      <c r="F665" s="92">
        <v>2</v>
      </c>
      <c r="G665" s="75" t="s">
        <v>1599</v>
      </c>
      <c r="H665" s="75"/>
      <c r="I665" s="75"/>
      <c r="J665" s="75" t="s">
        <v>162</v>
      </c>
      <c r="K665" s="75" t="s">
        <v>509</v>
      </c>
      <c r="L665" s="75" t="s">
        <v>535</v>
      </c>
      <c r="M665" s="75" t="s">
        <v>509</v>
      </c>
      <c r="N665" s="75" t="s">
        <v>535</v>
      </c>
      <c r="O665" s="75" t="s">
        <v>1524</v>
      </c>
    </row>
    <row r="666" spans="1:15">
      <c r="A666" s="63" t="s">
        <v>849</v>
      </c>
      <c r="B666" s="14" t="str">
        <f>VLOOKUP(O666,'护理记录单文书字典(数据)'!B$4:C$99,2,0)</f>
        <v>4DCC68350CFAB2110B8C72B42CBC9602</v>
      </c>
      <c r="C666" s="75" t="s">
        <v>1597</v>
      </c>
      <c r="D666" s="75" t="s">
        <v>1598</v>
      </c>
      <c r="E666" s="92">
        <v>3</v>
      </c>
      <c r="F666" s="92">
        <v>3</v>
      </c>
      <c r="G666" s="75" t="s">
        <v>1600</v>
      </c>
      <c r="H666" s="75"/>
      <c r="I666" s="75"/>
      <c r="J666" s="75" t="s">
        <v>162</v>
      </c>
      <c r="K666" s="75" t="s">
        <v>509</v>
      </c>
      <c r="L666" s="75" t="s">
        <v>535</v>
      </c>
      <c r="M666" s="75" t="s">
        <v>509</v>
      </c>
      <c r="N666" s="75" t="s">
        <v>535</v>
      </c>
      <c r="O666" s="75" t="s">
        <v>1524</v>
      </c>
    </row>
    <row r="667" spans="1:15">
      <c r="A667" s="63" t="s">
        <v>849</v>
      </c>
      <c r="B667" s="14" t="str">
        <f>VLOOKUP(O667,'护理记录单文书字典(数据)'!B$4:C$99,2,0)</f>
        <v>4DCC68350CFAB2110B8C72B42CBC9602</v>
      </c>
      <c r="C667" s="75" t="s">
        <v>1597</v>
      </c>
      <c r="D667" s="75" t="s">
        <v>1598</v>
      </c>
      <c r="E667" s="92">
        <v>4</v>
      </c>
      <c r="F667" s="92">
        <v>4</v>
      </c>
      <c r="G667" s="75" t="s">
        <v>1596</v>
      </c>
      <c r="H667" s="75"/>
      <c r="I667" s="75"/>
      <c r="J667" s="75" t="s">
        <v>162</v>
      </c>
      <c r="K667" s="75" t="s">
        <v>509</v>
      </c>
      <c r="L667" s="75" t="s">
        <v>535</v>
      </c>
      <c r="M667" s="75" t="s">
        <v>509</v>
      </c>
      <c r="N667" s="75" t="s">
        <v>535</v>
      </c>
      <c r="O667" s="75" t="s">
        <v>1524</v>
      </c>
    </row>
    <row r="668" spans="1:15">
      <c r="A668" s="63" t="s">
        <v>849</v>
      </c>
      <c r="B668" s="14" t="str">
        <f>VLOOKUP(O668,'护理记录单文书字典(数据)'!B$4:C$99,2,0)</f>
        <v>AE836F350CFAB211A8BE484397DE1B10</v>
      </c>
      <c r="C668" s="75" t="s">
        <v>1601</v>
      </c>
      <c r="D668" s="75" t="s">
        <v>1602</v>
      </c>
      <c r="E668" s="92">
        <v>1</v>
      </c>
      <c r="F668" s="92">
        <v>1</v>
      </c>
      <c r="G668" s="75" t="s">
        <v>1518</v>
      </c>
      <c r="H668" s="75"/>
      <c r="I668" s="75"/>
      <c r="J668" s="75" t="s">
        <v>162</v>
      </c>
      <c r="K668" s="75" t="s">
        <v>509</v>
      </c>
      <c r="L668" s="75" t="s">
        <v>535</v>
      </c>
      <c r="M668" s="75" t="s">
        <v>509</v>
      </c>
      <c r="N668" s="75" t="s">
        <v>535</v>
      </c>
      <c r="O668" s="75" t="s">
        <v>1603</v>
      </c>
    </row>
    <row r="669" spans="1:15">
      <c r="A669" s="63" t="s">
        <v>849</v>
      </c>
      <c r="B669" s="14" t="str">
        <f>VLOOKUP(O669,'护理记录单文书字典(数据)'!B$4:C$99,2,0)</f>
        <v>AE836F350CFAB211A8BE484397DE1B10</v>
      </c>
      <c r="C669" s="75" t="s">
        <v>1601</v>
      </c>
      <c r="D669" s="75" t="s">
        <v>1602</v>
      </c>
      <c r="E669" s="92">
        <v>2</v>
      </c>
      <c r="F669" s="92">
        <v>2</v>
      </c>
      <c r="G669" s="75" t="s">
        <v>1604</v>
      </c>
      <c r="H669" s="75"/>
      <c r="I669" s="75"/>
      <c r="J669" s="75" t="s">
        <v>162</v>
      </c>
      <c r="K669" s="75" t="s">
        <v>509</v>
      </c>
      <c r="L669" s="75" t="s">
        <v>535</v>
      </c>
      <c r="M669" s="75" t="s">
        <v>509</v>
      </c>
      <c r="N669" s="75" t="s">
        <v>535</v>
      </c>
      <c r="O669" s="75" t="s">
        <v>1603</v>
      </c>
    </row>
    <row r="670" spans="1:15">
      <c r="A670" s="63" t="s">
        <v>849</v>
      </c>
      <c r="B670" s="14" t="str">
        <f>VLOOKUP(O670,'护理记录单文书字典(数据)'!B$4:C$99,2,0)</f>
        <v>AE836F350CFAB211A8BE484397DE1B10</v>
      </c>
      <c r="C670" s="75" t="s">
        <v>1601</v>
      </c>
      <c r="D670" s="75" t="s">
        <v>1602</v>
      </c>
      <c r="E670" s="92">
        <v>3</v>
      </c>
      <c r="F670" s="92">
        <v>3</v>
      </c>
      <c r="G670" s="75" t="s">
        <v>1519</v>
      </c>
      <c r="H670" s="75"/>
      <c r="I670" s="75"/>
      <c r="J670" s="75" t="s">
        <v>162</v>
      </c>
      <c r="K670" s="75" t="s">
        <v>509</v>
      </c>
      <c r="L670" s="75" t="s">
        <v>535</v>
      </c>
      <c r="M670" s="75" t="s">
        <v>509</v>
      </c>
      <c r="N670" s="75" t="s">
        <v>535</v>
      </c>
      <c r="O670" s="75" t="s">
        <v>1603</v>
      </c>
    </row>
    <row r="671" spans="1:15">
      <c r="A671" s="63" t="s">
        <v>849</v>
      </c>
      <c r="B671" s="14" t="str">
        <f>VLOOKUP(O671,'护理记录单文书字典(数据)'!B$4:C$99,2,0)</f>
        <v>AE836F350CFAB211A8BE484397DE1B10</v>
      </c>
      <c r="C671" s="75" t="s">
        <v>1605</v>
      </c>
      <c r="D671" s="75" t="s">
        <v>1606</v>
      </c>
      <c r="E671" s="92">
        <v>1</v>
      </c>
      <c r="F671" s="92">
        <v>1</v>
      </c>
      <c r="G671" s="75" t="s">
        <v>1518</v>
      </c>
      <c r="H671" s="75"/>
      <c r="I671" s="75"/>
      <c r="J671" s="75" t="s">
        <v>162</v>
      </c>
      <c r="K671" s="75" t="s">
        <v>509</v>
      </c>
      <c r="L671" s="75" t="s">
        <v>535</v>
      </c>
      <c r="M671" s="75" t="s">
        <v>509</v>
      </c>
      <c r="N671" s="75" t="s">
        <v>535</v>
      </c>
      <c r="O671" s="75" t="s">
        <v>1603</v>
      </c>
    </row>
    <row r="672" spans="1:15">
      <c r="A672" s="63" t="s">
        <v>849</v>
      </c>
      <c r="B672" s="14" t="str">
        <f>VLOOKUP(O672,'护理记录单文书字典(数据)'!B$4:C$99,2,0)</f>
        <v>AE836F350CFAB211A8BE484397DE1B10</v>
      </c>
      <c r="C672" s="75" t="s">
        <v>1605</v>
      </c>
      <c r="D672" s="75" t="s">
        <v>1606</v>
      </c>
      <c r="E672" s="92">
        <v>2</v>
      </c>
      <c r="F672" s="92">
        <v>2</v>
      </c>
      <c r="G672" s="75" t="s">
        <v>1604</v>
      </c>
      <c r="H672" s="75"/>
      <c r="I672" s="75"/>
      <c r="J672" s="75" t="s">
        <v>162</v>
      </c>
      <c r="K672" s="75" t="s">
        <v>509</v>
      </c>
      <c r="L672" s="75" t="s">
        <v>535</v>
      </c>
      <c r="M672" s="75" t="s">
        <v>509</v>
      </c>
      <c r="N672" s="75" t="s">
        <v>535</v>
      </c>
      <c r="O672" s="75" t="s">
        <v>1603</v>
      </c>
    </row>
    <row r="673" spans="1:15">
      <c r="A673" s="63" t="s">
        <v>849</v>
      </c>
      <c r="B673" s="14" t="str">
        <f>VLOOKUP(O673,'护理记录单文书字典(数据)'!B$4:C$99,2,0)</f>
        <v>AE836F350CFAB211A8BE484397DE1B10</v>
      </c>
      <c r="C673" s="75" t="s">
        <v>1605</v>
      </c>
      <c r="D673" s="75" t="s">
        <v>1606</v>
      </c>
      <c r="E673" s="92">
        <v>3</v>
      </c>
      <c r="F673" s="92">
        <v>3</v>
      </c>
      <c r="G673" s="75" t="s">
        <v>1519</v>
      </c>
      <c r="H673" s="75"/>
      <c r="I673" s="75"/>
      <c r="J673" s="75" t="s">
        <v>162</v>
      </c>
      <c r="K673" s="75" t="s">
        <v>509</v>
      </c>
      <c r="L673" s="75" t="s">
        <v>535</v>
      </c>
      <c r="M673" s="75" t="s">
        <v>509</v>
      </c>
      <c r="N673" s="75" t="s">
        <v>535</v>
      </c>
      <c r="O673" s="75" t="s">
        <v>1603</v>
      </c>
    </row>
    <row r="674" spans="1:15">
      <c r="A674" s="63" t="s">
        <v>849</v>
      </c>
      <c r="B674" s="14" t="str">
        <f>VLOOKUP(O674,'护理记录单文书字典(数据)'!B$4:C$99,2,0)</f>
        <v>AE836F350CFAB211A8BE484397DE1B10</v>
      </c>
      <c r="C674" s="75" t="s">
        <v>1607</v>
      </c>
      <c r="D674" s="75" t="s">
        <v>1608</v>
      </c>
      <c r="E674" s="92">
        <v>1</v>
      </c>
      <c r="F674" s="92">
        <v>1</v>
      </c>
      <c r="G674" s="75" t="s">
        <v>1518</v>
      </c>
      <c r="H674" s="75"/>
      <c r="I674" s="75"/>
      <c r="J674" s="75" t="s">
        <v>162</v>
      </c>
      <c r="K674" s="75" t="s">
        <v>509</v>
      </c>
      <c r="L674" s="75" t="s">
        <v>535</v>
      </c>
      <c r="M674" s="75" t="s">
        <v>509</v>
      </c>
      <c r="N674" s="75" t="s">
        <v>535</v>
      </c>
      <c r="O674" s="75" t="s">
        <v>1603</v>
      </c>
    </row>
    <row r="675" spans="1:15">
      <c r="A675" s="63" t="s">
        <v>849</v>
      </c>
      <c r="B675" s="14" t="str">
        <f>VLOOKUP(O675,'护理记录单文书字典(数据)'!B$4:C$99,2,0)</f>
        <v>AE836F350CFAB211A8BE484397DE1B10</v>
      </c>
      <c r="C675" s="75" t="s">
        <v>1607</v>
      </c>
      <c r="D675" s="75" t="s">
        <v>1608</v>
      </c>
      <c r="E675" s="92">
        <v>2</v>
      </c>
      <c r="F675" s="92">
        <v>2</v>
      </c>
      <c r="G675" s="75" t="s">
        <v>1604</v>
      </c>
      <c r="H675" s="75"/>
      <c r="I675" s="75"/>
      <c r="J675" s="75" t="s">
        <v>162</v>
      </c>
      <c r="K675" s="75" t="s">
        <v>509</v>
      </c>
      <c r="L675" s="75" t="s">
        <v>535</v>
      </c>
      <c r="M675" s="75" t="s">
        <v>509</v>
      </c>
      <c r="N675" s="75" t="s">
        <v>535</v>
      </c>
      <c r="O675" s="75" t="s">
        <v>1603</v>
      </c>
    </row>
    <row r="676" spans="1:15">
      <c r="A676" s="63" t="s">
        <v>849</v>
      </c>
      <c r="B676" s="14" t="str">
        <f>VLOOKUP(O676,'护理记录单文书字典(数据)'!B$4:C$99,2,0)</f>
        <v>AE836F350CFAB211A8BE484397DE1B10</v>
      </c>
      <c r="C676" s="75" t="s">
        <v>1607</v>
      </c>
      <c r="D676" s="75" t="s">
        <v>1608</v>
      </c>
      <c r="E676" s="92">
        <v>3</v>
      </c>
      <c r="F676" s="92">
        <v>3</v>
      </c>
      <c r="G676" s="75" t="s">
        <v>1519</v>
      </c>
      <c r="H676" s="75"/>
      <c r="I676" s="75"/>
      <c r="J676" s="75" t="s">
        <v>162</v>
      </c>
      <c r="K676" s="75" t="s">
        <v>509</v>
      </c>
      <c r="L676" s="75" t="s">
        <v>535</v>
      </c>
      <c r="M676" s="75" t="s">
        <v>509</v>
      </c>
      <c r="N676" s="75" t="s">
        <v>535</v>
      </c>
      <c r="O676" s="75" t="s">
        <v>1603</v>
      </c>
    </row>
    <row r="677" spans="1:15">
      <c r="A677" s="63" t="s">
        <v>849</v>
      </c>
      <c r="B677" s="14" t="str">
        <f>VLOOKUP(O677,'护理记录单文书字典(数据)'!B$4:C$99,2,0)</f>
        <v>AE836F350CFAB211A8BE484397DE1B10</v>
      </c>
      <c r="C677" s="75" t="s">
        <v>1609</v>
      </c>
      <c r="D677" s="75" t="s">
        <v>1610</v>
      </c>
      <c r="E677" s="92">
        <v>1</v>
      </c>
      <c r="F677" s="92">
        <v>1</v>
      </c>
      <c r="G677" s="75" t="s">
        <v>1518</v>
      </c>
      <c r="H677" s="75"/>
      <c r="I677" s="75"/>
      <c r="J677" s="75" t="s">
        <v>162</v>
      </c>
      <c r="K677" s="75" t="s">
        <v>509</v>
      </c>
      <c r="L677" s="75" t="s">
        <v>535</v>
      </c>
      <c r="M677" s="75" t="s">
        <v>509</v>
      </c>
      <c r="N677" s="75" t="s">
        <v>535</v>
      </c>
      <c r="O677" s="75" t="s">
        <v>1603</v>
      </c>
    </row>
    <row r="678" spans="1:15">
      <c r="A678" s="63" t="s">
        <v>849</v>
      </c>
      <c r="B678" s="14" t="str">
        <f>VLOOKUP(O678,'护理记录单文书字典(数据)'!B$4:C$99,2,0)</f>
        <v>AE836F350CFAB211A8BE484397DE1B10</v>
      </c>
      <c r="C678" s="75" t="s">
        <v>1609</v>
      </c>
      <c r="D678" s="75" t="s">
        <v>1610</v>
      </c>
      <c r="E678" s="92">
        <v>2</v>
      </c>
      <c r="F678" s="92">
        <v>2</v>
      </c>
      <c r="G678" s="75" t="s">
        <v>1604</v>
      </c>
      <c r="H678" s="75"/>
      <c r="I678" s="75"/>
      <c r="J678" s="75" t="s">
        <v>162</v>
      </c>
      <c r="K678" s="75" t="s">
        <v>509</v>
      </c>
      <c r="L678" s="75" t="s">
        <v>535</v>
      </c>
      <c r="M678" s="75" t="s">
        <v>509</v>
      </c>
      <c r="N678" s="75" t="s">
        <v>535</v>
      </c>
      <c r="O678" s="75" t="s">
        <v>1603</v>
      </c>
    </row>
    <row r="679" spans="1:15">
      <c r="A679" s="63" t="s">
        <v>849</v>
      </c>
      <c r="B679" s="14" t="str">
        <f>VLOOKUP(O679,'护理记录单文书字典(数据)'!B$4:C$99,2,0)</f>
        <v>AE836F350CFAB211A8BE484397DE1B10</v>
      </c>
      <c r="C679" s="75" t="s">
        <v>1609</v>
      </c>
      <c r="D679" s="75" t="s">
        <v>1610</v>
      </c>
      <c r="E679" s="92">
        <v>3</v>
      </c>
      <c r="F679" s="92">
        <v>3</v>
      </c>
      <c r="G679" s="75" t="s">
        <v>1519</v>
      </c>
      <c r="H679" s="75"/>
      <c r="I679" s="75"/>
      <c r="J679" s="75" t="s">
        <v>162</v>
      </c>
      <c r="K679" s="75" t="s">
        <v>509</v>
      </c>
      <c r="L679" s="75" t="s">
        <v>535</v>
      </c>
      <c r="M679" s="75" t="s">
        <v>509</v>
      </c>
      <c r="N679" s="75" t="s">
        <v>535</v>
      </c>
      <c r="O679" s="75" t="s">
        <v>1603</v>
      </c>
    </row>
    <row r="680" spans="1:15">
      <c r="A680" s="63" t="s">
        <v>849</v>
      </c>
      <c r="B680" s="14" t="str">
        <f>VLOOKUP(O680,'护理记录单文书字典(数据)'!B$4:C$99,2,0)</f>
        <v>AE836F350CFAB211A8BE484397DE1B10</v>
      </c>
      <c r="C680" s="75" t="s">
        <v>1611</v>
      </c>
      <c r="D680" s="75" t="s">
        <v>1612</v>
      </c>
      <c r="E680" s="92">
        <v>1</v>
      </c>
      <c r="F680" s="92">
        <v>1</v>
      </c>
      <c r="G680" s="75" t="s">
        <v>1518</v>
      </c>
      <c r="H680" s="75"/>
      <c r="I680" s="75"/>
      <c r="J680" s="75" t="s">
        <v>162</v>
      </c>
      <c r="K680" s="75" t="s">
        <v>509</v>
      </c>
      <c r="L680" s="75" t="s">
        <v>535</v>
      </c>
      <c r="M680" s="75" t="s">
        <v>509</v>
      </c>
      <c r="N680" s="75" t="s">
        <v>535</v>
      </c>
      <c r="O680" s="75" t="s">
        <v>1603</v>
      </c>
    </row>
    <row r="681" spans="1:15">
      <c r="A681" s="63" t="s">
        <v>849</v>
      </c>
      <c r="B681" s="14" t="str">
        <f>VLOOKUP(O681,'护理记录单文书字典(数据)'!B$4:C$99,2,0)</f>
        <v>AE836F350CFAB211A8BE484397DE1B10</v>
      </c>
      <c r="C681" s="75" t="s">
        <v>1611</v>
      </c>
      <c r="D681" s="75" t="s">
        <v>1612</v>
      </c>
      <c r="E681" s="92">
        <v>2</v>
      </c>
      <c r="F681" s="92">
        <v>2</v>
      </c>
      <c r="G681" s="75" t="s">
        <v>1604</v>
      </c>
      <c r="H681" s="75"/>
      <c r="I681" s="75"/>
      <c r="J681" s="75" t="s">
        <v>162</v>
      </c>
      <c r="K681" s="75" t="s">
        <v>509</v>
      </c>
      <c r="L681" s="75" t="s">
        <v>535</v>
      </c>
      <c r="M681" s="75" t="s">
        <v>509</v>
      </c>
      <c r="N681" s="75" t="s">
        <v>535</v>
      </c>
      <c r="O681" s="75" t="s">
        <v>1603</v>
      </c>
    </row>
    <row r="682" spans="1:15">
      <c r="A682" s="63" t="s">
        <v>849</v>
      </c>
      <c r="B682" s="14" t="str">
        <f>VLOOKUP(O682,'护理记录单文书字典(数据)'!B$4:C$99,2,0)</f>
        <v>AE836F350CFAB211A8BE484397DE1B10</v>
      </c>
      <c r="C682" s="75" t="s">
        <v>1611</v>
      </c>
      <c r="D682" s="75" t="s">
        <v>1612</v>
      </c>
      <c r="E682" s="92">
        <v>3</v>
      </c>
      <c r="F682" s="92">
        <v>3</v>
      </c>
      <c r="G682" s="75" t="s">
        <v>1519</v>
      </c>
      <c r="H682" s="75"/>
      <c r="I682" s="75"/>
      <c r="J682" s="75" t="s">
        <v>162</v>
      </c>
      <c r="K682" s="75" t="s">
        <v>509</v>
      </c>
      <c r="L682" s="75" t="s">
        <v>535</v>
      </c>
      <c r="M682" s="75" t="s">
        <v>509</v>
      </c>
      <c r="N682" s="75" t="s">
        <v>535</v>
      </c>
      <c r="O682" s="75" t="s">
        <v>1603</v>
      </c>
    </row>
    <row r="683" spans="1:15">
      <c r="A683" s="63" t="s">
        <v>849</v>
      </c>
      <c r="B683" s="14" t="str">
        <f>VLOOKUP(O683,'护理记录单文书字典(数据)'!B$4:C$99,2,0)</f>
        <v>AE836F350CFAB211A8BE484397DE1B10</v>
      </c>
      <c r="C683" s="75" t="s">
        <v>1613</v>
      </c>
      <c r="D683" s="75" t="s">
        <v>1614</v>
      </c>
      <c r="E683" s="92">
        <v>1</v>
      </c>
      <c r="F683" s="92">
        <v>0</v>
      </c>
      <c r="G683" s="75" t="s">
        <v>192</v>
      </c>
      <c r="H683" s="75"/>
      <c r="I683" s="75"/>
      <c r="J683" s="75" t="s">
        <v>162</v>
      </c>
      <c r="K683" s="75" t="s">
        <v>509</v>
      </c>
      <c r="L683" s="75" t="s">
        <v>535</v>
      </c>
      <c r="M683" s="75" t="s">
        <v>509</v>
      </c>
      <c r="N683" s="75" t="s">
        <v>535</v>
      </c>
      <c r="O683" s="75" t="s">
        <v>1603</v>
      </c>
    </row>
    <row r="684" spans="1:15">
      <c r="A684" s="63" t="s">
        <v>849</v>
      </c>
      <c r="B684" s="14" t="str">
        <f>VLOOKUP(O684,'护理记录单文书字典(数据)'!B$4:C$99,2,0)</f>
        <v>AE836F350CFAB211A8BE484397DE1B10</v>
      </c>
      <c r="C684" s="75" t="s">
        <v>1613</v>
      </c>
      <c r="D684" s="75" t="s">
        <v>1614</v>
      </c>
      <c r="E684" s="92">
        <v>2</v>
      </c>
      <c r="F684" s="92">
        <v>1</v>
      </c>
      <c r="G684" s="75" t="s">
        <v>191</v>
      </c>
      <c r="H684" s="75"/>
      <c r="I684" s="75"/>
      <c r="J684" s="75" t="s">
        <v>162</v>
      </c>
      <c r="K684" s="75" t="s">
        <v>509</v>
      </c>
      <c r="L684" s="75" t="s">
        <v>535</v>
      </c>
      <c r="M684" s="75" t="s">
        <v>509</v>
      </c>
      <c r="N684" s="75" t="s">
        <v>535</v>
      </c>
      <c r="O684" s="75" t="s">
        <v>1603</v>
      </c>
    </row>
    <row r="685" spans="1:15">
      <c r="A685" s="63" t="s">
        <v>849</v>
      </c>
      <c r="B685" s="14" t="str">
        <f>VLOOKUP(O685,'护理记录单文书字典(数据)'!B$4:C$99,2,0)</f>
        <v>AE836F350CFAB211A8BE484397DE1B10</v>
      </c>
      <c r="C685" s="75" t="s">
        <v>1615</v>
      </c>
      <c r="D685" s="75" t="s">
        <v>1616</v>
      </c>
      <c r="E685" s="92">
        <v>1</v>
      </c>
      <c r="F685" s="92">
        <v>1</v>
      </c>
      <c r="G685" s="75" t="s">
        <v>1617</v>
      </c>
      <c r="H685" s="75"/>
      <c r="I685" s="75"/>
      <c r="J685" s="75" t="s">
        <v>162</v>
      </c>
      <c r="K685" s="75" t="s">
        <v>509</v>
      </c>
      <c r="L685" s="75" t="s">
        <v>535</v>
      </c>
      <c r="M685" s="75" t="s">
        <v>509</v>
      </c>
      <c r="N685" s="75" t="s">
        <v>535</v>
      </c>
      <c r="O685" s="75" t="s">
        <v>1603</v>
      </c>
    </row>
    <row r="686" spans="1:15">
      <c r="A686" s="63" t="s">
        <v>849</v>
      </c>
      <c r="B686" s="14" t="str">
        <f>VLOOKUP(O686,'护理记录单文书字典(数据)'!B$4:C$99,2,0)</f>
        <v>AE836F350CFAB211A8BE484397DE1B10</v>
      </c>
      <c r="C686" s="75" t="s">
        <v>1615</v>
      </c>
      <c r="D686" s="75" t="s">
        <v>1616</v>
      </c>
      <c r="E686" s="92">
        <v>2</v>
      </c>
      <c r="F686" s="92">
        <v>2</v>
      </c>
      <c r="G686" s="75" t="s">
        <v>1618</v>
      </c>
      <c r="H686" s="75"/>
      <c r="I686" s="75"/>
      <c r="J686" s="75" t="s">
        <v>162</v>
      </c>
      <c r="K686" s="75" t="s">
        <v>509</v>
      </c>
      <c r="L686" s="75" t="s">
        <v>535</v>
      </c>
      <c r="M686" s="75" t="s">
        <v>509</v>
      </c>
      <c r="N686" s="75" t="s">
        <v>535</v>
      </c>
      <c r="O686" s="75" t="s">
        <v>1603</v>
      </c>
    </row>
    <row r="687" spans="1:15">
      <c r="A687" s="63" t="s">
        <v>849</v>
      </c>
      <c r="B687" s="14" t="str">
        <f>VLOOKUP(O687,'护理记录单文书字典(数据)'!B$4:C$99,2,0)</f>
        <v>AE836F350CFAB211A8BE484397DE1B10</v>
      </c>
      <c r="C687" s="75" t="s">
        <v>1615</v>
      </c>
      <c r="D687" s="75" t="s">
        <v>1616</v>
      </c>
      <c r="E687" s="92">
        <v>3</v>
      </c>
      <c r="F687" s="92">
        <v>3</v>
      </c>
      <c r="G687" s="75" t="s">
        <v>1619</v>
      </c>
      <c r="H687" s="75"/>
      <c r="I687" s="75"/>
      <c r="J687" s="75" t="s">
        <v>162</v>
      </c>
      <c r="K687" s="75" t="s">
        <v>509</v>
      </c>
      <c r="L687" s="75" t="s">
        <v>535</v>
      </c>
      <c r="M687" s="75" t="s">
        <v>509</v>
      </c>
      <c r="N687" s="75" t="s">
        <v>535</v>
      </c>
      <c r="O687" s="75" t="s">
        <v>1603</v>
      </c>
    </row>
    <row r="688" spans="1:15">
      <c r="A688" s="63" t="s">
        <v>849</v>
      </c>
      <c r="B688" s="14" t="str">
        <f>VLOOKUP(O688,'护理记录单文书字典(数据)'!B$4:C$99,2,0)</f>
        <v>AE836F350CFAB211A8BE484397DE1B10</v>
      </c>
      <c r="C688" s="75" t="s">
        <v>1620</v>
      </c>
      <c r="D688" s="75" t="s">
        <v>1621</v>
      </c>
      <c r="E688" s="92">
        <v>1</v>
      </c>
      <c r="F688" s="92">
        <v>1</v>
      </c>
      <c r="G688" s="75" t="s">
        <v>1518</v>
      </c>
      <c r="H688" s="75"/>
      <c r="I688" s="75"/>
      <c r="J688" s="75" t="s">
        <v>162</v>
      </c>
      <c r="K688" s="75" t="s">
        <v>509</v>
      </c>
      <c r="L688" s="75" t="s">
        <v>535</v>
      </c>
      <c r="M688" s="75" t="s">
        <v>509</v>
      </c>
      <c r="N688" s="75" t="s">
        <v>535</v>
      </c>
      <c r="O688" s="75" t="s">
        <v>1603</v>
      </c>
    </row>
    <row r="689" spans="1:15">
      <c r="A689" s="63" t="s">
        <v>849</v>
      </c>
      <c r="B689" s="14" t="str">
        <f>VLOOKUP(O689,'护理记录单文书字典(数据)'!B$4:C$99,2,0)</f>
        <v>AE836F350CFAB211A8BE484397DE1B10</v>
      </c>
      <c r="C689" s="75" t="s">
        <v>1620</v>
      </c>
      <c r="D689" s="75" t="s">
        <v>1621</v>
      </c>
      <c r="E689" s="92">
        <v>2</v>
      </c>
      <c r="F689" s="92">
        <v>2</v>
      </c>
      <c r="G689" s="75" t="s">
        <v>1604</v>
      </c>
      <c r="H689" s="75"/>
      <c r="I689" s="75"/>
      <c r="J689" s="75" t="s">
        <v>162</v>
      </c>
      <c r="K689" s="75" t="s">
        <v>509</v>
      </c>
      <c r="L689" s="75" t="s">
        <v>535</v>
      </c>
      <c r="M689" s="75" t="s">
        <v>509</v>
      </c>
      <c r="N689" s="75" t="s">
        <v>535</v>
      </c>
      <c r="O689" s="75" t="s">
        <v>1603</v>
      </c>
    </row>
    <row r="690" spans="1:15">
      <c r="A690" s="63" t="s">
        <v>849</v>
      </c>
      <c r="B690" s="14" t="str">
        <f>VLOOKUP(O690,'护理记录单文书字典(数据)'!B$4:C$99,2,0)</f>
        <v>AE836F350CFAB211A8BE484397DE1B10</v>
      </c>
      <c r="C690" s="75" t="s">
        <v>1620</v>
      </c>
      <c r="D690" s="75" t="s">
        <v>1621</v>
      </c>
      <c r="E690" s="92">
        <v>3</v>
      </c>
      <c r="F690" s="92">
        <v>3</v>
      </c>
      <c r="G690" s="75" t="s">
        <v>1519</v>
      </c>
      <c r="H690" s="75"/>
      <c r="I690" s="75"/>
      <c r="J690" s="75" t="s">
        <v>162</v>
      </c>
      <c r="K690" s="75" t="s">
        <v>509</v>
      </c>
      <c r="L690" s="75" t="s">
        <v>535</v>
      </c>
      <c r="M690" s="75" t="s">
        <v>509</v>
      </c>
      <c r="N690" s="75" t="s">
        <v>535</v>
      </c>
      <c r="O690" s="75" t="s">
        <v>1603</v>
      </c>
    </row>
    <row r="691" spans="1:15">
      <c r="A691" s="63" t="s">
        <v>849</v>
      </c>
      <c r="B691" s="14" t="str">
        <f>VLOOKUP(O691,'护理记录单文书字典(数据)'!B$4:C$99,2,0)</f>
        <v>AE836F350CFAB211A8BE484397DE1B10</v>
      </c>
      <c r="C691" s="75" t="s">
        <v>1622</v>
      </c>
      <c r="D691" s="75" t="s">
        <v>1623</v>
      </c>
      <c r="E691" s="92">
        <v>1</v>
      </c>
      <c r="F691" s="92">
        <v>1</v>
      </c>
      <c r="G691" s="75" t="s">
        <v>1518</v>
      </c>
      <c r="H691" s="75"/>
      <c r="I691" s="75"/>
      <c r="J691" s="75" t="s">
        <v>162</v>
      </c>
      <c r="K691" s="75" t="s">
        <v>509</v>
      </c>
      <c r="L691" s="75" t="s">
        <v>535</v>
      </c>
      <c r="M691" s="75" t="s">
        <v>509</v>
      </c>
      <c r="N691" s="75" t="s">
        <v>535</v>
      </c>
      <c r="O691" s="75" t="s">
        <v>1603</v>
      </c>
    </row>
    <row r="692" spans="1:15">
      <c r="A692" s="63" t="s">
        <v>849</v>
      </c>
      <c r="B692" s="14" t="str">
        <f>VLOOKUP(O692,'护理记录单文书字典(数据)'!B$4:C$99,2,0)</f>
        <v>AE836F350CFAB211A8BE484397DE1B10</v>
      </c>
      <c r="C692" s="75" t="s">
        <v>1622</v>
      </c>
      <c r="D692" s="75" t="s">
        <v>1623</v>
      </c>
      <c r="E692" s="92">
        <v>2</v>
      </c>
      <c r="F692" s="92">
        <v>2</v>
      </c>
      <c r="G692" s="75" t="s">
        <v>1604</v>
      </c>
      <c r="H692" s="75"/>
      <c r="I692" s="75"/>
      <c r="J692" s="75" t="s">
        <v>162</v>
      </c>
      <c r="K692" s="75" t="s">
        <v>509</v>
      </c>
      <c r="L692" s="75" t="s">
        <v>535</v>
      </c>
      <c r="M692" s="75" t="s">
        <v>509</v>
      </c>
      <c r="N692" s="75" t="s">
        <v>535</v>
      </c>
      <c r="O692" s="75" t="s">
        <v>1603</v>
      </c>
    </row>
    <row r="693" spans="1:15">
      <c r="A693" s="63" t="s">
        <v>849</v>
      </c>
      <c r="B693" s="14" t="str">
        <f>VLOOKUP(O693,'护理记录单文书字典(数据)'!B$4:C$99,2,0)</f>
        <v>AE836F350CFAB211A8BE484397DE1B10</v>
      </c>
      <c r="C693" s="75" t="s">
        <v>1622</v>
      </c>
      <c r="D693" s="75" t="s">
        <v>1623</v>
      </c>
      <c r="E693" s="92">
        <v>3</v>
      </c>
      <c r="F693" s="92">
        <v>3</v>
      </c>
      <c r="G693" s="75" t="s">
        <v>1519</v>
      </c>
      <c r="H693" s="75"/>
      <c r="I693" s="75"/>
      <c r="J693" s="75" t="s">
        <v>162</v>
      </c>
      <c r="K693" s="75" t="s">
        <v>509</v>
      </c>
      <c r="L693" s="75" t="s">
        <v>535</v>
      </c>
      <c r="M693" s="75" t="s">
        <v>509</v>
      </c>
      <c r="N693" s="75" t="s">
        <v>535</v>
      </c>
      <c r="O693" s="75" t="s">
        <v>1603</v>
      </c>
    </row>
    <row r="694" spans="1:15">
      <c r="A694" s="63" t="s">
        <v>849</v>
      </c>
      <c r="B694" s="14" t="str">
        <f>VLOOKUP(O694,'护理记录单文书字典(数据)'!B$4:C$99,2,0)</f>
        <v>AE836F350CFAB211A8BE484397DE1B10</v>
      </c>
      <c r="C694" s="75" t="s">
        <v>1624</v>
      </c>
      <c r="D694" s="75" t="s">
        <v>1625</v>
      </c>
      <c r="E694" s="92">
        <v>1</v>
      </c>
      <c r="F694" s="92">
        <v>1</v>
      </c>
      <c r="G694" s="75" t="s">
        <v>1518</v>
      </c>
      <c r="H694" s="75"/>
      <c r="I694" s="75"/>
      <c r="J694" s="75" t="s">
        <v>162</v>
      </c>
      <c r="K694" s="75" t="s">
        <v>509</v>
      </c>
      <c r="L694" s="75" t="s">
        <v>535</v>
      </c>
      <c r="M694" s="75" t="s">
        <v>509</v>
      </c>
      <c r="N694" s="75" t="s">
        <v>535</v>
      </c>
      <c r="O694" s="75" t="s">
        <v>1603</v>
      </c>
    </row>
    <row r="695" spans="1:15">
      <c r="A695" s="63" t="s">
        <v>849</v>
      </c>
      <c r="B695" s="14" t="str">
        <f>VLOOKUP(O695,'护理记录单文书字典(数据)'!B$4:C$99,2,0)</f>
        <v>AE836F350CFAB211A8BE484397DE1B10</v>
      </c>
      <c r="C695" s="75" t="s">
        <v>1624</v>
      </c>
      <c r="D695" s="75" t="s">
        <v>1625</v>
      </c>
      <c r="E695" s="92">
        <v>2</v>
      </c>
      <c r="F695" s="92">
        <v>2</v>
      </c>
      <c r="G695" s="75" t="s">
        <v>1604</v>
      </c>
      <c r="H695" s="75"/>
      <c r="I695" s="75"/>
      <c r="J695" s="75" t="s">
        <v>162</v>
      </c>
      <c r="K695" s="75" t="s">
        <v>509</v>
      </c>
      <c r="L695" s="75" t="s">
        <v>535</v>
      </c>
      <c r="M695" s="75" t="s">
        <v>509</v>
      </c>
      <c r="N695" s="75" t="s">
        <v>535</v>
      </c>
      <c r="O695" s="75" t="s">
        <v>1603</v>
      </c>
    </row>
    <row r="696" spans="1:15">
      <c r="A696" s="63" t="s">
        <v>849</v>
      </c>
      <c r="B696" s="14" t="str">
        <f>VLOOKUP(O696,'护理记录单文书字典(数据)'!B$4:C$99,2,0)</f>
        <v>AE836F350CFAB211A8BE484397DE1B10</v>
      </c>
      <c r="C696" s="75" t="s">
        <v>1624</v>
      </c>
      <c r="D696" s="75" t="s">
        <v>1625</v>
      </c>
      <c r="E696" s="92">
        <v>3</v>
      </c>
      <c r="F696" s="92">
        <v>3</v>
      </c>
      <c r="G696" s="75" t="s">
        <v>1519</v>
      </c>
      <c r="H696" s="75"/>
      <c r="I696" s="75"/>
      <c r="J696" s="75" t="s">
        <v>162</v>
      </c>
      <c r="K696" s="75" t="s">
        <v>509</v>
      </c>
      <c r="L696" s="75" t="s">
        <v>535</v>
      </c>
      <c r="M696" s="75" t="s">
        <v>509</v>
      </c>
      <c r="N696" s="75" t="s">
        <v>535</v>
      </c>
      <c r="O696" s="75" t="s">
        <v>1603</v>
      </c>
    </row>
    <row r="697" spans="1:15">
      <c r="A697" s="63" t="s">
        <v>849</v>
      </c>
      <c r="B697" s="14" t="str">
        <f>VLOOKUP(O697,'护理记录单文书字典(数据)'!B$4:C$99,2,0)</f>
        <v>AE836F350CFAB211A8BE484397DE1B10</v>
      </c>
      <c r="C697" s="75" t="s">
        <v>1626</v>
      </c>
      <c r="D697" s="75" t="s">
        <v>1627</v>
      </c>
      <c r="E697" s="92">
        <v>1</v>
      </c>
      <c r="F697" s="92">
        <v>1</v>
      </c>
      <c r="G697" s="75" t="s">
        <v>1518</v>
      </c>
      <c r="H697" s="75"/>
      <c r="I697" s="75"/>
      <c r="J697" s="75" t="s">
        <v>162</v>
      </c>
      <c r="K697" s="75" t="s">
        <v>509</v>
      </c>
      <c r="L697" s="75" t="s">
        <v>535</v>
      </c>
      <c r="M697" s="75" t="s">
        <v>509</v>
      </c>
      <c r="N697" s="75" t="s">
        <v>535</v>
      </c>
      <c r="O697" s="75" t="s">
        <v>1603</v>
      </c>
    </row>
    <row r="698" spans="1:15">
      <c r="A698" s="63" t="s">
        <v>849</v>
      </c>
      <c r="B698" s="14" t="str">
        <f>VLOOKUP(O698,'护理记录单文书字典(数据)'!B$4:C$99,2,0)</f>
        <v>AE836F350CFAB211A8BE484397DE1B10</v>
      </c>
      <c r="C698" s="75" t="s">
        <v>1626</v>
      </c>
      <c r="D698" s="75" t="s">
        <v>1627</v>
      </c>
      <c r="E698" s="92">
        <v>2</v>
      </c>
      <c r="F698" s="92">
        <v>2</v>
      </c>
      <c r="G698" s="75" t="s">
        <v>1604</v>
      </c>
      <c r="H698" s="75"/>
      <c r="I698" s="75"/>
      <c r="J698" s="75" t="s">
        <v>162</v>
      </c>
      <c r="K698" s="75" t="s">
        <v>509</v>
      </c>
      <c r="L698" s="75" t="s">
        <v>535</v>
      </c>
      <c r="M698" s="75" t="s">
        <v>509</v>
      </c>
      <c r="N698" s="75" t="s">
        <v>535</v>
      </c>
      <c r="O698" s="75" t="s">
        <v>1603</v>
      </c>
    </row>
    <row r="699" spans="1:15">
      <c r="A699" s="63" t="s">
        <v>849</v>
      </c>
      <c r="B699" s="14" t="str">
        <f>VLOOKUP(O699,'护理记录单文书字典(数据)'!B$4:C$99,2,0)</f>
        <v>AE836F350CFAB211A8BE484397DE1B10</v>
      </c>
      <c r="C699" s="75" t="s">
        <v>1626</v>
      </c>
      <c r="D699" s="75" t="s">
        <v>1627</v>
      </c>
      <c r="E699" s="92">
        <v>3</v>
      </c>
      <c r="F699" s="92">
        <v>3</v>
      </c>
      <c r="G699" s="75" t="s">
        <v>1519</v>
      </c>
      <c r="H699" s="75"/>
      <c r="I699" s="75"/>
      <c r="J699" s="75" t="s">
        <v>162</v>
      </c>
      <c r="K699" s="75" t="s">
        <v>509</v>
      </c>
      <c r="L699" s="75" t="s">
        <v>535</v>
      </c>
      <c r="M699" s="75" t="s">
        <v>509</v>
      </c>
      <c r="N699" s="75" t="s">
        <v>535</v>
      </c>
      <c r="O699" s="75" t="s">
        <v>1603</v>
      </c>
    </row>
    <row r="700" spans="1:15">
      <c r="A700" s="63" t="s">
        <v>849</v>
      </c>
      <c r="B700" s="14" t="str">
        <f>VLOOKUP(O700,'护理记录单文书字典(数据)'!B$4:C$99,2,0)</f>
        <v>AE836F350CFAB211A8BE484397DE1B10</v>
      </c>
      <c r="C700" s="75" t="s">
        <v>1628</v>
      </c>
      <c r="D700" s="75" t="s">
        <v>1629</v>
      </c>
      <c r="E700" s="92">
        <v>1</v>
      </c>
      <c r="F700" s="92">
        <v>1</v>
      </c>
      <c r="G700" s="75" t="s">
        <v>1630</v>
      </c>
      <c r="H700" s="75"/>
      <c r="I700" s="75"/>
      <c r="J700" s="75" t="s">
        <v>162</v>
      </c>
      <c r="K700" s="75" t="s">
        <v>509</v>
      </c>
      <c r="L700" s="75" t="s">
        <v>535</v>
      </c>
      <c r="M700" s="75" t="s">
        <v>509</v>
      </c>
      <c r="N700" s="75" t="s">
        <v>535</v>
      </c>
      <c r="O700" s="75" t="s">
        <v>1603</v>
      </c>
    </row>
    <row r="701" spans="1:15">
      <c r="A701" s="63" t="s">
        <v>849</v>
      </c>
      <c r="B701" s="14" t="str">
        <f>VLOOKUP(O701,'护理记录单文书字典(数据)'!B$4:C$99,2,0)</f>
        <v>AE836F350CFAB211A8BE484397DE1B10</v>
      </c>
      <c r="C701" s="75" t="s">
        <v>1628</v>
      </c>
      <c r="D701" s="75" t="s">
        <v>1629</v>
      </c>
      <c r="E701" s="92">
        <v>2</v>
      </c>
      <c r="F701" s="92">
        <v>2</v>
      </c>
      <c r="G701" s="75" t="s">
        <v>1234</v>
      </c>
      <c r="H701" s="75"/>
      <c r="I701" s="75"/>
      <c r="J701" s="75" t="s">
        <v>162</v>
      </c>
      <c r="K701" s="75" t="s">
        <v>509</v>
      </c>
      <c r="L701" s="75" t="s">
        <v>535</v>
      </c>
      <c r="M701" s="75" t="s">
        <v>509</v>
      </c>
      <c r="N701" s="75" t="s">
        <v>535</v>
      </c>
      <c r="O701" s="75" t="s">
        <v>1603</v>
      </c>
    </row>
    <row r="702" spans="1:15">
      <c r="A702" s="63" t="s">
        <v>849</v>
      </c>
      <c r="B702" s="14" t="str">
        <f>VLOOKUP(O702,'护理记录单文书字典(数据)'!B$4:C$99,2,0)</f>
        <v>AE836F350CFAB211A8BE484397DE1B10</v>
      </c>
      <c r="C702" s="75" t="s">
        <v>1628</v>
      </c>
      <c r="D702" s="75" t="s">
        <v>1629</v>
      </c>
      <c r="E702" s="92">
        <v>3</v>
      </c>
      <c r="F702" s="92">
        <v>3</v>
      </c>
      <c r="G702" s="75" t="s">
        <v>1631</v>
      </c>
      <c r="H702" s="75"/>
      <c r="I702" s="75"/>
      <c r="J702" s="75" t="s">
        <v>162</v>
      </c>
      <c r="K702" s="75" t="s">
        <v>509</v>
      </c>
      <c r="L702" s="75" t="s">
        <v>535</v>
      </c>
      <c r="M702" s="75" t="s">
        <v>509</v>
      </c>
      <c r="N702" s="75" t="s">
        <v>535</v>
      </c>
      <c r="O702" s="75" t="s">
        <v>1603</v>
      </c>
    </row>
    <row r="703" spans="1:15">
      <c r="A703" s="63" t="s">
        <v>849</v>
      </c>
      <c r="B703" s="14" t="str">
        <f>VLOOKUP(O703,'护理记录单文书字典(数据)'!B$4:C$99,2,0)</f>
        <v>AE836F350CFAB211A8BE484397DE1B10</v>
      </c>
      <c r="C703" s="75" t="s">
        <v>1632</v>
      </c>
      <c r="D703" s="75" t="s">
        <v>1633</v>
      </c>
      <c r="E703" s="92">
        <v>1</v>
      </c>
      <c r="F703" s="92">
        <v>0</v>
      </c>
      <c r="G703" s="75" t="s">
        <v>192</v>
      </c>
      <c r="H703" s="75"/>
      <c r="I703" s="75"/>
      <c r="J703" s="75" t="s">
        <v>162</v>
      </c>
      <c r="K703" s="75" t="s">
        <v>509</v>
      </c>
      <c r="L703" s="75" t="s">
        <v>535</v>
      </c>
      <c r="M703" s="75" t="s">
        <v>509</v>
      </c>
      <c r="N703" s="75" t="s">
        <v>535</v>
      </c>
      <c r="O703" s="75" t="s">
        <v>1603</v>
      </c>
    </row>
    <row r="704" spans="1:15">
      <c r="A704" s="63" t="s">
        <v>849</v>
      </c>
      <c r="B704" s="14" t="str">
        <f>VLOOKUP(O704,'护理记录单文书字典(数据)'!B$4:C$99,2,0)</f>
        <v>AE836F350CFAB211A8BE484397DE1B10</v>
      </c>
      <c r="C704" s="75" t="s">
        <v>1632</v>
      </c>
      <c r="D704" s="75" t="s">
        <v>1633</v>
      </c>
      <c r="E704" s="92">
        <v>2</v>
      </c>
      <c r="F704" s="92">
        <v>1</v>
      </c>
      <c r="G704" s="75" t="s">
        <v>191</v>
      </c>
      <c r="H704" s="75"/>
      <c r="I704" s="75"/>
      <c r="J704" s="75" t="s">
        <v>162</v>
      </c>
      <c r="K704" s="75" t="s">
        <v>509</v>
      </c>
      <c r="L704" s="75" t="s">
        <v>535</v>
      </c>
      <c r="M704" s="75" t="s">
        <v>509</v>
      </c>
      <c r="N704" s="75" t="s">
        <v>535</v>
      </c>
      <c r="O704" s="75" t="s">
        <v>1603</v>
      </c>
    </row>
    <row r="705" spans="1:15">
      <c r="A705" s="63" t="s">
        <v>849</v>
      </c>
      <c r="B705" s="14" t="str">
        <f>VLOOKUP(O705,'护理记录单文书字典(数据)'!B$4:C$99,2,0)</f>
        <v>DD567D350CFAB21109A725EA623D6041</v>
      </c>
      <c r="C705" s="75" t="s">
        <v>1634</v>
      </c>
      <c r="D705" s="75" t="s">
        <v>1635</v>
      </c>
      <c r="E705" s="92">
        <v>1</v>
      </c>
      <c r="F705" s="92">
        <v>1</v>
      </c>
      <c r="G705" s="75" t="s">
        <v>1636</v>
      </c>
      <c r="H705" s="75"/>
      <c r="I705" s="75"/>
      <c r="J705" s="75" t="s">
        <v>162</v>
      </c>
      <c r="K705" s="75" t="s">
        <v>509</v>
      </c>
      <c r="L705" s="75" t="s">
        <v>535</v>
      </c>
      <c r="M705" s="75" t="s">
        <v>509</v>
      </c>
      <c r="N705" s="75" t="s">
        <v>535</v>
      </c>
      <c r="O705" s="75" t="s">
        <v>1637</v>
      </c>
    </row>
    <row r="706" spans="1:15">
      <c r="A706" s="63" t="s">
        <v>849</v>
      </c>
      <c r="B706" s="14" t="str">
        <f>VLOOKUP(O706,'护理记录单文书字典(数据)'!B$4:C$99,2,0)</f>
        <v>DD567D350CFAB21109A725EA623D6041</v>
      </c>
      <c r="C706" s="75" t="s">
        <v>1634</v>
      </c>
      <c r="D706" s="75" t="s">
        <v>1635</v>
      </c>
      <c r="E706" s="92">
        <v>2</v>
      </c>
      <c r="F706" s="92">
        <v>2</v>
      </c>
      <c r="G706" s="75" t="s">
        <v>1638</v>
      </c>
      <c r="H706" s="75"/>
      <c r="I706" s="75"/>
      <c r="J706" s="75" t="s">
        <v>162</v>
      </c>
      <c r="K706" s="75" t="s">
        <v>509</v>
      </c>
      <c r="L706" s="75" t="s">
        <v>535</v>
      </c>
      <c r="M706" s="75" t="s">
        <v>509</v>
      </c>
      <c r="N706" s="75" t="s">
        <v>535</v>
      </c>
      <c r="O706" s="75" t="s">
        <v>1637</v>
      </c>
    </row>
    <row r="707" spans="1:15">
      <c r="A707" s="63" t="s">
        <v>849</v>
      </c>
      <c r="B707" s="14" t="str">
        <f>VLOOKUP(O707,'护理记录单文书字典(数据)'!B$4:C$99,2,0)</f>
        <v>DD567D350CFAB21109A725EA623D6041</v>
      </c>
      <c r="C707" s="75" t="s">
        <v>1634</v>
      </c>
      <c r="D707" s="75" t="s">
        <v>1635</v>
      </c>
      <c r="E707" s="92">
        <v>3</v>
      </c>
      <c r="F707" s="92">
        <v>3</v>
      </c>
      <c r="G707" s="75" t="s">
        <v>1639</v>
      </c>
      <c r="H707" s="75"/>
      <c r="I707" s="75"/>
      <c r="J707" s="75" t="s">
        <v>162</v>
      </c>
      <c r="K707" s="75" t="s">
        <v>509</v>
      </c>
      <c r="L707" s="75" t="s">
        <v>535</v>
      </c>
      <c r="M707" s="75" t="s">
        <v>509</v>
      </c>
      <c r="N707" s="75" t="s">
        <v>535</v>
      </c>
      <c r="O707" s="75" t="s">
        <v>1637</v>
      </c>
    </row>
    <row r="708" spans="1:15">
      <c r="A708" s="63" t="s">
        <v>849</v>
      </c>
      <c r="B708" s="14" t="str">
        <f>VLOOKUP(O708,'护理记录单文书字典(数据)'!B$4:C$99,2,0)</f>
        <v>DD567D350CFAB21109A725EA623D6041</v>
      </c>
      <c r="C708" s="75" t="s">
        <v>1640</v>
      </c>
      <c r="D708" s="75" t="s">
        <v>1641</v>
      </c>
      <c r="E708" s="92">
        <v>1</v>
      </c>
      <c r="F708" s="92">
        <v>1</v>
      </c>
      <c r="G708" s="75" t="s">
        <v>1642</v>
      </c>
      <c r="H708" s="75"/>
      <c r="I708" s="75"/>
      <c r="J708" s="75" t="s">
        <v>162</v>
      </c>
      <c r="K708" s="75" t="s">
        <v>509</v>
      </c>
      <c r="L708" s="75" t="s">
        <v>535</v>
      </c>
      <c r="M708" s="75" t="s">
        <v>509</v>
      </c>
      <c r="N708" s="75" t="s">
        <v>535</v>
      </c>
      <c r="O708" s="75" t="s">
        <v>1637</v>
      </c>
    </row>
    <row r="709" spans="1:15">
      <c r="A709" s="63" t="s">
        <v>849</v>
      </c>
      <c r="B709" s="14" t="str">
        <f>VLOOKUP(O709,'护理记录单文书字典(数据)'!B$4:C$99,2,0)</f>
        <v>DD567D350CFAB21109A725EA623D6041</v>
      </c>
      <c r="C709" s="75" t="s">
        <v>1640</v>
      </c>
      <c r="D709" s="75" t="s">
        <v>1641</v>
      </c>
      <c r="E709" s="92">
        <v>2</v>
      </c>
      <c r="F709" s="92">
        <v>2</v>
      </c>
      <c r="G709" s="75" t="s">
        <v>1643</v>
      </c>
      <c r="H709" s="75"/>
      <c r="I709" s="75"/>
      <c r="J709" s="75" t="s">
        <v>162</v>
      </c>
      <c r="K709" s="75" t="s">
        <v>509</v>
      </c>
      <c r="L709" s="75" t="s">
        <v>535</v>
      </c>
      <c r="M709" s="75" t="s">
        <v>509</v>
      </c>
      <c r="N709" s="75" t="s">
        <v>535</v>
      </c>
      <c r="O709" s="75" t="s">
        <v>1637</v>
      </c>
    </row>
    <row r="710" spans="1:15">
      <c r="A710" s="63" t="s">
        <v>849</v>
      </c>
      <c r="B710" s="14" t="str">
        <f>VLOOKUP(O710,'护理记录单文书字典(数据)'!B$4:C$99,2,0)</f>
        <v>DD567D350CFAB21109A725EA623D6041</v>
      </c>
      <c r="C710" s="75" t="s">
        <v>1640</v>
      </c>
      <c r="D710" s="75" t="s">
        <v>1641</v>
      </c>
      <c r="E710" s="92">
        <v>3</v>
      </c>
      <c r="F710" s="92">
        <v>3</v>
      </c>
      <c r="G710" s="75" t="s">
        <v>1644</v>
      </c>
      <c r="H710" s="75"/>
      <c r="I710" s="75"/>
      <c r="J710" s="75" t="s">
        <v>162</v>
      </c>
      <c r="K710" s="75" t="s">
        <v>509</v>
      </c>
      <c r="L710" s="75" t="s">
        <v>535</v>
      </c>
      <c r="M710" s="75" t="s">
        <v>509</v>
      </c>
      <c r="N710" s="75" t="s">
        <v>535</v>
      </c>
      <c r="O710" s="75" t="s">
        <v>1637</v>
      </c>
    </row>
    <row r="711" spans="1:15">
      <c r="A711" s="63" t="s">
        <v>849</v>
      </c>
      <c r="B711" s="14" t="str">
        <f>VLOOKUP(O711,'护理记录单文书字典(数据)'!B$4:C$99,2,0)</f>
        <v>DD567D350CFAB21109A725EA623D6041</v>
      </c>
      <c r="C711" s="75" t="s">
        <v>1640</v>
      </c>
      <c r="D711" s="75" t="s">
        <v>1641</v>
      </c>
      <c r="E711" s="92">
        <v>4</v>
      </c>
      <c r="F711" s="92">
        <v>4</v>
      </c>
      <c r="G711" s="75" t="s">
        <v>1645</v>
      </c>
      <c r="H711" s="75"/>
      <c r="I711" s="75"/>
      <c r="J711" s="75" t="s">
        <v>162</v>
      </c>
      <c r="K711" s="75" t="s">
        <v>509</v>
      </c>
      <c r="L711" s="75" t="s">
        <v>535</v>
      </c>
      <c r="M711" s="75" t="s">
        <v>509</v>
      </c>
      <c r="N711" s="75" t="s">
        <v>535</v>
      </c>
      <c r="O711" s="75" t="s">
        <v>1637</v>
      </c>
    </row>
    <row r="712" spans="1:15">
      <c r="A712" s="63" t="s">
        <v>849</v>
      </c>
      <c r="B712" s="14" t="str">
        <f>VLOOKUP(O712,'护理记录单文书字典(数据)'!B$4:C$99,2,0)</f>
        <v>DD567D350CFAB21109A725EA623D6041</v>
      </c>
      <c r="C712" s="75" t="s">
        <v>1646</v>
      </c>
      <c r="D712" s="75" t="s">
        <v>1647</v>
      </c>
      <c r="E712" s="92">
        <v>1</v>
      </c>
      <c r="F712" s="92">
        <v>1</v>
      </c>
      <c r="G712" s="75" t="s">
        <v>1133</v>
      </c>
      <c r="H712" s="75"/>
      <c r="I712" s="75"/>
      <c r="J712" s="75" t="s">
        <v>162</v>
      </c>
      <c r="K712" s="75" t="s">
        <v>509</v>
      </c>
      <c r="L712" s="75" t="s">
        <v>535</v>
      </c>
      <c r="M712" s="75" t="s">
        <v>509</v>
      </c>
      <c r="N712" s="75" t="s">
        <v>535</v>
      </c>
      <c r="O712" s="75" t="s">
        <v>1637</v>
      </c>
    </row>
    <row r="713" spans="1:15">
      <c r="A713" s="63" t="s">
        <v>849</v>
      </c>
      <c r="B713" s="14" t="str">
        <f>VLOOKUP(O713,'护理记录单文书字典(数据)'!B$4:C$99,2,0)</f>
        <v>DD567D350CFAB21109A725EA623D6041</v>
      </c>
      <c r="C713" s="75" t="s">
        <v>1646</v>
      </c>
      <c r="D713" s="75" t="s">
        <v>1647</v>
      </c>
      <c r="E713" s="92">
        <v>2</v>
      </c>
      <c r="F713" s="92">
        <v>2</v>
      </c>
      <c r="G713" s="75" t="s">
        <v>1132</v>
      </c>
      <c r="H713" s="75"/>
      <c r="I713" s="75"/>
      <c r="J713" s="75" t="s">
        <v>162</v>
      </c>
      <c r="K713" s="75" t="s">
        <v>509</v>
      </c>
      <c r="L713" s="75" t="s">
        <v>535</v>
      </c>
      <c r="M713" s="75" t="s">
        <v>509</v>
      </c>
      <c r="N713" s="75" t="s">
        <v>535</v>
      </c>
      <c r="O713" s="75" t="s">
        <v>1637</v>
      </c>
    </row>
    <row r="714" spans="1:15">
      <c r="A714" s="63" t="s">
        <v>849</v>
      </c>
      <c r="B714" s="14" t="str">
        <f>VLOOKUP(O714,'护理记录单文书字典(数据)'!B$4:C$99,2,0)</f>
        <v>DD567D350CFAB21109A725EA623D6041</v>
      </c>
      <c r="C714" s="75" t="s">
        <v>1646</v>
      </c>
      <c r="D714" s="75" t="s">
        <v>1647</v>
      </c>
      <c r="E714" s="92">
        <v>3</v>
      </c>
      <c r="F714" s="92">
        <v>3</v>
      </c>
      <c r="G714" s="75" t="s">
        <v>1648</v>
      </c>
      <c r="H714" s="75"/>
      <c r="I714" s="75"/>
      <c r="J714" s="75" t="s">
        <v>162</v>
      </c>
      <c r="K714" s="75" t="s">
        <v>509</v>
      </c>
      <c r="L714" s="75" t="s">
        <v>535</v>
      </c>
      <c r="M714" s="75" t="s">
        <v>509</v>
      </c>
      <c r="N714" s="75" t="s">
        <v>535</v>
      </c>
      <c r="O714" s="75" t="s">
        <v>1637</v>
      </c>
    </row>
    <row r="715" spans="1:15">
      <c r="A715" s="63" t="s">
        <v>849</v>
      </c>
      <c r="B715" s="14" t="str">
        <f>VLOOKUP(O715,'护理记录单文书字典(数据)'!B$4:C$99,2,0)</f>
        <v>DD567D350CFAB21109A725EA623D6041</v>
      </c>
      <c r="C715" s="75" t="s">
        <v>1646</v>
      </c>
      <c r="D715" s="75" t="s">
        <v>1647</v>
      </c>
      <c r="E715" s="92">
        <v>4</v>
      </c>
      <c r="F715" s="92">
        <v>4</v>
      </c>
      <c r="G715" s="75" t="s">
        <v>1645</v>
      </c>
      <c r="H715" s="75"/>
      <c r="I715" s="75"/>
      <c r="J715" s="75" t="s">
        <v>162</v>
      </c>
      <c r="K715" s="75" t="s">
        <v>509</v>
      </c>
      <c r="L715" s="75" t="s">
        <v>535</v>
      </c>
      <c r="M715" s="75" t="s">
        <v>509</v>
      </c>
      <c r="N715" s="75" t="s">
        <v>535</v>
      </c>
      <c r="O715" s="75" t="s">
        <v>1637</v>
      </c>
    </row>
    <row r="716" spans="1:15">
      <c r="A716" s="63" t="s">
        <v>849</v>
      </c>
      <c r="B716" s="14" t="str">
        <f>VLOOKUP(O716,'护理记录单文书字典(数据)'!B$4:C$99,2,0)</f>
        <v>DD567D350CFAB21109A725EA623D6041</v>
      </c>
      <c r="C716" s="75" t="s">
        <v>1649</v>
      </c>
      <c r="D716" s="75" t="s">
        <v>1650</v>
      </c>
      <c r="E716" s="92">
        <v>1</v>
      </c>
      <c r="F716" s="92">
        <v>1</v>
      </c>
      <c r="G716" s="75" t="s">
        <v>1651</v>
      </c>
      <c r="H716" s="75"/>
      <c r="I716" s="75"/>
      <c r="J716" s="75" t="s">
        <v>162</v>
      </c>
      <c r="K716" s="75" t="s">
        <v>509</v>
      </c>
      <c r="L716" s="75" t="s">
        <v>535</v>
      </c>
      <c r="M716" s="75" t="s">
        <v>509</v>
      </c>
      <c r="N716" s="75" t="s">
        <v>535</v>
      </c>
      <c r="O716" s="75" t="s">
        <v>1637</v>
      </c>
    </row>
    <row r="717" spans="1:15">
      <c r="A717" s="63" t="s">
        <v>849</v>
      </c>
      <c r="B717" s="14" t="str">
        <f>VLOOKUP(O717,'护理记录单文书字典(数据)'!B$4:C$99,2,0)</f>
        <v>DD567D350CFAB21109A725EA623D6041</v>
      </c>
      <c r="C717" s="75" t="s">
        <v>1649</v>
      </c>
      <c r="D717" s="75" t="s">
        <v>1650</v>
      </c>
      <c r="E717" s="92">
        <v>2</v>
      </c>
      <c r="F717" s="92">
        <v>2</v>
      </c>
      <c r="G717" s="75" t="s">
        <v>1203</v>
      </c>
      <c r="H717" s="75"/>
      <c r="I717" s="75"/>
      <c r="J717" s="75" t="s">
        <v>162</v>
      </c>
      <c r="K717" s="75" t="s">
        <v>509</v>
      </c>
      <c r="L717" s="75" t="s">
        <v>535</v>
      </c>
      <c r="M717" s="75" t="s">
        <v>509</v>
      </c>
      <c r="N717" s="75" t="s">
        <v>535</v>
      </c>
      <c r="O717" s="75" t="s">
        <v>1637</v>
      </c>
    </row>
    <row r="718" spans="1:15">
      <c r="A718" s="63" t="s">
        <v>849</v>
      </c>
      <c r="B718" s="14" t="str">
        <f>VLOOKUP(O718,'护理记录单文书字典(数据)'!B$4:C$99,2,0)</f>
        <v>DD567D350CFAB21109A725EA623D6041</v>
      </c>
      <c r="C718" s="75" t="s">
        <v>1649</v>
      </c>
      <c r="D718" s="75" t="s">
        <v>1650</v>
      </c>
      <c r="E718" s="92">
        <v>3</v>
      </c>
      <c r="F718" s="92">
        <v>3</v>
      </c>
      <c r="G718" s="75" t="s">
        <v>1652</v>
      </c>
      <c r="H718" s="75"/>
      <c r="I718" s="75"/>
      <c r="J718" s="75" t="s">
        <v>162</v>
      </c>
      <c r="K718" s="75" t="s">
        <v>509</v>
      </c>
      <c r="L718" s="75" t="s">
        <v>535</v>
      </c>
      <c r="M718" s="75" t="s">
        <v>509</v>
      </c>
      <c r="N718" s="75" t="s">
        <v>535</v>
      </c>
      <c r="O718" s="75" t="s">
        <v>1637</v>
      </c>
    </row>
    <row r="719" spans="1:15">
      <c r="A719" s="63" t="s">
        <v>849</v>
      </c>
      <c r="B719" s="14" t="str">
        <f>VLOOKUP(O719,'护理记录单文书字典(数据)'!B$4:C$99,2,0)</f>
        <v>DD567D350CFAB21109A725EA623D6041</v>
      </c>
      <c r="C719" s="75" t="s">
        <v>1649</v>
      </c>
      <c r="D719" s="75" t="s">
        <v>1650</v>
      </c>
      <c r="E719" s="92">
        <v>4</v>
      </c>
      <c r="F719" s="92">
        <v>4</v>
      </c>
      <c r="G719" s="75" t="s">
        <v>1653</v>
      </c>
      <c r="H719" s="75"/>
      <c r="I719" s="75"/>
      <c r="J719" s="75" t="s">
        <v>162</v>
      </c>
      <c r="K719" s="75" t="s">
        <v>509</v>
      </c>
      <c r="L719" s="75" t="s">
        <v>535</v>
      </c>
      <c r="M719" s="75" t="s">
        <v>509</v>
      </c>
      <c r="N719" s="75" t="s">
        <v>535</v>
      </c>
      <c r="O719" s="75" t="s">
        <v>1637</v>
      </c>
    </row>
    <row r="720" spans="1:15">
      <c r="A720" s="63" t="s">
        <v>849</v>
      </c>
      <c r="B720" s="14" t="str">
        <f>VLOOKUP(O720,'护理记录单文书字典(数据)'!B$4:C$99,2,0)</f>
        <v>DD567D350CFAB21109A725EA623D6041</v>
      </c>
      <c r="C720" s="75" t="s">
        <v>1654</v>
      </c>
      <c r="D720" s="75" t="s">
        <v>1655</v>
      </c>
      <c r="E720" s="92">
        <v>1</v>
      </c>
      <c r="F720" s="92">
        <v>1</v>
      </c>
      <c r="G720" s="75" t="s">
        <v>1332</v>
      </c>
      <c r="H720" s="75"/>
      <c r="I720" s="75"/>
      <c r="J720" s="75" t="s">
        <v>162</v>
      </c>
      <c r="K720" s="75" t="s">
        <v>509</v>
      </c>
      <c r="L720" s="75" t="s">
        <v>535</v>
      </c>
      <c r="M720" s="75" t="s">
        <v>509</v>
      </c>
      <c r="N720" s="75" t="s">
        <v>535</v>
      </c>
      <c r="O720" s="75" t="s">
        <v>1637</v>
      </c>
    </row>
    <row r="721" spans="1:15">
      <c r="A721" s="63" t="s">
        <v>849</v>
      </c>
      <c r="B721" s="14" t="str">
        <f>VLOOKUP(O721,'护理记录单文书字典(数据)'!B$4:C$99,2,0)</f>
        <v>DD567D350CFAB21109A725EA623D6041</v>
      </c>
      <c r="C721" s="75" t="s">
        <v>1654</v>
      </c>
      <c r="D721" s="75" t="s">
        <v>1655</v>
      </c>
      <c r="E721" s="92">
        <v>2</v>
      </c>
      <c r="F721" s="92">
        <v>2</v>
      </c>
      <c r="G721" s="75" t="s">
        <v>1333</v>
      </c>
      <c r="H721" s="75"/>
      <c r="I721" s="75"/>
      <c r="J721" s="75" t="s">
        <v>162</v>
      </c>
      <c r="K721" s="75" t="s">
        <v>509</v>
      </c>
      <c r="L721" s="75" t="s">
        <v>535</v>
      </c>
      <c r="M721" s="75" t="s">
        <v>509</v>
      </c>
      <c r="N721" s="75" t="s">
        <v>535</v>
      </c>
      <c r="O721" s="75" t="s">
        <v>1637</v>
      </c>
    </row>
    <row r="722" spans="1:15">
      <c r="A722" s="63" t="s">
        <v>849</v>
      </c>
      <c r="B722" s="14" t="str">
        <f>VLOOKUP(O722,'护理记录单文书字典(数据)'!B$4:C$99,2,0)</f>
        <v>DD567D350CFAB21109A725EA623D6041</v>
      </c>
      <c r="C722" s="75" t="s">
        <v>1654</v>
      </c>
      <c r="D722" s="75" t="s">
        <v>1655</v>
      </c>
      <c r="E722" s="92">
        <v>3</v>
      </c>
      <c r="F722" s="92">
        <v>3</v>
      </c>
      <c r="G722" s="75" t="s">
        <v>1656</v>
      </c>
      <c r="H722" s="75"/>
      <c r="I722" s="75"/>
      <c r="J722" s="75" t="s">
        <v>162</v>
      </c>
      <c r="K722" s="75" t="s">
        <v>509</v>
      </c>
      <c r="L722" s="75" t="s">
        <v>535</v>
      </c>
      <c r="M722" s="75" t="s">
        <v>509</v>
      </c>
      <c r="N722" s="75" t="s">
        <v>535</v>
      </c>
      <c r="O722" s="75" t="s">
        <v>1637</v>
      </c>
    </row>
    <row r="723" spans="1:15">
      <c r="A723" s="63" t="s">
        <v>849</v>
      </c>
      <c r="B723" s="14" t="str">
        <f>VLOOKUP(O723,'护理记录单文书字典(数据)'!B$4:C$99,2,0)</f>
        <v>DD567D350CFAB21109A725EA623D6041</v>
      </c>
      <c r="C723" s="75" t="s">
        <v>1654</v>
      </c>
      <c r="D723" s="75" t="s">
        <v>1655</v>
      </c>
      <c r="E723" s="92">
        <v>4</v>
      </c>
      <c r="F723" s="92">
        <v>4</v>
      </c>
      <c r="G723" s="75" t="s">
        <v>1657</v>
      </c>
      <c r="H723" s="75"/>
      <c r="I723" s="75"/>
      <c r="J723" s="75" t="s">
        <v>162</v>
      </c>
      <c r="K723" s="75" t="s">
        <v>509</v>
      </c>
      <c r="L723" s="75" t="s">
        <v>535</v>
      </c>
      <c r="M723" s="75" t="s">
        <v>509</v>
      </c>
      <c r="N723" s="75" t="s">
        <v>535</v>
      </c>
      <c r="O723" s="75" t="s">
        <v>1637</v>
      </c>
    </row>
    <row r="724" spans="1:15">
      <c r="A724" s="63" t="s">
        <v>849</v>
      </c>
      <c r="B724" s="14" t="str">
        <f>VLOOKUP(O724,'护理记录单文书字典(数据)'!B$4:C$99,2,0)</f>
        <v>DD567D350CFAB21109A725EA623D6041</v>
      </c>
      <c r="C724" s="75" t="s">
        <v>1658</v>
      </c>
      <c r="D724" s="75" t="s">
        <v>1659</v>
      </c>
      <c r="E724" s="92">
        <v>1</v>
      </c>
      <c r="F724" s="92">
        <v>1</v>
      </c>
      <c r="G724" s="75" t="s">
        <v>1256</v>
      </c>
      <c r="H724" s="75"/>
      <c r="I724" s="75"/>
      <c r="J724" s="75" t="s">
        <v>162</v>
      </c>
      <c r="K724" s="75" t="s">
        <v>509</v>
      </c>
      <c r="L724" s="75" t="s">
        <v>535</v>
      </c>
      <c r="M724" s="75" t="s">
        <v>509</v>
      </c>
      <c r="N724" s="75" t="s">
        <v>535</v>
      </c>
      <c r="O724" s="75" t="s">
        <v>1637</v>
      </c>
    </row>
    <row r="725" spans="1:15">
      <c r="A725" s="63" t="s">
        <v>849</v>
      </c>
      <c r="B725" s="14" t="str">
        <f>VLOOKUP(O725,'护理记录单文书字典(数据)'!B$4:C$99,2,0)</f>
        <v>DD567D350CFAB21109A725EA623D6041</v>
      </c>
      <c r="C725" s="75" t="s">
        <v>1658</v>
      </c>
      <c r="D725" s="75" t="s">
        <v>1659</v>
      </c>
      <c r="E725" s="92">
        <v>2</v>
      </c>
      <c r="F725" s="92">
        <v>2</v>
      </c>
      <c r="G725" s="75" t="s">
        <v>1660</v>
      </c>
      <c r="H725" s="75"/>
      <c r="I725" s="75"/>
      <c r="J725" s="75" t="s">
        <v>162</v>
      </c>
      <c r="K725" s="75" t="s">
        <v>509</v>
      </c>
      <c r="L725" s="75" t="s">
        <v>535</v>
      </c>
      <c r="M725" s="75" t="s">
        <v>509</v>
      </c>
      <c r="N725" s="75" t="s">
        <v>535</v>
      </c>
      <c r="O725" s="75" t="s">
        <v>1637</v>
      </c>
    </row>
    <row r="726" spans="1:15">
      <c r="A726" s="63" t="s">
        <v>849</v>
      </c>
      <c r="B726" s="14" t="str">
        <f>VLOOKUP(O726,'护理记录单文书字典(数据)'!B$4:C$99,2,0)</f>
        <v>DD567D350CFAB21109A725EA623D6041</v>
      </c>
      <c r="C726" s="75" t="s">
        <v>1658</v>
      </c>
      <c r="D726" s="75" t="s">
        <v>1659</v>
      </c>
      <c r="E726" s="92">
        <v>3</v>
      </c>
      <c r="F726" s="92">
        <v>3</v>
      </c>
      <c r="G726" s="75" t="s">
        <v>1661</v>
      </c>
      <c r="H726" s="75"/>
      <c r="I726" s="75"/>
      <c r="J726" s="75" t="s">
        <v>162</v>
      </c>
      <c r="K726" s="75" t="s">
        <v>509</v>
      </c>
      <c r="L726" s="75" t="s">
        <v>535</v>
      </c>
      <c r="M726" s="75" t="s">
        <v>509</v>
      </c>
      <c r="N726" s="75" t="s">
        <v>535</v>
      </c>
      <c r="O726" s="75" t="s">
        <v>1637</v>
      </c>
    </row>
    <row r="727" spans="1:15">
      <c r="A727" s="63" t="s">
        <v>849</v>
      </c>
      <c r="B727" s="14" t="str">
        <f>VLOOKUP(O727,'护理记录单文书字典(数据)'!B$4:C$99,2,0)</f>
        <v>DD567D350CFAB21109A725EA623D6041</v>
      </c>
      <c r="C727" s="75" t="s">
        <v>1658</v>
      </c>
      <c r="D727" s="75" t="s">
        <v>1659</v>
      </c>
      <c r="E727" s="92">
        <v>4</v>
      </c>
      <c r="F727" s="92">
        <v>4</v>
      </c>
      <c r="G727" s="75" t="s">
        <v>1662</v>
      </c>
      <c r="H727" s="75"/>
      <c r="I727" s="75"/>
      <c r="J727" s="75" t="s">
        <v>162</v>
      </c>
      <c r="K727" s="75" t="s">
        <v>509</v>
      </c>
      <c r="L727" s="75" t="s">
        <v>535</v>
      </c>
      <c r="M727" s="75" t="s">
        <v>509</v>
      </c>
      <c r="N727" s="75" t="s">
        <v>535</v>
      </c>
      <c r="O727" s="75" t="s">
        <v>1637</v>
      </c>
    </row>
    <row r="728" spans="1:15">
      <c r="A728" s="63" t="s">
        <v>849</v>
      </c>
      <c r="B728" s="14" t="str">
        <f>VLOOKUP(O728,'护理记录单文书字典(数据)'!B$4:C$99,2,0)</f>
        <v>DD567D350CFAB21109A725EA623D6041</v>
      </c>
      <c r="C728" s="75" t="s">
        <v>1663</v>
      </c>
      <c r="D728" s="75" t="s">
        <v>1664</v>
      </c>
      <c r="E728" s="92">
        <v>1</v>
      </c>
      <c r="F728" s="92">
        <v>1</v>
      </c>
      <c r="G728" s="75" t="s">
        <v>1665</v>
      </c>
      <c r="H728" s="75"/>
      <c r="I728" s="75"/>
      <c r="J728" s="75" t="s">
        <v>162</v>
      </c>
      <c r="K728" s="75" t="s">
        <v>509</v>
      </c>
      <c r="L728" s="75" t="s">
        <v>535</v>
      </c>
      <c r="M728" s="75" t="s">
        <v>509</v>
      </c>
      <c r="N728" s="75" t="s">
        <v>535</v>
      </c>
      <c r="O728" s="75" t="s">
        <v>1637</v>
      </c>
    </row>
    <row r="729" spans="1:15">
      <c r="A729" s="63" t="s">
        <v>849</v>
      </c>
      <c r="B729" s="14" t="str">
        <f>VLOOKUP(O729,'护理记录单文书字典(数据)'!B$4:C$99,2,0)</f>
        <v>DD567D350CFAB21109A725EA623D6041</v>
      </c>
      <c r="C729" s="75" t="s">
        <v>1663</v>
      </c>
      <c r="D729" s="75" t="s">
        <v>1664</v>
      </c>
      <c r="E729" s="92">
        <v>2</v>
      </c>
      <c r="F729" s="92">
        <v>2</v>
      </c>
      <c r="G729" s="75" t="s">
        <v>1666</v>
      </c>
      <c r="H729" s="75"/>
      <c r="I729" s="75"/>
      <c r="J729" s="75" t="s">
        <v>162</v>
      </c>
      <c r="K729" s="75" t="s">
        <v>509</v>
      </c>
      <c r="L729" s="75" t="s">
        <v>535</v>
      </c>
      <c r="M729" s="75" t="s">
        <v>509</v>
      </c>
      <c r="N729" s="75" t="s">
        <v>535</v>
      </c>
      <c r="O729" s="75" t="s">
        <v>1637</v>
      </c>
    </row>
    <row r="730" spans="1:15">
      <c r="A730" s="63" t="s">
        <v>849</v>
      </c>
      <c r="B730" s="14" t="str">
        <f>VLOOKUP(O730,'护理记录单文书字典(数据)'!B$4:C$99,2,0)</f>
        <v>DD567D350CFAB21109A725EA623D6041</v>
      </c>
      <c r="C730" s="75" t="s">
        <v>1663</v>
      </c>
      <c r="D730" s="75" t="s">
        <v>1664</v>
      </c>
      <c r="E730" s="92">
        <v>3</v>
      </c>
      <c r="F730" s="92">
        <v>3</v>
      </c>
      <c r="G730" s="75" t="s">
        <v>1667</v>
      </c>
      <c r="H730" s="75"/>
      <c r="I730" s="75"/>
      <c r="J730" s="75" t="s">
        <v>162</v>
      </c>
      <c r="K730" s="75" t="s">
        <v>509</v>
      </c>
      <c r="L730" s="75" t="s">
        <v>535</v>
      </c>
      <c r="M730" s="75" t="s">
        <v>509</v>
      </c>
      <c r="N730" s="75" t="s">
        <v>535</v>
      </c>
      <c r="O730" s="75" t="s">
        <v>1637</v>
      </c>
    </row>
    <row r="731" spans="1:15">
      <c r="A731" s="63" t="s">
        <v>849</v>
      </c>
      <c r="B731" s="14" t="str">
        <f>VLOOKUP(O731,'护理记录单文书字典(数据)'!B$4:C$99,2,0)</f>
        <v>DD567D350CFAB21109A725EA623D6041</v>
      </c>
      <c r="C731" s="75" t="s">
        <v>1663</v>
      </c>
      <c r="D731" s="75" t="s">
        <v>1664</v>
      </c>
      <c r="E731" s="92">
        <v>4</v>
      </c>
      <c r="F731" s="92">
        <v>4</v>
      </c>
      <c r="G731" s="75" t="s">
        <v>1668</v>
      </c>
      <c r="H731" s="75"/>
      <c r="I731" s="75"/>
      <c r="J731" s="75" t="s">
        <v>162</v>
      </c>
      <c r="K731" s="75" t="s">
        <v>509</v>
      </c>
      <c r="L731" s="75" t="s">
        <v>535</v>
      </c>
      <c r="M731" s="75" t="s">
        <v>509</v>
      </c>
      <c r="N731" s="75" t="s">
        <v>535</v>
      </c>
      <c r="O731" s="75" t="s">
        <v>1637</v>
      </c>
    </row>
    <row r="732" spans="1:15">
      <c r="A732" s="63" t="s">
        <v>849</v>
      </c>
      <c r="B732" s="14" t="str">
        <f>VLOOKUP(O732,'护理记录单文书字典(数据)'!B$4:C$99,2,0)</f>
        <v>DD567D350CFAB21109A725EA623D6041</v>
      </c>
      <c r="C732" s="75" t="s">
        <v>1663</v>
      </c>
      <c r="D732" s="75" t="s">
        <v>1664</v>
      </c>
      <c r="E732" s="92">
        <v>5</v>
      </c>
      <c r="F732" s="92">
        <v>5</v>
      </c>
      <c r="G732" s="75" t="s">
        <v>1669</v>
      </c>
      <c r="H732" s="75"/>
      <c r="I732" s="75"/>
      <c r="J732" s="75" t="s">
        <v>162</v>
      </c>
      <c r="K732" s="75" t="s">
        <v>509</v>
      </c>
      <c r="L732" s="75" t="s">
        <v>535</v>
      </c>
      <c r="M732" s="75" t="s">
        <v>509</v>
      </c>
      <c r="N732" s="75" t="s">
        <v>535</v>
      </c>
      <c r="O732" s="75" t="s">
        <v>1637</v>
      </c>
    </row>
    <row r="733" spans="1:15">
      <c r="A733" s="63" t="s">
        <v>849</v>
      </c>
      <c r="B733" s="14" t="str">
        <f>VLOOKUP(O733,'护理记录单文书字典(数据)'!B$4:C$99,2,0)</f>
        <v>DD567D350CFAB21109A725EA623D6041</v>
      </c>
      <c r="C733" s="75" t="s">
        <v>1663</v>
      </c>
      <c r="D733" s="75" t="s">
        <v>1664</v>
      </c>
      <c r="E733" s="92">
        <v>6</v>
      </c>
      <c r="F733" s="92">
        <v>6</v>
      </c>
      <c r="G733" s="75" t="s">
        <v>1670</v>
      </c>
      <c r="H733" s="75"/>
      <c r="I733" s="75"/>
      <c r="J733" s="75" t="s">
        <v>162</v>
      </c>
      <c r="K733" s="75" t="s">
        <v>509</v>
      </c>
      <c r="L733" s="75" t="s">
        <v>535</v>
      </c>
      <c r="M733" s="75" t="s">
        <v>509</v>
      </c>
      <c r="N733" s="75" t="s">
        <v>535</v>
      </c>
      <c r="O733" s="75" t="s">
        <v>1637</v>
      </c>
    </row>
    <row r="734" spans="1:15">
      <c r="A734" s="63" t="s">
        <v>849</v>
      </c>
      <c r="B734" s="14" t="str">
        <f>VLOOKUP(O734,'护理记录单文书字典(数据)'!B$4:C$99,2,0)</f>
        <v>DD567D350CFAB21109A725EA623D6041</v>
      </c>
      <c r="C734" s="75" t="s">
        <v>1663</v>
      </c>
      <c r="D734" s="75" t="s">
        <v>1664</v>
      </c>
      <c r="E734" s="92">
        <v>7</v>
      </c>
      <c r="F734" s="92">
        <v>7</v>
      </c>
      <c r="G734" s="75" t="s">
        <v>1671</v>
      </c>
      <c r="H734" s="75"/>
      <c r="I734" s="75"/>
      <c r="J734" s="75" t="s">
        <v>162</v>
      </c>
      <c r="K734" s="75" t="s">
        <v>509</v>
      </c>
      <c r="L734" s="75" t="s">
        <v>535</v>
      </c>
      <c r="M734" s="75" t="s">
        <v>509</v>
      </c>
      <c r="N734" s="75" t="s">
        <v>535</v>
      </c>
      <c r="O734" s="75" t="s">
        <v>1637</v>
      </c>
    </row>
    <row r="735" spans="1:15">
      <c r="A735" s="63" t="s">
        <v>849</v>
      </c>
      <c r="B735" s="14" t="str">
        <f>VLOOKUP(O735,'护理记录单文书字典(数据)'!B$4:C$99,2,0)</f>
        <v>DD567D350CFAB21109A725EA623D6041</v>
      </c>
      <c r="C735" s="75" t="s">
        <v>1663</v>
      </c>
      <c r="D735" s="75" t="s">
        <v>1664</v>
      </c>
      <c r="E735" s="92">
        <v>8</v>
      </c>
      <c r="F735" s="92">
        <v>8</v>
      </c>
      <c r="G735" s="75" t="s">
        <v>1672</v>
      </c>
      <c r="H735" s="75"/>
      <c r="I735" s="75"/>
      <c r="J735" s="75" t="s">
        <v>162</v>
      </c>
      <c r="K735" s="75" t="s">
        <v>509</v>
      </c>
      <c r="L735" s="75" t="s">
        <v>535</v>
      </c>
      <c r="M735" s="75" t="s">
        <v>509</v>
      </c>
      <c r="N735" s="75" t="s">
        <v>535</v>
      </c>
      <c r="O735" s="75" t="s">
        <v>1637</v>
      </c>
    </row>
    <row r="736" spans="1:15">
      <c r="A736" s="63" t="s">
        <v>849</v>
      </c>
      <c r="B736" s="14" t="str">
        <f>VLOOKUP(O736,'护理记录单文书字典(数据)'!B$4:C$99,2,0)</f>
        <v>DD567D350CFAB21109A725EA623D6041</v>
      </c>
      <c r="C736" s="75" t="s">
        <v>1663</v>
      </c>
      <c r="D736" s="75" t="s">
        <v>1664</v>
      </c>
      <c r="E736" s="92">
        <v>9</v>
      </c>
      <c r="F736" s="92">
        <v>9</v>
      </c>
      <c r="G736" s="75" t="s">
        <v>1673</v>
      </c>
      <c r="H736" s="75"/>
      <c r="I736" s="75"/>
      <c r="J736" s="75" t="s">
        <v>162</v>
      </c>
      <c r="K736" s="75" t="s">
        <v>509</v>
      </c>
      <c r="L736" s="75" t="s">
        <v>535</v>
      </c>
      <c r="M736" s="75" t="s">
        <v>509</v>
      </c>
      <c r="N736" s="75" t="s">
        <v>535</v>
      </c>
      <c r="O736" s="75" t="s">
        <v>1637</v>
      </c>
    </row>
    <row r="737" spans="1:15">
      <c r="A737" s="63" t="s">
        <v>849</v>
      </c>
      <c r="B737" s="14" t="str">
        <f>VLOOKUP(O737,'护理记录单文书字典(数据)'!B$4:C$99,2,0)</f>
        <v>DD567D350CFAB21109A725EA623D6041</v>
      </c>
      <c r="C737" s="75" t="s">
        <v>1663</v>
      </c>
      <c r="D737" s="75" t="s">
        <v>1664</v>
      </c>
      <c r="E737" s="92">
        <v>10</v>
      </c>
      <c r="F737" s="92">
        <v>10</v>
      </c>
      <c r="G737" s="75" t="s">
        <v>1674</v>
      </c>
      <c r="H737" s="75"/>
      <c r="I737" s="75"/>
      <c r="J737" s="75" t="s">
        <v>162</v>
      </c>
      <c r="K737" s="75" t="s">
        <v>509</v>
      </c>
      <c r="L737" s="75" t="s">
        <v>535</v>
      </c>
      <c r="M737" s="75" t="s">
        <v>509</v>
      </c>
      <c r="N737" s="75" t="s">
        <v>535</v>
      </c>
      <c r="O737" s="75" t="s">
        <v>1637</v>
      </c>
    </row>
    <row r="738" spans="1:15">
      <c r="A738" s="63" t="s">
        <v>849</v>
      </c>
      <c r="B738" s="14" t="str">
        <f>VLOOKUP(O738,'护理记录单文书字典(数据)'!B$4:C$99,2,0)</f>
        <v>DD567D350CFAB21109A725EA623D6041</v>
      </c>
      <c r="C738" s="75" t="s">
        <v>1675</v>
      </c>
      <c r="D738" s="75" t="s">
        <v>1676</v>
      </c>
      <c r="E738" s="92">
        <v>1</v>
      </c>
      <c r="F738" s="92">
        <v>1</v>
      </c>
      <c r="G738" s="75" t="s">
        <v>1677</v>
      </c>
      <c r="H738" s="75"/>
      <c r="I738" s="75"/>
      <c r="J738" s="75" t="s">
        <v>162</v>
      </c>
      <c r="K738" s="75" t="s">
        <v>509</v>
      </c>
      <c r="L738" s="75" t="s">
        <v>535</v>
      </c>
      <c r="M738" s="75" t="s">
        <v>509</v>
      </c>
      <c r="N738" s="75" t="s">
        <v>535</v>
      </c>
      <c r="O738" s="75" t="s">
        <v>1637</v>
      </c>
    </row>
    <row r="739" spans="1:15">
      <c r="A739" s="63" t="s">
        <v>849</v>
      </c>
      <c r="B739" s="14" t="str">
        <f>VLOOKUP(O739,'护理记录单文书字典(数据)'!B$4:C$99,2,0)</f>
        <v>DD567D350CFAB21109A725EA623D6041</v>
      </c>
      <c r="C739" s="75" t="s">
        <v>1675</v>
      </c>
      <c r="D739" s="75" t="s">
        <v>1676</v>
      </c>
      <c r="E739" s="92">
        <v>2</v>
      </c>
      <c r="F739" s="92">
        <v>2</v>
      </c>
      <c r="G739" s="75" t="s">
        <v>1678</v>
      </c>
      <c r="H739" s="75"/>
      <c r="I739" s="75"/>
      <c r="J739" s="75" t="s">
        <v>162</v>
      </c>
      <c r="K739" s="75" t="s">
        <v>509</v>
      </c>
      <c r="L739" s="75" t="s">
        <v>535</v>
      </c>
      <c r="M739" s="75" t="s">
        <v>509</v>
      </c>
      <c r="N739" s="75" t="s">
        <v>535</v>
      </c>
      <c r="O739" s="75" t="s">
        <v>1637</v>
      </c>
    </row>
    <row r="740" spans="1:15">
      <c r="A740" s="63" t="s">
        <v>849</v>
      </c>
      <c r="B740" s="14" t="str">
        <f>VLOOKUP(O740,'护理记录单文书字典(数据)'!B$4:C$99,2,0)</f>
        <v>DD567D350CFAB21109A725EA623D6041</v>
      </c>
      <c r="C740" s="75" t="s">
        <v>1675</v>
      </c>
      <c r="D740" s="75" t="s">
        <v>1676</v>
      </c>
      <c r="E740" s="92">
        <v>3</v>
      </c>
      <c r="F740" s="92">
        <v>3</v>
      </c>
      <c r="G740" s="75" t="s">
        <v>1679</v>
      </c>
      <c r="H740" s="75"/>
      <c r="I740" s="75"/>
      <c r="J740" s="75" t="s">
        <v>162</v>
      </c>
      <c r="K740" s="75" t="s">
        <v>509</v>
      </c>
      <c r="L740" s="75" t="s">
        <v>535</v>
      </c>
      <c r="M740" s="75" t="s">
        <v>509</v>
      </c>
      <c r="N740" s="75" t="s">
        <v>535</v>
      </c>
      <c r="O740" s="75" t="s">
        <v>1637</v>
      </c>
    </row>
    <row r="741" spans="1:15">
      <c r="A741" s="63" t="s">
        <v>849</v>
      </c>
      <c r="B741" s="14" t="str">
        <f>VLOOKUP(O741,'护理记录单文书字典(数据)'!B$4:C$99,2,0)</f>
        <v>DD567D350CFAB21109A725EA623D6041</v>
      </c>
      <c r="C741" s="75" t="s">
        <v>1675</v>
      </c>
      <c r="D741" s="75" t="s">
        <v>1676</v>
      </c>
      <c r="E741" s="92">
        <v>4</v>
      </c>
      <c r="F741" s="92">
        <v>4</v>
      </c>
      <c r="G741" s="75" t="s">
        <v>1680</v>
      </c>
      <c r="H741" s="75"/>
      <c r="I741" s="75"/>
      <c r="J741" s="75" t="s">
        <v>162</v>
      </c>
      <c r="K741" s="75" t="s">
        <v>509</v>
      </c>
      <c r="L741" s="75" t="s">
        <v>535</v>
      </c>
      <c r="M741" s="75" t="s">
        <v>509</v>
      </c>
      <c r="N741" s="75" t="s">
        <v>535</v>
      </c>
      <c r="O741" s="75" t="s">
        <v>1637</v>
      </c>
    </row>
    <row r="742" spans="1:15">
      <c r="A742" s="63" t="s">
        <v>849</v>
      </c>
      <c r="B742" s="14" t="str">
        <f>VLOOKUP(O742,'护理记录单文书字典(数据)'!B$4:C$99,2,0)</f>
        <v>3B718C350CFAB211C196D23EFDAAC124</v>
      </c>
      <c r="C742" s="75" t="s">
        <v>1681</v>
      </c>
      <c r="D742" s="75" t="s">
        <v>1682</v>
      </c>
      <c r="E742" s="92">
        <v>1</v>
      </c>
      <c r="F742" s="92">
        <v>1</v>
      </c>
      <c r="G742" s="75" t="s">
        <v>981</v>
      </c>
      <c r="H742" s="75"/>
      <c r="I742" s="75"/>
      <c r="J742" s="75" t="s">
        <v>162</v>
      </c>
      <c r="K742" s="75" t="s">
        <v>509</v>
      </c>
      <c r="L742" s="75" t="s">
        <v>535</v>
      </c>
      <c r="M742" s="75" t="s">
        <v>509</v>
      </c>
      <c r="N742" s="75" t="s">
        <v>535</v>
      </c>
      <c r="O742" s="75" t="s">
        <v>1683</v>
      </c>
    </row>
    <row r="743" spans="1:15">
      <c r="A743" s="63" t="s">
        <v>849</v>
      </c>
      <c r="B743" s="14" t="str">
        <f>VLOOKUP(O743,'护理记录单文书字典(数据)'!B$4:C$99,2,0)</f>
        <v>3B718C350CFAB211C196D23EFDAAC124</v>
      </c>
      <c r="C743" s="75" t="s">
        <v>1681</v>
      </c>
      <c r="D743" s="75" t="s">
        <v>1682</v>
      </c>
      <c r="E743" s="92">
        <v>2</v>
      </c>
      <c r="F743" s="92">
        <v>2</v>
      </c>
      <c r="G743" s="75" t="s">
        <v>982</v>
      </c>
      <c r="H743" s="75"/>
      <c r="I743" s="75"/>
      <c r="J743" s="75" t="s">
        <v>162</v>
      </c>
      <c r="K743" s="75" t="s">
        <v>509</v>
      </c>
      <c r="L743" s="75" t="s">
        <v>535</v>
      </c>
      <c r="M743" s="75" t="s">
        <v>509</v>
      </c>
      <c r="N743" s="75" t="s">
        <v>535</v>
      </c>
      <c r="O743" s="75" t="s">
        <v>1683</v>
      </c>
    </row>
    <row r="744" spans="1:15">
      <c r="A744" s="63" t="s">
        <v>849</v>
      </c>
      <c r="B744" s="14" t="str">
        <f>VLOOKUP(O744,'护理记录单文书字典(数据)'!B$4:C$99,2,0)</f>
        <v>3B718C350CFAB211C196D23EFDAAC124</v>
      </c>
      <c r="C744" s="75" t="s">
        <v>1681</v>
      </c>
      <c r="D744" s="75" t="s">
        <v>1682</v>
      </c>
      <c r="E744" s="92">
        <v>3</v>
      </c>
      <c r="F744" s="92">
        <v>3</v>
      </c>
      <c r="G744" s="75" t="s">
        <v>983</v>
      </c>
      <c r="H744" s="75"/>
      <c r="I744" s="75"/>
      <c r="J744" s="75" t="s">
        <v>162</v>
      </c>
      <c r="K744" s="75" t="s">
        <v>509</v>
      </c>
      <c r="L744" s="75" t="s">
        <v>535</v>
      </c>
      <c r="M744" s="75" t="s">
        <v>509</v>
      </c>
      <c r="N744" s="75" t="s">
        <v>535</v>
      </c>
      <c r="O744" s="75" t="s">
        <v>1683</v>
      </c>
    </row>
    <row r="745" spans="1:15">
      <c r="A745" s="63" t="s">
        <v>849</v>
      </c>
      <c r="B745" s="14" t="str">
        <f>VLOOKUP(O745,'护理记录单文书字典(数据)'!B$4:C$99,2,0)</f>
        <v>768793350CFAB211BD98291F1176296E</v>
      </c>
      <c r="C745" s="75" t="s">
        <v>1684</v>
      </c>
      <c r="D745" s="75" t="s">
        <v>1685</v>
      </c>
      <c r="E745" s="92">
        <v>1</v>
      </c>
      <c r="F745" s="92">
        <v>1</v>
      </c>
      <c r="G745" s="75" t="s">
        <v>1686</v>
      </c>
      <c r="H745" s="75">
        <v>1</v>
      </c>
      <c r="I745" s="75"/>
      <c r="J745" s="75" t="s">
        <v>162</v>
      </c>
      <c r="K745" s="75" t="s">
        <v>509</v>
      </c>
      <c r="L745" s="75" t="s">
        <v>535</v>
      </c>
      <c r="M745" s="75" t="s">
        <v>509</v>
      </c>
      <c r="N745" s="75" t="s">
        <v>535</v>
      </c>
      <c r="O745" s="75" t="s">
        <v>1687</v>
      </c>
    </row>
    <row r="746" spans="1:15">
      <c r="A746" s="63" t="s">
        <v>849</v>
      </c>
      <c r="B746" s="14" t="str">
        <f>VLOOKUP(O746,'护理记录单文书字典(数据)'!B$4:C$99,2,0)</f>
        <v>768793350CFAB211BD98291F1176296E</v>
      </c>
      <c r="C746" s="75" t="s">
        <v>1684</v>
      </c>
      <c r="D746" s="75" t="s">
        <v>1685</v>
      </c>
      <c r="E746" s="92">
        <v>2</v>
      </c>
      <c r="F746" s="92">
        <v>2</v>
      </c>
      <c r="G746" s="75" t="s">
        <v>1688</v>
      </c>
      <c r="H746" s="75">
        <v>2</v>
      </c>
      <c r="I746" s="75"/>
      <c r="J746" s="75" t="s">
        <v>162</v>
      </c>
      <c r="K746" s="75" t="s">
        <v>509</v>
      </c>
      <c r="L746" s="75" t="s">
        <v>535</v>
      </c>
      <c r="M746" s="75" t="s">
        <v>509</v>
      </c>
      <c r="N746" s="75" t="s">
        <v>535</v>
      </c>
      <c r="O746" s="75" t="s">
        <v>1687</v>
      </c>
    </row>
    <row r="747" spans="1:15">
      <c r="A747" s="63" t="s">
        <v>849</v>
      </c>
      <c r="B747" s="14" t="str">
        <f>VLOOKUP(O747,'护理记录单文书字典(数据)'!B$4:C$99,2,0)</f>
        <v>768793350CFAB211BD98291F1176296E</v>
      </c>
      <c r="C747" s="75" t="s">
        <v>1684</v>
      </c>
      <c r="D747" s="75" t="s">
        <v>1685</v>
      </c>
      <c r="E747" s="92">
        <v>3</v>
      </c>
      <c r="F747" s="92">
        <v>3</v>
      </c>
      <c r="G747" s="75" t="s">
        <v>1689</v>
      </c>
      <c r="H747" s="75">
        <v>3</v>
      </c>
      <c r="I747" s="75"/>
      <c r="J747" s="75" t="s">
        <v>162</v>
      </c>
      <c r="K747" s="75" t="s">
        <v>509</v>
      </c>
      <c r="L747" s="75" t="s">
        <v>535</v>
      </c>
      <c r="M747" s="75" t="s">
        <v>509</v>
      </c>
      <c r="N747" s="75" t="s">
        <v>535</v>
      </c>
      <c r="O747" s="75" t="s">
        <v>1687</v>
      </c>
    </row>
    <row r="748" spans="1:15">
      <c r="A748" s="63" t="s">
        <v>849</v>
      </c>
      <c r="B748" s="14" t="str">
        <f>VLOOKUP(O748,'护理记录单文书字典(数据)'!B$4:C$99,2,0)</f>
        <v>768793350CFAB211BD98291F1176296E</v>
      </c>
      <c r="C748" s="75" t="s">
        <v>1684</v>
      </c>
      <c r="D748" s="75" t="s">
        <v>1685</v>
      </c>
      <c r="E748" s="92">
        <v>4</v>
      </c>
      <c r="F748" s="92">
        <v>4</v>
      </c>
      <c r="G748" s="75" t="s">
        <v>1145</v>
      </c>
      <c r="H748" s="75">
        <v>4</v>
      </c>
      <c r="I748" s="75"/>
      <c r="J748" s="75" t="s">
        <v>162</v>
      </c>
      <c r="K748" s="75" t="s">
        <v>509</v>
      </c>
      <c r="L748" s="75" t="s">
        <v>535</v>
      </c>
      <c r="M748" s="75" t="s">
        <v>509</v>
      </c>
      <c r="N748" s="75" t="s">
        <v>535</v>
      </c>
      <c r="O748" s="75" t="s">
        <v>1687</v>
      </c>
    </row>
    <row r="749" spans="1:15">
      <c r="A749" s="63" t="s">
        <v>849</v>
      </c>
      <c r="B749" s="14" t="str">
        <f>VLOOKUP(O749,'护理记录单文书字典(数据)'!B$4:C$99,2,0)</f>
        <v>768793350CFAB211BD98291F1176296E</v>
      </c>
      <c r="C749" s="75" t="s">
        <v>1684</v>
      </c>
      <c r="D749" s="75" t="s">
        <v>1685</v>
      </c>
      <c r="E749" s="92">
        <v>5</v>
      </c>
      <c r="F749" s="92">
        <v>5</v>
      </c>
      <c r="G749" s="75" t="s">
        <v>1690</v>
      </c>
      <c r="H749" s="75">
        <v>5</v>
      </c>
      <c r="I749" s="75"/>
      <c r="J749" s="75" t="s">
        <v>162</v>
      </c>
      <c r="K749" s="75" t="s">
        <v>509</v>
      </c>
      <c r="L749" s="75" t="s">
        <v>535</v>
      </c>
      <c r="M749" s="75" t="s">
        <v>509</v>
      </c>
      <c r="N749" s="75" t="s">
        <v>535</v>
      </c>
      <c r="O749" s="75" t="s">
        <v>1687</v>
      </c>
    </row>
    <row r="750" spans="1:15">
      <c r="A750" s="63" t="s">
        <v>849</v>
      </c>
      <c r="B750" s="14" t="str">
        <f>VLOOKUP(O750,'护理记录单文书字典(数据)'!B$4:C$99,2,0)</f>
        <v>768793350CFAB211BD98291F1176296E</v>
      </c>
      <c r="C750" s="75" t="s">
        <v>1691</v>
      </c>
      <c r="D750" s="75" t="s">
        <v>1692</v>
      </c>
      <c r="E750" s="92">
        <v>1</v>
      </c>
      <c r="F750" s="92">
        <v>1</v>
      </c>
      <c r="G750" s="75" t="s">
        <v>1693</v>
      </c>
      <c r="H750" s="75">
        <v>1</v>
      </c>
      <c r="I750" s="75"/>
      <c r="J750" s="75" t="s">
        <v>162</v>
      </c>
      <c r="K750" s="75" t="s">
        <v>509</v>
      </c>
      <c r="L750" s="75" t="s">
        <v>535</v>
      </c>
      <c r="M750" s="75" t="s">
        <v>509</v>
      </c>
      <c r="N750" s="75" t="s">
        <v>535</v>
      </c>
      <c r="O750" s="75" t="s">
        <v>1687</v>
      </c>
    </row>
    <row r="751" spans="1:15">
      <c r="A751" s="63" t="s">
        <v>849</v>
      </c>
      <c r="B751" s="14" t="str">
        <f>VLOOKUP(O751,'护理记录单文书字典(数据)'!B$4:C$99,2,0)</f>
        <v>768793350CFAB211BD98291F1176296E</v>
      </c>
      <c r="C751" s="75" t="s">
        <v>1691</v>
      </c>
      <c r="D751" s="75" t="s">
        <v>1692</v>
      </c>
      <c r="E751" s="92">
        <v>2</v>
      </c>
      <c r="F751" s="92">
        <v>2</v>
      </c>
      <c r="G751" s="75" t="s">
        <v>1688</v>
      </c>
      <c r="H751" s="75">
        <v>2</v>
      </c>
      <c r="I751" s="75"/>
      <c r="J751" s="75" t="s">
        <v>162</v>
      </c>
      <c r="K751" s="75" t="s">
        <v>509</v>
      </c>
      <c r="L751" s="75" t="s">
        <v>535</v>
      </c>
      <c r="M751" s="75" t="s">
        <v>509</v>
      </c>
      <c r="N751" s="75" t="s">
        <v>535</v>
      </c>
      <c r="O751" s="75" t="s">
        <v>1687</v>
      </c>
    </row>
    <row r="752" spans="1:15">
      <c r="A752" s="63" t="s">
        <v>849</v>
      </c>
      <c r="B752" s="14" t="str">
        <f>VLOOKUP(O752,'护理记录单文书字典(数据)'!B$4:C$99,2,0)</f>
        <v>768793350CFAB211BD98291F1176296E</v>
      </c>
      <c r="C752" s="75" t="s">
        <v>1691</v>
      </c>
      <c r="D752" s="75" t="s">
        <v>1692</v>
      </c>
      <c r="E752" s="92">
        <v>3</v>
      </c>
      <c r="F752" s="92">
        <v>3</v>
      </c>
      <c r="G752" s="75" t="s">
        <v>1689</v>
      </c>
      <c r="H752" s="75">
        <v>3</v>
      </c>
      <c r="I752" s="75"/>
      <c r="J752" s="75" t="s">
        <v>162</v>
      </c>
      <c r="K752" s="75" t="s">
        <v>509</v>
      </c>
      <c r="L752" s="75" t="s">
        <v>535</v>
      </c>
      <c r="M752" s="75" t="s">
        <v>509</v>
      </c>
      <c r="N752" s="75" t="s">
        <v>535</v>
      </c>
      <c r="O752" s="75" t="s">
        <v>1687</v>
      </c>
    </row>
    <row r="753" spans="1:15">
      <c r="A753" s="63" t="s">
        <v>849</v>
      </c>
      <c r="B753" s="14" t="str">
        <f>VLOOKUP(O753,'护理记录单文书字典(数据)'!B$4:C$99,2,0)</f>
        <v>768793350CFAB211BD98291F1176296E</v>
      </c>
      <c r="C753" s="75" t="s">
        <v>1691</v>
      </c>
      <c r="D753" s="75" t="s">
        <v>1692</v>
      </c>
      <c r="E753" s="92">
        <v>4</v>
      </c>
      <c r="F753" s="92">
        <v>4</v>
      </c>
      <c r="G753" s="75" t="s">
        <v>1145</v>
      </c>
      <c r="H753" s="75">
        <v>4</v>
      </c>
      <c r="I753" s="75"/>
      <c r="J753" s="75" t="s">
        <v>162</v>
      </c>
      <c r="K753" s="75" t="s">
        <v>509</v>
      </c>
      <c r="L753" s="75" t="s">
        <v>535</v>
      </c>
      <c r="M753" s="75" t="s">
        <v>509</v>
      </c>
      <c r="N753" s="75" t="s">
        <v>535</v>
      </c>
      <c r="O753" s="75" t="s">
        <v>1687</v>
      </c>
    </row>
    <row r="754" spans="1:15">
      <c r="A754" s="63" t="s">
        <v>849</v>
      </c>
      <c r="B754" s="14" t="str">
        <f>VLOOKUP(O754,'护理记录单文书字典(数据)'!B$4:C$99,2,0)</f>
        <v>768793350CFAB211BD98291F1176296E</v>
      </c>
      <c r="C754" s="75" t="s">
        <v>1691</v>
      </c>
      <c r="D754" s="75" t="s">
        <v>1692</v>
      </c>
      <c r="E754" s="92">
        <v>5</v>
      </c>
      <c r="F754" s="92">
        <v>5</v>
      </c>
      <c r="G754" s="75" t="s">
        <v>1690</v>
      </c>
      <c r="H754" s="75">
        <v>5</v>
      </c>
      <c r="I754" s="75"/>
      <c r="J754" s="75" t="s">
        <v>162</v>
      </c>
      <c r="K754" s="75" t="s">
        <v>509</v>
      </c>
      <c r="L754" s="75" t="s">
        <v>535</v>
      </c>
      <c r="M754" s="75" t="s">
        <v>509</v>
      </c>
      <c r="N754" s="75" t="s">
        <v>535</v>
      </c>
      <c r="O754" s="75" t="s">
        <v>1687</v>
      </c>
    </row>
    <row r="755" spans="1:15">
      <c r="A755" s="63" t="s">
        <v>849</v>
      </c>
      <c r="B755" s="14" t="str">
        <f>VLOOKUP(O755,'护理记录单文书字典(数据)'!B$4:C$99,2,0)</f>
        <v>768793350CFAB211BD98291F1176296E</v>
      </c>
      <c r="C755" s="75" t="s">
        <v>1694</v>
      </c>
      <c r="D755" s="75" t="s">
        <v>1695</v>
      </c>
      <c r="E755" s="92">
        <v>1</v>
      </c>
      <c r="F755" s="92">
        <v>1</v>
      </c>
      <c r="G755" s="75" t="s">
        <v>1696</v>
      </c>
      <c r="H755" s="75">
        <v>1</v>
      </c>
      <c r="I755" s="75"/>
      <c r="J755" s="75" t="s">
        <v>162</v>
      </c>
      <c r="K755" s="75" t="s">
        <v>509</v>
      </c>
      <c r="L755" s="75" t="s">
        <v>535</v>
      </c>
      <c r="M755" s="75" t="s">
        <v>509</v>
      </c>
      <c r="N755" s="75" t="s">
        <v>535</v>
      </c>
      <c r="O755" s="75" t="s">
        <v>1687</v>
      </c>
    </row>
    <row r="756" spans="1:15">
      <c r="A756" s="63" t="s">
        <v>849</v>
      </c>
      <c r="B756" s="14" t="str">
        <f>VLOOKUP(O756,'护理记录单文书字典(数据)'!B$4:C$99,2,0)</f>
        <v>768793350CFAB211BD98291F1176296E</v>
      </c>
      <c r="C756" s="75" t="s">
        <v>1694</v>
      </c>
      <c r="D756" s="75" t="s">
        <v>1695</v>
      </c>
      <c r="E756" s="92">
        <v>2</v>
      </c>
      <c r="F756" s="92">
        <v>2</v>
      </c>
      <c r="G756" s="75" t="s">
        <v>1688</v>
      </c>
      <c r="H756" s="75">
        <v>2</v>
      </c>
      <c r="I756" s="75"/>
      <c r="J756" s="75" t="s">
        <v>162</v>
      </c>
      <c r="K756" s="75" t="s">
        <v>509</v>
      </c>
      <c r="L756" s="75" t="s">
        <v>535</v>
      </c>
      <c r="M756" s="75" t="s">
        <v>509</v>
      </c>
      <c r="N756" s="75" t="s">
        <v>535</v>
      </c>
      <c r="O756" s="75" t="s">
        <v>1687</v>
      </c>
    </row>
    <row r="757" spans="1:15">
      <c r="A757" s="63" t="s">
        <v>849</v>
      </c>
      <c r="B757" s="14" t="str">
        <f>VLOOKUP(O757,'护理记录单文书字典(数据)'!B$4:C$99,2,0)</f>
        <v>768793350CFAB211BD98291F1176296E</v>
      </c>
      <c r="C757" s="75" t="s">
        <v>1694</v>
      </c>
      <c r="D757" s="75" t="s">
        <v>1695</v>
      </c>
      <c r="E757" s="92">
        <v>3</v>
      </c>
      <c r="F757" s="92">
        <v>3</v>
      </c>
      <c r="G757" s="75" t="s">
        <v>1689</v>
      </c>
      <c r="H757" s="75">
        <v>3</v>
      </c>
      <c r="I757" s="75"/>
      <c r="J757" s="75" t="s">
        <v>162</v>
      </c>
      <c r="K757" s="75" t="s">
        <v>509</v>
      </c>
      <c r="L757" s="75" t="s">
        <v>535</v>
      </c>
      <c r="M757" s="75" t="s">
        <v>509</v>
      </c>
      <c r="N757" s="75" t="s">
        <v>535</v>
      </c>
      <c r="O757" s="75" t="s">
        <v>1687</v>
      </c>
    </row>
    <row r="758" spans="1:15">
      <c r="A758" s="63" t="s">
        <v>849</v>
      </c>
      <c r="B758" s="14" t="str">
        <f>VLOOKUP(O758,'护理记录单文书字典(数据)'!B$4:C$99,2,0)</f>
        <v>768793350CFAB211BD98291F1176296E</v>
      </c>
      <c r="C758" s="75" t="s">
        <v>1694</v>
      </c>
      <c r="D758" s="75" t="s">
        <v>1695</v>
      </c>
      <c r="E758" s="92">
        <v>4</v>
      </c>
      <c r="F758" s="92">
        <v>4</v>
      </c>
      <c r="G758" s="75" t="s">
        <v>1145</v>
      </c>
      <c r="H758" s="75">
        <v>4</v>
      </c>
      <c r="I758" s="75"/>
      <c r="J758" s="75" t="s">
        <v>162</v>
      </c>
      <c r="K758" s="75" t="s">
        <v>509</v>
      </c>
      <c r="L758" s="75" t="s">
        <v>535</v>
      </c>
      <c r="M758" s="75" t="s">
        <v>509</v>
      </c>
      <c r="N758" s="75" t="s">
        <v>535</v>
      </c>
      <c r="O758" s="75" t="s">
        <v>1687</v>
      </c>
    </row>
    <row r="759" spans="1:15">
      <c r="A759" s="63" t="s">
        <v>849</v>
      </c>
      <c r="B759" s="14" t="str">
        <f>VLOOKUP(O759,'护理记录单文书字典(数据)'!B$4:C$99,2,0)</f>
        <v>768793350CFAB211BD98291F1176296E</v>
      </c>
      <c r="C759" s="75" t="s">
        <v>1694</v>
      </c>
      <c r="D759" s="75" t="s">
        <v>1695</v>
      </c>
      <c r="E759" s="92">
        <v>5</v>
      </c>
      <c r="F759" s="92">
        <v>5</v>
      </c>
      <c r="G759" s="75" t="s">
        <v>1690</v>
      </c>
      <c r="H759" s="75">
        <v>5</v>
      </c>
      <c r="I759" s="75"/>
      <c r="J759" s="75" t="s">
        <v>162</v>
      </c>
      <c r="K759" s="75" t="s">
        <v>509</v>
      </c>
      <c r="L759" s="75" t="s">
        <v>535</v>
      </c>
      <c r="M759" s="75" t="s">
        <v>509</v>
      </c>
      <c r="N759" s="75" t="s">
        <v>535</v>
      </c>
      <c r="O759" s="75" t="s">
        <v>1687</v>
      </c>
    </row>
    <row r="760" spans="1:15">
      <c r="A760" s="63" t="s">
        <v>849</v>
      </c>
      <c r="B760" s="14" t="str">
        <f>VLOOKUP(O760,'护理记录单文书字典(数据)'!B$4:C$99,2,0)</f>
        <v>768793350CFAB211BD98291F1176296E</v>
      </c>
      <c r="C760" s="75" t="s">
        <v>1697</v>
      </c>
      <c r="D760" s="75" t="s">
        <v>1698</v>
      </c>
      <c r="E760" s="92">
        <v>1</v>
      </c>
      <c r="F760" s="92">
        <v>1</v>
      </c>
      <c r="G760" s="75" t="s">
        <v>1699</v>
      </c>
      <c r="H760" s="75">
        <v>1</v>
      </c>
      <c r="I760" s="75"/>
      <c r="J760" s="75" t="s">
        <v>162</v>
      </c>
      <c r="K760" s="75" t="s">
        <v>509</v>
      </c>
      <c r="L760" s="75" t="s">
        <v>535</v>
      </c>
      <c r="M760" s="75" t="s">
        <v>509</v>
      </c>
      <c r="N760" s="75" t="s">
        <v>535</v>
      </c>
      <c r="O760" s="75" t="s">
        <v>1687</v>
      </c>
    </row>
    <row r="761" spans="1:15">
      <c r="A761" s="63" t="s">
        <v>849</v>
      </c>
      <c r="B761" s="14" t="str">
        <f>VLOOKUP(O761,'护理记录单文书字典(数据)'!B$4:C$99,2,0)</f>
        <v>768793350CFAB211BD98291F1176296E</v>
      </c>
      <c r="C761" s="75" t="s">
        <v>1697</v>
      </c>
      <c r="D761" s="75" t="s">
        <v>1698</v>
      </c>
      <c r="E761" s="92">
        <v>2</v>
      </c>
      <c r="F761" s="92">
        <v>2</v>
      </c>
      <c r="G761" s="75" t="s">
        <v>1688</v>
      </c>
      <c r="H761" s="75">
        <v>2</v>
      </c>
      <c r="I761" s="75"/>
      <c r="J761" s="75" t="s">
        <v>162</v>
      </c>
      <c r="K761" s="75" t="s">
        <v>509</v>
      </c>
      <c r="L761" s="75" t="s">
        <v>535</v>
      </c>
      <c r="M761" s="75" t="s">
        <v>509</v>
      </c>
      <c r="N761" s="75" t="s">
        <v>535</v>
      </c>
      <c r="O761" s="75" t="s">
        <v>1687</v>
      </c>
    </row>
    <row r="762" spans="1:15">
      <c r="A762" s="63" t="s">
        <v>849</v>
      </c>
      <c r="B762" s="14" t="str">
        <f>VLOOKUP(O762,'护理记录单文书字典(数据)'!B$4:C$99,2,0)</f>
        <v>768793350CFAB211BD98291F1176296E</v>
      </c>
      <c r="C762" s="75" t="s">
        <v>1697</v>
      </c>
      <c r="D762" s="75" t="s">
        <v>1698</v>
      </c>
      <c r="E762" s="92">
        <v>3</v>
      </c>
      <c r="F762" s="92">
        <v>3</v>
      </c>
      <c r="G762" s="75" t="s">
        <v>1689</v>
      </c>
      <c r="H762" s="75">
        <v>3</v>
      </c>
      <c r="I762" s="75"/>
      <c r="J762" s="75" t="s">
        <v>162</v>
      </c>
      <c r="K762" s="75" t="s">
        <v>509</v>
      </c>
      <c r="L762" s="75" t="s">
        <v>535</v>
      </c>
      <c r="M762" s="75" t="s">
        <v>509</v>
      </c>
      <c r="N762" s="75" t="s">
        <v>535</v>
      </c>
      <c r="O762" s="75" t="s">
        <v>1687</v>
      </c>
    </row>
    <row r="763" spans="1:15">
      <c r="A763" s="63" t="s">
        <v>849</v>
      </c>
      <c r="B763" s="14" t="str">
        <f>VLOOKUP(O763,'护理记录单文书字典(数据)'!B$4:C$99,2,0)</f>
        <v>768793350CFAB211BD98291F1176296E</v>
      </c>
      <c r="C763" s="75" t="s">
        <v>1697</v>
      </c>
      <c r="D763" s="75" t="s">
        <v>1698</v>
      </c>
      <c r="E763" s="92">
        <v>4</v>
      </c>
      <c r="F763" s="92">
        <v>4</v>
      </c>
      <c r="G763" s="75" t="s">
        <v>1145</v>
      </c>
      <c r="H763" s="75">
        <v>4</v>
      </c>
      <c r="I763" s="75"/>
      <c r="J763" s="75" t="s">
        <v>162</v>
      </c>
      <c r="K763" s="75" t="s">
        <v>509</v>
      </c>
      <c r="L763" s="75" t="s">
        <v>535</v>
      </c>
      <c r="M763" s="75" t="s">
        <v>509</v>
      </c>
      <c r="N763" s="75" t="s">
        <v>535</v>
      </c>
      <c r="O763" s="75" t="s">
        <v>1687</v>
      </c>
    </row>
    <row r="764" spans="1:15">
      <c r="A764" s="63" t="s">
        <v>849</v>
      </c>
      <c r="B764" s="14" t="str">
        <f>VLOOKUP(O764,'护理记录单文书字典(数据)'!B$4:C$99,2,0)</f>
        <v>768793350CFAB211BD98291F1176296E</v>
      </c>
      <c r="C764" s="75" t="s">
        <v>1697</v>
      </c>
      <c r="D764" s="75" t="s">
        <v>1698</v>
      </c>
      <c r="E764" s="92">
        <v>5</v>
      </c>
      <c r="F764" s="92">
        <v>5</v>
      </c>
      <c r="G764" s="75" t="s">
        <v>1690</v>
      </c>
      <c r="H764" s="75">
        <v>5</v>
      </c>
      <c r="I764" s="75"/>
      <c r="J764" s="75" t="s">
        <v>162</v>
      </c>
      <c r="K764" s="75" t="s">
        <v>509</v>
      </c>
      <c r="L764" s="75" t="s">
        <v>535</v>
      </c>
      <c r="M764" s="75" t="s">
        <v>509</v>
      </c>
      <c r="N764" s="75" t="s">
        <v>535</v>
      </c>
      <c r="O764" s="75" t="s">
        <v>1687</v>
      </c>
    </row>
    <row r="765" spans="1:15">
      <c r="A765" s="63" t="s">
        <v>849</v>
      </c>
      <c r="B765" s="14" t="str">
        <f>VLOOKUP(O765,'护理记录单文书字典(数据)'!B$4:C$99,2,0)</f>
        <v>768793350CFAB211BD98291F1176296E</v>
      </c>
      <c r="C765" s="75" t="s">
        <v>1700</v>
      </c>
      <c r="D765" s="75" t="s">
        <v>1701</v>
      </c>
      <c r="E765" s="92">
        <v>1</v>
      </c>
      <c r="F765" s="92">
        <v>1</v>
      </c>
      <c r="G765" s="75" t="s">
        <v>1702</v>
      </c>
      <c r="H765" s="75">
        <v>1</v>
      </c>
      <c r="I765" s="75"/>
      <c r="J765" s="75" t="s">
        <v>162</v>
      </c>
      <c r="K765" s="75" t="s">
        <v>509</v>
      </c>
      <c r="L765" s="75" t="s">
        <v>535</v>
      </c>
      <c r="M765" s="75" t="s">
        <v>509</v>
      </c>
      <c r="N765" s="75" t="s">
        <v>535</v>
      </c>
      <c r="O765" s="75" t="s">
        <v>1687</v>
      </c>
    </row>
    <row r="766" spans="1:15">
      <c r="A766" s="63" t="s">
        <v>849</v>
      </c>
      <c r="B766" s="14" t="str">
        <f>VLOOKUP(O766,'护理记录单文书字典(数据)'!B$4:C$99,2,0)</f>
        <v>768793350CFAB211BD98291F1176296E</v>
      </c>
      <c r="C766" s="75" t="s">
        <v>1700</v>
      </c>
      <c r="D766" s="75" t="s">
        <v>1701</v>
      </c>
      <c r="E766" s="92">
        <v>2</v>
      </c>
      <c r="F766" s="92">
        <v>2</v>
      </c>
      <c r="G766" s="75" t="s">
        <v>1688</v>
      </c>
      <c r="H766" s="75">
        <v>2</v>
      </c>
      <c r="I766" s="75"/>
      <c r="J766" s="75" t="s">
        <v>162</v>
      </c>
      <c r="K766" s="75" t="s">
        <v>509</v>
      </c>
      <c r="L766" s="75" t="s">
        <v>535</v>
      </c>
      <c r="M766" s="75" t="s">
        <v>509</v>
      </c>
      <c r="N766" s="75" t="s">
        <v>535</v>
      </c>
      <c r="O766" s="75" t="s">
        <v>1687</v>
      </c>
    </row>
    <row r="767" spans="1:15">
      <c r="A767" s="63" t="s">
        <v>849</v>
      </c>
      <c r="B767" s="14" t="str">
        <f>VLOOKUP(O767,'护理记录单文书字典(数据)'!B$4:C$99,2,0)</f>
        <v>768793350CFAB211BD98291F1176296E</v>
      </c>
      <c r="C767" s="75" t="s">
        <v>1700</v>
      </c>
      <c r="D767" s="75" t="s">
        <v>1701</v>
      </c>
      <c r="E767" s="92">
        <v>3</v>
      </c>
      <c r="F767" s="92">
        <v>3</v>
      </c>
      <c r="G767" s="75" t="s">
        <v>1689</v>
      </c>
      <c r="H767" s="75">
        <v>3</v>
      </c>
      <c r="I767" s="75"/>
      <c r="J767" s="75" t="s">
        <v>162</v>
      </c>
      <c r="K767" s="75" t="s">
        <v>509</v>
      </c>
      <c r="L767" s="75" t="s">
        <v>535</v>
      </c>
      <c r="M767" s="75" t="s">
        <v>509</v>
      </c>
      <c r="N767" s="75" t="s">
        <v>535</v>
      </c>
      <c r="O767" s="75" t="s">
        <v>1687</v>
      </c>
    </row>
    <row r="768" spans="1:15">
      <c r="A768" s="63" t="s">
        <v>849</v>
      </c>
      <c r="B768" s="14" t="str">
        <f>VLOOKUP(O768,'护理记录单文书字典(数据)'!B$4:C$99,2,0)</f>
        <v>768793350CFAB211BD98291F1176296E</v>
      </c>
      <c r="C768" s="75" t="s">
        <v>1700</v>
      </c>
      <c r="D768" s="75" t="s">
        <v>1701</v>
      </c>
      <c r="E768" s="92">
        <v>4</v>
      </c>
      <c r="F768" s="92">
        <v>4</v>
      </c>
      <c r="G768" s="75" t="s">
        <v>1145</v>
      </c>
      <c r="H768" s="75">
        <v>4</v>
      </c>
      <c r="I768" s="75"/>
      <c r="J768" s="75" t="s">
        <v>162</v>
      </c>
      <c r="K768" s="75" t="s">
        <v>509</v>
      </c>
      <c r="L768" s="75" t="s">
        <v>535</v>
      </c>
      <c r="M768" s="75" t="s">
        <v>509</v>
      </c>
      <c r="N768" s="75" t="s">
        <v>535</v>
      </c>
      <c r="O768" s="75" t="s">
        <v>1687</v>
      </c>
    </row>
    <row r="769" spans="1:15">
      <c r="A769" s="63" t="s">
        <v>849</v>
      </c>
      <c r="B769" s="14" t="str">
        <f>VLOOKUP(O769,'护理记录单文书字典(数据)'!B$4:C$99,2,0)</f>
        <v>768793350CFAB211BD98291F1176296E</v>
      </c>
      <c r="C769" s="75" t="s">
        <v>1700</v>
      </c>
      <c r="D769" s="75" t="s">
        <v>1701</v>
      </c>
      <c r="E769" s="92">
        <v>5</v>
      </c>
      <c r="F769" s="92">
        <v>5</v>
      </c>
      <c r="G769" s="75" t="s">
        <v>1690</v>
      </c>
      <c r="H769" s="75">
        <v>5</v>
      </c>
      <c r="I769" s="75"/>
      <c r="J769" s="75" t="s">
        <v>162</v>
      </c>
      <c r="K769" s="75" t="s">
        <v>509</v>
      </c>
      <c r="L769" s="75" t="s">
        <v>535</v>
      </c>
      <c r="M769" s="75" t="s">
        <v>509</v>
      </c>
      <c r="N769" s="75" t="s">
        <v>535</v>
      </c>
      <c r="O769" s="75" t="s">
        <v>1687</v>
      </c>
    </row>
    <row r="770" spans="1:15">
      <c r="A770" s="63" t="s">
        <v>849</v>
      </c>
      <c r="B770" s="14" t="str">
        <f>VLOOKUP(O770,'护理记录单文书字典(数据)'!B$4:C$99,2,0)</f>
        <v>768793350CFAB211BD98291F1176296E</v>
      </c>
      <c r="C770" s="75" t="s">
        <v>1703</v>
      </c>
      <c r="D770" s="75" t="s">
        <v>1704</v>
      </c>
      <c r="E770" s="92">
        <v>1</v>
      </c>
      <c r="F770" s="92">
        <v>1</v>
      </c>
      <c r="G770" s="75" t="s">
        <v>1705</v>
      </c>
      <c r="H770" s="75">
        <v>1</v>
      </c>
      <c r="I770" s="75"/>
      <c r="J770" s="75" t="s">
        <v>162</v>
      </c>
      <c r="K770" s="75" t="s">
        <v>509</v>
      </c>
      <c r="L770" s="75" t="s">
        <v>535</v>
      </c>
      <c r="M770" s="75" t="s">
        <v>509</v>
      </c>
      <c r="N770" s="75" t="s">
        <v>535</v>
      </c>
      <c r="O770" s="75" t="s">
        <v>1687</v>
      </c>
    </row>
    <row r="771" spans="1:15">
      <c r="A771" s="63" t="s">
        <v>849</v>
      </c>
      <c r="B771" s="14" t="str">
        <f>VLOOKUP(O771,'护理记录单文书字典(数据)'!B$4:C$99,2,0)</f>
        <v>768793350CFAB211BD98291F1176296E</v>
      </c>
      <c r="C771" s="75" t="s">
        <v>1703</v>
      </c>
      <c r="D771" s="75" t="s">
        <v>1704</v>
      </c>
      <c r="E771" s="92">
        <v>2</v>
      </c>
      <c r="F771" s="92">
        <v>2</v>
      </c>
      <c r="G771" s="75" t="s">
        <v>1688</v>
      </c>
      <c r="H771" s="75">
        <v>2</v>
      </c>
      <c r="I771" s="75"/>
      <c r="J771" s="75" t="s">
        <v>162</v>
      </c>
      <c r="K771" s="75" t="s">
        <v>509</v>
      </c>
      <c r="L771" s="75" t="s">
        <v>535</v>
      </c>
      <c r="M771" s="75" t="s">
        <v>509</v>
      </c>
      <c r="N771" s="75" t="s">
        <v>535</v>
      </c>
      <c r="O771" s="75" t="s">
        <v>1687</v>
      </c>
    </row>
    <row r="772" spans="1:15">
      <c r="A772" s="63" t="s">
        <v>849</v>
      </c>
      <c r="B772" s="14" t="str">
        <f>VLOOKUP(O772,'护理记录单文书字典(数据)'!B$4:C$99,2,0)</f>
        <v>768793350CFAB211BD98291F1176296E</v>
      </c>
      <c r="C772" s="75" t="s">
        <v>1703</v>
      </c>
      <c r="D772" s="75" t="s">
        <v>1704</v>
      </c>
      <c r="E772" s="92">
        <v>3</v>
      </c>
      <c r="F772" s="92">
        <v>3</v>
      </c>
      <c r="G772" s="75" t="s">
        <v>1689</v>
      </c>
      <c r="H772" s="75">
        <v>3</v>
      </c>
      <c r="I772" s="75"/>
      <c r="J772" s="75" t="s">
        <v>162</v>
      </c>
      <c r="K772" s="75" t="s">
        <v>509</v>
      </c>
      <c r="L772" s="75" t="s">
        <v>535</v>
      </c>
      <c r="M772" s="75" t="s">
        <v>509</v>
      </c>
      <c r="N772" s="75" t="s">
        <v>535</v>
      </c>
      <c r="O772" s="75" t="s">
        <v>1687</v>
      </c>
    </row>
    <row r="773" spans="1:15">
      <c r="A773" s="63" t="s">
        <v>849</v>
      </c>
      <c r="B773" s="14" t="str">
        <f>VLOOKUP(O773,'护理记录单文书字典(数据)'!B$4:C$99,2,0)</f>
        <v>768793350CFAB211BD98291F1176296E</v>
      </c>
      <c r="C773" s="75" t="s">
        <v>1703</v>
      </c>
      <c r="D773" s="75" t="s">
        <v>1704</v>
      </c>
      <c r="E773" s="92">
        <v>4</v>
      </c>
      <c r="F773" s="92">
        <v>4</v>
      </c>
      <c r="G773" s="75" t="s">
        <v>1145</v>
      </c>
      <c r="H773" s="75">
        <v>4</v>
      </c>
      <c r="I773" s="75"/>
      <c r="J773" s="75" t="s">
        <v>162</v>
      </c>
      <c r="K773" s="75" t="s">
        <v>509</v>
      </c>
      <c r="L773" s="75" t="s">
        <v>535</v>
      </c>
      <c r="M773" s="75" t="s">
        <v>509</v>
      </c>
      <c r="N773" s="75" t="s">
        <v>535</v>
      </c>
      <c r="O773" s="75" t="s">
        <v>1687</v>
      </c>
    </row>
    <row r="774" spans="1:15">
      <c r="A774" s="63" t="s">
        <v>849</v>
      </c>
      <c r="B774" s="14" t="str">
        <f>VLOOKUP(O774,'护理记录单文书字典(数据)'!B$4:C$99,2,0)</f>
        <v>768793350CFAB211BD98291F1176296E</v>
      </c>
      <c r="C774" s="75" t="s">
        <v>1703</v>
      </c>
      <c r="D774" s="75" t="s">
        <v>1704</v>
      </c>
      <c r="E774" s="92">
        <v>5</v>
      </c>
      <c r="F774" s="92">
        <v>5</v>
      </c>
      <c r="G774" s="75" t="s">
        <v>1690</v>
      </c>
      <c r="H774" s="75">
        <v>5</v>
      </c>
      <c r="I774" s="75"/>
      <c r="J774" s="75" t="s">
        <v>162</v>
      </c>
      <c r="K774" s="75" t="s">
        <v>509</v>
      </c>
      <c r="L774" s="75" t="s">
        <v>535</v>
      </c>
      <c r="M774" s="75" t="s">
        <v>509</v>
      </c>
      <c r="N774" s="75" t="s">
        <v>535</v>
      </c>
      <c r="O774" s="75" t="s">
        <v>1687</v>
      </c>
    </row>
    <row r="775" spans="1:15">
      <c r="A775" s="63" t="s">
        <v>849</v>
      </c>
      <c r="B775" s="14" t="str">
        <f>VLOOKUP(O775,'护理记录单文书字典(数据)'!B$4:C$99,2,0)</f>
        <v>768793350CFAB211BD98291F1176296E</v>
      </c>
      <c r="C775" s="75" t="s">
        <v>1706</v>
      </c>
      <c r="D775" s="75" t="s">
        <v>1707</v>
      </c>
      <c r="E775" s="92">
        <v>1</v>
      </c>
      <c r="F775" s="92">
        <v>1</v>
      </c>
      <c r="G775" s="75" t="s">
        <v>1708</v>
      </c>
      <c r="H775" s="75">
        <v>1</v>
      </c>
      <c r="I775" s="75"/>
      <c r="J775" s="75" t="s">
        <v>162</v>
      </c>
      <c r="K775" s="75" t="s">
        <v>509</v>
      </c>
      <c r="L775" s="75" t="s">
        <v>535</v>
      </c>
      <c r="M775" s="75" t="s">
        <v>509</v>
      </c>
      <c r="N775" s="75" t="s">
        <v>535</v>
      </c>
      <c r="O775" s="75" t="s">
        <v>1687</v>
      </c>
    </row>
    <row r="776" spans="1:15">
      <c r="A776" s="63" t="s">
        <v>849</v>
      </c>
      <c r="B776" s="14" t="str">
        <f>VLOOKUP(O776,'护理记录单文书字典(数据)'!B$4:C$99,2,0)</f>
        <v>768793350CFAB211BD98291F1176296E</v>
      </c>
      <c r="C776" s="75" t="s">
        <v>1706</v>
      </c>
      <c r="D776" s="75" t="s">
        <v>1707</v>
      </c>
      <c r="E776" s="92">
        <v>2</v>
      </c>
      <c r="F776" s="92">
        <v>2</v>
      </c>
      <c r="G776" s="75" t="s">
        <v>1688</v>
      </c>
      <c r="H776" s="75">
        <v>2</v>
      </c>
      <c r="I776" s="75"/>
      <c r="J776" s="75" t="s">
        <v>162</v>
      </c>
      <c r="K776" s="75" t="s">
        <v>509</v>
      </c>
      <c r="L776" s="75" t="s">
        <v>535</v>
      </c>
      <c r="M776" s="75" t="s">
        <v>509</v>
      </c>
      <c r="N776" s="75" t="s">
        <v>535</v>
      </c>
      <c r="O776" s="75" t="s">
        <v>1687</v>
      </c>
    </row>
    <row r="777" spans="1:15">
      <c r="A777" s="63" t="s">
        <v>849</v>
      </c>
      <c r="B777" s="14" t="str">
        <f>VLOOKUP(O777,'护理记录单文书字典(数据)'!B$4:C$99,2,0)</f>
        <v>768793350CFAB211BD98291F1176296E</v>
      </c>
      <c r="C777" s="75" t="s">
        <v>1706</v>
      </c>
      <c r="D777" s="75" t="s">
        <v>1707</v>
      </c>
      <c r="E777" s="92">
        <v>3</v>
      </c>
      <c r="F777" s="92">
        <v>3</v>
      </c>
      <c r="G777" s="75" t="s">
        <v>1689</v>
      </c>
      <c r="H777" s="75">
        <v>3</v>
      </c>
      <c r="I777" s="75"/>
      <c r="J777" s="75" t="s">
        <v>162</v>
      </c>
      <c r="K777" s="75" t="s">
        <v>509</v>
      </c>
      <c r="L777" s="75" t="s">
        <v>535</v>
      </c>
      <c r="M777" s="75" t="s">
        <v>509</v>
      </c>
      <c r="N777" s="75" t="s">
        <v>535</v>
      </c>
      <c r="O777" s="75" t="s">
        <v>1687</v>
      </c>
    </row>
    <row r="778" spans="1:15">
      <c r="A778" s="63" t="s">
        <v>849</v>
      </c>
      <c r="B778" s="14" t="str">
        <f>VLOOKUP(O778,'护理记录单文书字典(数据)'!B$4:C$99,2,0)</f>
        <v>768793350CFAB211BD98291F1176296E</v>
      </c>
      <c r="C778" s="75" t="s">
        <v>1706</v>
      </c>
      <c r="D778" s="75" t="s">
        <v>1707</v>
      </c>
      <c r="E778" s="92">
        <v>4</v>
      </c>
      <c r="F778" s="92">
        <v>4</v>
      </c>
      <c r="G778" s="75" t="s">
        <v>1145</v>
      </c>
      <c r="H778" s="75">
        <v>4</v>
      </c>
      <c r="I778" s="75"/>
      <c r="J778" s="75" t="s">
        <v>162</v>
      </c>
      <c r="K778" s="75" t="s">
        <v>509</v>
      </c>
      <c r="L778" s="75" t="s">
        <v>535</v>
      </c>
      <c r="M778" s="75" t="s">
        <v>509</v>
      </c>
      <c r="N778" s="75" t="s">
        <v>535</v>
      </c>
      <c r="O778" s="75" t="s">
        <v>1687</v>
      </c>
    </row>
    <row r="779" spans="1:15">
      <c r="A779" s="63" t="s">
        <v>849</v>
      </c>
      <c r="B779" s="14" t="str">
        <f>VLOOKUP(O779,'护理记录单文书字典(数据)'!B$4:C$99,2,0)</f>
        <v>768793350CFAB211BD98291F1176296E</v>
      </c>
      <c r="C779" s="75" t="s">
        <v>1706</v>
      </c>
      <c r="D779" s="75" t="s">
        <v>1707</v>
      </c>
      <c r="E779" s="92">
        <v>5</v>
      </c>
      <c r="F779" s="92">
        <v>5</v>
      </c>
      <c r="G779" s="75" t="s">
        <v>1690</v>
      </c>
      <c r="H779" s="75">
        <v>5</v>
      </c>
      <c r="I779" s="75"/>
      <c r="J779" s="75" t="s">
        <v>162</v>
      </c>
      <c r="K779" s="75" t="s">
        <v>509</v>
      </c>
      <c r="L779" s="75" t="s">
        <v>535</v>
      </c>
      <c r="M779" s="75" t="s">
        <v>509</v>
      </c>
      <c r="N779" s="75" t="s">
        <v>535</v>
      </c>
      <c r="O779" s="75" t="s">
        <v>1687</v>
      </c>
    </row>
    <row r="780" spans="1:15">
      <c r="A780" s="63" t="s">
        <v>849</v>
      </c>
      <c r="B780" s="14" t="str">
        <f>VLOOKUP(O780,'护理记录单文书字典(数据)'!B$4:C$99,2,0)</f>
        <v>768793350CFAB211BD98291F1176296E</v>
      </c>
      <c r="C780" s="75" t="s">
        <v>1709</v>
      </c>
      <c r="D780" s="75" t="s">
        <v>1710</v>
      </c>
      <c r="E780" s="92">
        <v>1</v>
      </c>
      <c r="F780" s="92">
        <v>1</v>
      </c>
      <c r="G780" s="75" t="s">
        <v>1711</v>
      </c>
      <c r="H780" s="75">
        <v>1</v>
      </c>
      <c r="I780" s="75"/>
      <c r="J780" s="75" t="s">
        <v>162</v>
      </c>
      <c r="K780" s="75" t="s">
        <v>509</v>
      </c>
      <c r="L780" s="75" t="s">
        <v>535</v>
      </c>
      <c r="M780" s="75" t="s">
        <v>509</v>
      </c>
      <c r="N780" s="75" t="s">
        <v>535</v>
      </c>
      <c r="O780" s="75" t="s">
        <v>1687</v>
      </c>
    </row>
    <row r="781" spans="1:15">
      <c r="A781" s="63" t="s">
        <v>849</v>
      </c>
      <c r="B781" s="14" t="str">
        <f>VLOOKUP(O781,'护理记录单文书字典(数据)'!B$4:C$99,2,0)</f>
        <v>768793350CFAB211BD98291F1176296E</v>
      </c>
      <c r="C781" s="75" t="s">
        <v>1709</v>
      </c>
      <c r="D781" s="75" t="s">
        <v>1710</v>
      </c>
      <c r="E781" s="92">
        <v>2</v>
      </c>
      <c r="F781" s="92">
        <v>2</v>
      </c>
      <c r="G781" s="75" t="s">
        <v>1688</v>
      </c>
      <c r="H781" s="75">
        <v>2</v>
      </c>
      <c r="I781" s="75"/>
      <c r="J781" s="75" t="s">
        <v>162</v>
      </c>
      <c r="K781" s="75" t="s">
        <v>509</v>
      </c>
      <c r="L781" s="75" t="s">
        <v>535</v>
      </c>
      <c r="M781" s="75" t="s">
        <v>509</v>
      </c>
      <c r="N781" s="75" t="s">
        <v>535</v>
      </c>
      <c r="O781" s="75" t="s">
        <v>1687</v>
      </c>
    </row>
    <row r="782" spans="1:15">
      <c r="A782" s="63" t="s">
        <v>849</v>
      </c>
      <c r="B782" s="14" t="str">
        <f>VLOOKUP(O782,'护理记录单文书字典(数据)'!B$4:C$99,2,0)</f>
        <v>768793350CFAB211BD98291F1176296E</v>
      </c>
      <c r="C782" s="75" t="s">
        <v>1709</v>
      </c>
      <c r="D782" s="75" t="s">
        <v>1710</v>
      </c>
      <c r="E782" s="92">
        <v>3</v>
      </c>
      <c r="F782" s="92">
        <v>3</v>
      </c>
      <c r="G782" s="75" t="s">
        <v>1689</v>
      </c>
      <c r="H782" s="75">
        <v>3</v>
      </c>
      <c r="I782" s="75"/>
      <c r="J782" s="75" t="s">
        <v>162</v>
      </c>
      <c r="K782" s="75" t="s">
        <v>509</v>
      </c>
      <c r="L782" s="75" t="s">
        <v>535</v>
      </c>
      <c r="M782" s="75" t="s">
        <v>509</v>
      </c>
      <c r="N782" s="75" t="s">
        <v>535</v>
      </c>
      <c r="O782" s="75" t="s">
        <v>1687</v>
      </c>
    </row>
    <row r="783" spans="1:15">
      <c r="A783" s="63" t="s">
        <v>849</v>
      </c>
      <c r="B783" s="14" t="str">
        <f>VLOOKUP(O783,'护理记录单文书字典(数据)'!B$4:C$99,2,0)</f>
        <v>768793350CFAB211BD98291F1176296E</v>
      </c>
      <c r="C783" s="75" t="s">
        <v>1709</v>
      </c>
      <c r="D783" s="75" t="s">
        <v>1710</v>
      </c>
      <c r="E783" s="92">
        <v>4</v>
      </c>
      <c r="F783" s="92">
        <v>4</v>
      </c>
      <c r="G783" s="75" t="s">
        <v>1145</v>
      </c>
      <c r="H783" s="75">
        <v>4</v>
      </c>
      <c r="I783" s="75"/>
      <c r="J783" s="75" t="s">
        <v>162</v>
      </c>
      <c r="K783" s="75" t="s">
        <v>509</v>
      </c>
      <c r="L783" s="75" t="s">
        <v>535</v>
      </c>
      <c r="M783" s="75" t="s">
        <v>509</v>
      </c>
      <c r="N783" s="75" t="s">
        <v>535</v>
      </c>
      <c r="O783" s="75" t="s">
        <v>1687</v>
      </c>
    </row>
    <row r="784" spans="1:15">
      <c r="A784" s="63" t="s">
        <v>849</v>
      </c>
      <c r="B784" s="14" t="str">
        <f>VLOOKUP(O784,'护理记录单文书字典(数据)'!B$4:C$99,2,0)</f>
        <v>768793350CFAB211BD98291F1176296E</v>
      </c>
      <c r="C784" s="75" t="s">
        <v>1709</v>
      </c>
      <c r="D784" s="75" t="s">
        <v>1710</v>
      </c>
      <c r="E784" s="92">
        <v>5</v>
      </c>
      <c r="F784" s="92">
        <v>5</v>
      </c>
      <c r="G784" s="75" t="s">
        <v>1690</v>
      </c>
      <c r="H784" s="75">
        <v>5</v>
      </c>
      <c r="I784" s="75"/>
      <c r="J784" s="75" t="s">
        <v>162</v>
      </c>
      <c r="K784" s="75" t="s">
        <v>509</v>
      </c>
      <c r="L784" s="75" t="s">
        <v>535</v>
      </c>
      <c r="M784" s="75" t="s">
        <v>509</v>
      </c>
      <c r="N784" s="75" t="s">
        <v>535</v>
      </c>
      <c r="O784" s="75" t="s">
        <v>1687</v>
      </c>
    </row>
    <row r="785" spans="1:15">
      <c r="A785" s="63" t="s">
        <v>849</v>
      </c>
      <c r="B785" s="14" t="str">
        <f>VLOOKUP(O785,'护理记录单文书字典(数据)'!B$4:C$99,2,0)</f>
        <v>768793350CFAB211BD98291F1176296E</v>
      </c>
      <c r="C785" s="75" t="s">
        <v>1712</v>
      </c>
      <c r="D785" s="75" t="s">
        <v>1713</v>
      </c>
      <c r="E785" s="92">
        <v>1</v>
      </c>
      <c r="F785" s="92">
        <v>1</v>
      </c>
      <c r="G785" s="75" t="s">
        <v>1714</v>
      </c>
      <c r="H785" s="75">
        <v>1</v>
      </c>
      <c r="I785" s="75"/>
      <c r="J785" s="75" t="s">
        <v>162</v>
      </c>
      <c r="K785" s="75" t="s">
        <v>509</v>
      </c>
      <c r="L785" s="75" t="s">
        <v>535</v>
      </c>
      <c r="M785" s="75" t="s">
        <v>509</v>
      </c>
      <c r="N785" s="75" t="s">
        <v>535</v>
      </c>
      <c r="O785" s="75" t="s">
        <v>1687</v>
      </c>
    </row>
    <row r="786" spans="1:15">
      <c r="A786" s="63" t="s">
        <v>849</v>
      </c>
      <c r="B786" s="14" t="str">
        <f>VLOOKUP(O786,'护理记录单文书字典(数据)'!B$4:C$99,2,0)</f>
        <v>768793350CFAB211BD98291F1176296E</v>
      </c>
      <c r="C786" s="75" t="s">
        <v>1712</v>
      </c>
      <c r="D786" s="75" t="s">
        <v>1713</v>
      </c>
      <c r="E786" s="92">
        <v>2</v>
      </c>
      <c r="F786" s="92">
        <v>2</v>
      </c>
      <c r="G786" s="75" t="s">
        <v>1688</v>
      </c>
      <c r="H786" s="75">
        <v>2</v>
      </c>
      <c r="I786" s="75"/>
      <c r="J786" s="75" t="s">
        <v>162</v>
      </c>
      <c r="K786" s="75" t="s">
        <v>509</v>
      </c>
      <c r="L786" s="75" t="s">
        <v>535</v>
      </c>
      <c r="M786" s="75" t="s">
        <v>509</v>
      </c>
      <c r="N786" s="75" t="s">
        <v>535</v>
      </c>
      <c r="O786" s="75" t="s">
        <v>1687</v>
      </c>
    </row>
    <row r="787" spans="1:15">
      <c r="A787" s="63" t="s">
        <v>849</v>
      </c>
      <c r="B787" s="14" t="str">
        <f>VLOOKUP(O787,'护理记录单文书字典(数据)'!B$4:C$99,2,0)</f>
        <v>768793350CFAB211BD98291F1176296E</v>
      </c>
      <c r="C787" s="75" t="s">
        <v>1712</v>
      </c>
      <c r="D787" s="75" t="s">
        <v>1713</v>
      </c>
      <c r="E787" s="92">
        <v>3</v>
      </c>
      <c r="F787" s="92">
        <v>3</v>
      </c>
      <c r="G787" s="75" t="s">
        <v>1689</v>
      </c>
      <c r="H787" s="75">
        <v>3</v>
      </c>
      <c r="I787" s="75"/>
      <c r="J787" s="75" t="s">
        <v>162</v>
      </c>
      <c r="K787" s="75" t="s">
        <v>509</v>
      </c>
      <c r="L787" s="75" t="s">
        <v>535</v>
      </c>
      <c r="M787" s="75" t="s">
        <v>509</v>
      </c>
      <c r="N787" s="75" t="s">
        <v>535</v>
      </c>
      <c r="O787" s="75" t="s">
        <v>1687</v>
      </c>
    </row>
    <row r="788" spans="1:15">
      <c r="A788" s="63" t="s">
        <v>849</v>
      </c>
      <c r="B788" s="14" t="str">
        <f>VLOOKUP(O788,'护理记录单文书字典(数据)'!B$4:C$99,2,0)</f>
        <v>768793350CFAB211BD98291F1176296E</v>
      </c>
      <c r="C788" s="75" t="s">
        <v>1712</v>
      </c>
      <c r="D788" s="75" t="s">
        <v>1713</v>
      </c>
      <c r="E788" s="92">
        <v>4</v>
      </c>
      <c r="F788" s="92">
        <v>4</v>
      </c>
      <c r="G788" s="75" t="s">
        <v>1145</v>
      </c>
      <c r="H788" s="75">
        <v>4</v>
      </c>
      <c r="I788" s="75"/>
      <c r="J788" s="75" t="s">
        <v>162</v>
      </c>
      <c r="K788" s="75" t="s">
        <v>509</v>
      </c>
      <c r="L788" s="75" t="s">
        <v>535</v>
      </c>
      <c r="M788" s="75" t="s">
        <v>509</v>
      </c>
      <c r="N788" s="75" t="s">
        <v>535</v>
      </c>
      <c r="O788" s="75" t="s">
        <v>1687</v>
      </c>
    </row>
    <row r="789" spans="1:15">
      <c r="A789" s="63" t="s">
        <v>849</v>
      </c>
      <c r="B789" s="14" t="str">
        <f>VLOOKUP(O789,'护理记录单文书字典(数据)'!B$4:C$99,2,0)</f>
        <v>768793350CFAB211BD98291F1176296E</v>
      </c>
      <c r="C789" s="75" t="s">
        <v>1712</v>
      </c>
      <c r="D789" s="75" t="s">
        <v>1713</v>
      </c>
      <c r="E789" s="92">
        <v>5</v>
      </c>
      <c r="F789" s="92">
        <v>5</v>
      </c>
      <c r="G789" s="75" t="s">
        <v>1690</v>
      </c>
      <c r="H789" s="75">
        <v>5</v>
      </c>
      <c r="I789" s="75"/>
      <c r="J789" s="75" t="s">
        <v>162</v>
      </c>
      <c r="K789" s="75" t="s">
        <v>509</v>
      </c>
      <c r="L789" s="75" t="s">
        <v>535</v>
      </c>
      <c r="M789" s="75" t="s">
        <v>509</v>
      </c>
      <c r="N789" s="75" t="s">
        <v>535</v>
      </c>
      <c r="O789" s="75" t="s">
        <v>1687</v>
      </c>
    </row>
    <row r="790" spans="1:15">
      <c r="A790" s="63" t="s">
        <v>849</v>
      </c>
      <c r="B790" s="14" t="str">
        <f>VLOOKUP(O790,'护理记录单文书字典(数据)'!B$4:C$99,2,0)</f>
        <v>768793350CFAB211BD98291F1176296E</v>
      </c>
      <c r="C790" s="75" t="s">
        <v>1715</v>
      </c>
      <c r="D790" s="75" t="s">
        <v>1716</v>
      </c>
      <c r="E790" s="92">
        <v>1</v>
      </c>
      <c r="F790" s="92">
        <v>1</v>
      </c>
      <c r="G790" s="75" t="s">
        <v>1717</v>
      </c>
      <c r="H790" s="75">
        <v>1</v>
      </c>
      <c r="I790" s="75"/>
      <c r="J790" s="75" t="s">
        <v>162</v>
      </c>
      <c r="K790" s="75" t="s">
        <v>509</v>
      </c>
      <c r="L790" s="75" t="s">
        <v>535</v>
      </c>
      <c r="M790" s="75" t="s">
        <v>509</v>
      </c>
      <c r="N790" s="75" t="s">
        <v>535</v>
      </c>
      <c r="O790" s="75" t="s">
        <v>1687</v>
      </c>
    </row>
    <row r="791" spans="1:15">
      <c r="A791" s="63" t="s">
        <v>849</v>
      </c>
      <c r="B791" s="14" t="str">
        <f>VLOOKUP(O791,'护理记录单文书字典(数据)'!B$4:C$99,2,0)</f>
        <v>768793350CFAB211BD98291F1176296E</v>
      </c>
      <c r="C791" s="75" t="s">
        <v>1715</v>
      </c>
      <c r="D791" s="75" t="s">
        <v>1716</v>
      </c>
      <c r="E791" s="92">
        <v>2</v>
      </c>
      <c r="F791" s="92">
        <v>2</v>
      </c>
      <c r="G791" s="75" t="s">
        <v>1688</v>
      </c>
      <c r="H791" s="75">
        <v>2</v>
      </c>
      <c r="I791" s="75"/>
      <c r="J791" s="75" t="s">
        <v>162</v>
      </c>
      <c r="K791" s="75" t="s">
        <v>509</v>
      </c>
      <c r="L791" s="75" t="s">
        <v>535</v>
      </c>
      <c r="M791" s="75" t="s">
        <v>509</v>
      </c>
      <c r="N791" s="75" t="s">
        <v>535</v>
      </c>
      <c r="O791" s="75" t="s">
        <v>1687</v>
      </c>
    </row>
    <row r="792" spans="1:15">
      <c r="A792" s="63" t="s">
        <v>849</v>
      </c>
      <c r="B792" s="14" t="str">
        <f>VLOOKUP(O792,'护理记录单文书字典(数据)'!B$4:C$99,2,0)</f>
        <v>768793350CFAB211BD98291F1176296E</v>
      </c>
      <c r="C792" s="75" t="s">
        <v>1715</v>
      </c>
      <c r="D792" s="75" t="s">
        <v>1716</v>
      </c>
      <c r="E792" s="92">
        <v>3</v>
      </c>
      <c r="F792" s="92">
        <v>3</v>
      </c>
      <c r="G792" s="75" t="s">
        <v>1689</v>
      </c>
      <c r="H792" s="75">
        <v>3</v>
      </c>
      <c r="I792" s="75"/>
      <c r="J792" s="75" t="s">
        <v>162</v>
      </c>
      <c r="K792" s="75" t="s">
        <v>509</v>
      </c>
      <c r="L792" s="75" t="s">
        <v>535</v>
      </c>
      <c r="M792" s="75" t="s">
        <v>509</v>
      </c>
      <c r="N792" s="75" t="s">
        <v>535</v>
      </c>
      <c r="O792" s="75" t="s">
        <v>1687</v>
      </c>
    </row>
    <row r="793" spans="1:15">
      <c r="A793" s="63" t="s">
        <v>849</v>
      </c>
      <c r="B793" s="14" t="str">
        <f>VLOOKUP(O793,'护理记录单文书字典(数据)'!B$4:C$99,2,0)</f>
        <v>768793350CFAB211BD98291F1176296E</v>
      </c>
      <c r="C793" s="75" t="s">
        <v>1715</v>
      </c>
      <c r="D793" s="75" t="s">
        <v>1716</v>
      </c>
      <c r="E793" s="92">
        <v>4</v>
      </c>
      <c r="F793" s="92">
        <v>4</v>
      </c>
      <c r="G793" s="75" t="s">
        <v>1145</v>
      </c>
      <c r="H793" s="75">
        <v>4</v>
      </c>
      <c r="I793" s="75"/>
      <c r="J793" s="75" t="s">
        <v>162</v>
      </c>
      <c r="K793" s="75" t="s">
        <v>509</v>
      </c>
      <c r="L793" s="75" t="s">
        <v>535</v>
      </c>
      <c r="M793" s="75" t="s">
        <v>509</v>
      </c>
      <c r="N793" s="75" t="s">
        <v>535</v>
      </c>
      <c r="O793" s="75" t="s">
        <v>1687</v>
      </c>
    </row>
    <row r="794" spans="1:15">
      <c r="A794" s="63" t="s">
        <v>849</v>
      </c>
      <c r="B794" s="14" t="str">
        <f>VLOOKUP(O794,'护理记录单文书字典(数据)'!B$4:C$99,2,0)</f>
        <v>768793350CFAB211BD98291F1176296E</v>
      </c>
      <c r="C794" s="75" t="s">
        <v>1715</v>
      </c>
      <c r="D794" s="75" t="s">
        <v>1716</v>
      </c>
      <c r="E794" s="92">
        <v>5</v>
      </c>
      <c r="F794" s="92">
        <v>5</v>
      </c>
      <c r="G794" s="75" t="s">
        <v>1690</v>
      </c>
      <c r="H794" s="75">
        <v>5</v>
      </c>
      <c r="I794" s="75"/>
      <c r="J794" s="75" t="s">
        <v>162</v>
      </c>
      <c r="K794" s="75" t="s">
        <v>509</v>
      </c>
      <c r="L794" s="75" t="s">
        <v>535</v>
      </c>
      <c r="M794" s="75" t="s">
        <v>509</v>
      </c>
      <c r="N794" s="75" t="s">
        <v>535</v>
      </c>
      <c r="O794" s="75" t="s">
        <v>1687</v>
      </c>
    </row>
    <row r="795" spans="1:15">
      <c r="A795" s="63" t="s">
        <v>849</v>
      </c>
      <c r="B795" s="14" t="str">
        <f>VLOOKUP(O795,'护理记录单文书字典(数据)'!B$4:C$99,2,0)</f>
        <v>768793350CFAB211BD98291F1176296E</v>
      </c>
      <c r="C795" s="75" t="s">
        <v>1718</v>
      </c>
      <c r="D795" s="75" t="s">
        <v>1719</v>
      </c>
      <c r="E795" s="92">
        <v>1</v>
      </c>
      <c r="F795" s="92">
        <v>1</v>
      </c>
      <c r="G795" s="75" t="s">
        <v>1720</v>
      </c>
      <c r="H795" s="75">
        <v>1</v>
      </c>
      <c r="I795" s="75"/>
      <c r="J795" s="75" t="s">
        <v>162</v>
      </c>
      <c r="K795" s="75" t="s">
        <v>509</v>
      </c>
      <c r="L795" s="75" t="s">
        <v>535</v>
      </c>
      <c r="M795" s="75" t="s">
        <v>509</v>
      </c>
      <c r="N795" s="75" t="s">
        <v>535</v>
      </c>
      <c r="O795" s="75" t="s">
        <v>1687</v>
      </c>
    </row>
    <row r="796" spans="1:15">
      <c r="A796" s="63" t="s">
        <v>849</v>
      </c>
      <c r="B796" s="14" t="str">
        <f>VLOOKUP(O796,'护理记录单文书字典(数据)'!B$4:C$99,2,0)</f>
        <v>768793350CFAB211BD98291F1176296E</v>
      </c>
      <c r="C796" s="75" t="s">
        <v>1718</v>
      </c>
      <c r="D796" s="75" t="s">
        <v>1719</v>
      </c>
      <c r="E796" s="92">
        <v>2</v>
      </c>
      <c r="F796" s="92">
        <v>2</v>
      </c>
      <c r="G796" s="75" t="s">
        <v>1688</v>
      </c>
      <c r="H796" s="75">
        <v>2</v>
      </c>
      <c r="I796" s="75"/>
      <c r="J796" s="75" t="s">
        <v>162</v>
      </c>
      <c r="K796" s="75" t="s">
        <v>509</v>
      </c>
      <c r="L796" s="75" t="s">
        <v>535</v>
      </c>
      <c r="M796" s="75" t="s">
        <v>509</v>
      </c>
      <c r="N796" s="75" t="s">
        <v>535</v>
      </c>
      <c r="O796" s="75" t="s">
        <v>1687</v>
      </c>
    </row>
    <row r="797" spans="1:15">
      <c r="A797" s="63" t="s">
        <v>849</v>
      </c>
      <c r="B797" s="14" t="str">
        <f>VLOOKUP(O797,'护理记录单文书字典(数据)'!B$4:C$99,2,0)</f>
        <v>768793350CFAB211BD98291F1176296E</v>
      </c>
      <c r="C797" s="75" t="s">
        <v>1718</v>
      </c>
      <c r="D797" s="75" t="s">
        <v>1719</v>
      </c>
      <c r="E797" s="92">
        <v>3</v>
      </c>
      <c r="F797" s="92">
        <v>3</v>
      </c>
      <c r="G797" s="75" t="s">
        <v>1689</v>
      </c>
      <c r="H797" s="75">
        <v>3</v>
      </c>
      <c r="I797" s="75"/>
      <c r="J797" s="75" t="s">
        <v>162</v>
      </c>
      <c r="K797" s="75" t="s">
        <v>509</v>
      </c>
      <c r="L797" s="75" t="s">
        <v>535</v>
      </c>
      <c r="M797" s="75" t="s">
        <v>509</v>
      </c>
      <c r="N797" s="75" t="s">
        <v>535</v>
      </c>
      <c r="O797" s="75" t="s">
        <v>1687</v>
      </c>
    </row>
    <row r="798" spans="1:15">
      <c r="A798" s="63" t="s">
        <v>849</v>
      </c>
      <c r="B798" s="14" t="str">
        <f>VLOOKUP(O798,'护理记录单文书字典(数据)'!B$4:C$99,2,0)</f>
        <v>768793350CFAB211BD98291F1176296E</v>
      </c>
      <c r="C798" s="75" t="s">
        <v>1718</v>
      </c>
      <c r="D798" s="75" t="s">
        <v>1719</v>
      </c>
      <c r="E798" s="92">
        <v>4</v>
      </c>
      <c r="F798" s="92">
        <v>4</v>
      </c>
      <c r="G798" s="75" t="s">
        <v>1145</v>
      </c>
      <c r="H798" s="75">
        <v>4</v>
      </c>
      <c r="I798" s="75"/>
      <c r="J798" s="75" t="s">
        <v>162</v>
      </c>
      <c r="K798" s="75" t="s">
        <v>509</v>
      </c>
      <c r="L798" s="75" t="s">
        <v>535</v>
      </c>
      <c r="M798" s="75" t="s">
        <v>509</v>
      </c>
      <c r="N798" s="75" t="s">
        <v>535</v>
      </c>
      <c r="O798" s="75" t="s">
        <v>1687</v>
      </c>
    </row>
    <row r="799" spans="1:15">
      <c r="A799" s="63" t="s">
        <v>849</v>
      </c>
      <c r="B799" s="14" t="str">
        <f>VLOOKUP(O799,'护理记录单文书字典(数据)'!B$4:C$99,2,0)</f>
        <v>768793350CFAB211BD98291F1176296E</v>
      </c>
      <c r="C799" s="75" t="s">
        <v>1718</v>
      </c>
      <c r="D799" s="75" t="s">
        <v>1719</v>
      </c>
      <c r="E799" s="92">
        <v>5</v>
      </c>
      <c r="F799" s="92">
        <v>5</v>
      </c>
      <c r="G799" s="75" t="s">
        <v>1690</v>
      </c>
      <c r="H799" s="75">
        <v>5</v>
      </c>
      <c r="I799" s="75"/>
      <c r="J799" s="75" t="s">
        <v>162</v>
      </c>
      <c r="K799" s="75" t="s">
        <v>509</v>
      </c>
      <c r="L799" s="75" t="s">
        <v>535</v>
      </c>
      <c r="M799" s="75" t="s">
        <v>509</v>
      </c>
      <c r="N799" s="75" t="s">
        <v>535</v>
      </c>
      <c r="O799" s="75" t="s">
        <v>1687</v>
      </c>
    </row>
    <row r="800" spans="1:15">
      <c r="A800" s="63" t="s">
        <v>849</v>
      </c>
      <c r="B800" s="14" t="str">
        <f>VLOOKUP(O800,'护理记录单文书字典(数据)'!B$4:C$99,2,0)</f>
        <v>768793350CFAB211BD98291F1176296E</v>
      </c>
      <c r="C800" s="75" t="s">
        <v>1721</v>
      </c>
      <c r="D800" s="75" t="s">
        <v>1722</v>
      </c>
      <c r="E800" s="92">
        <v>1</v>
      </c>
      <c r="F800" s="92">
        <v>1</v>
      </c>
      <c r="G800" s="75" t="s">
        <v>1699</v>
      </c>
      <c r="H800" s="75">
        <v>1</v>
      </c>
      <c r="I800" s="75"/>
      <c r="J800" s="75" t="s">
        <v>162</v>
      </c>
      <c r="K800" s="75" t="s">
        <v>509</v>
      </c>
      <c r="L800" s="75" t="s">
        <v>535</v>
      </c>
      <c r="M800" s="75" t="s">
        <v>509</v>
      </c>
      <c r="N800" s="75" t="s">
        <v>535</v>
      </c>
      <c r="O800" s="75" t="s">
        <v>1687</v>
      </c>
    </row>
    <row r="801" spans="1:15">
      <c r="A801" s="63" t="s">
        <v>849</v>
      </c>
      <c r="B801" s="14" t="str">
        <f>VLOOKUP(O801,'护理记录单文书字典(数据)'!B$4:C$99,2,0)</f>
        <v>768793350CFAB211BD98291F1176296E</v>
      </c>
      <c r="C801" s="75" t="s">
        <v>1721</v>
      </c>
      <c r="D801" s="75" t="s">
        <v>1722</v>
      </c>
      <c r="E801" s="92">
        <v>2</v>
      </c>
      <c r="F801" s="92">
        <v>2</v>
      </c>
      <c r="G801" s="75" t="s">
        <v>1688</v>
      </c>
      <c r="H801" s="75">
        <v>2</v>
      </c>
      <c r="I801" s="75"/>
      <c r="J801" s="75" t="s">
        <v>162</v>
      </c>
      <c r="K801" s="75" t="s">
        <v>509</v>
      </c>
      <c r="L801" s="75" t="s">
        <v>535</v>
      </c>
      <c r="M801" s="75" t="s">
        <v>509</v>
      </c>
      <c r="N801" s="75" t="s">
        <v>535</v>
      </c>
      <c r="O801" s="75" t="s">
        <v>1687</v>
      </c>
    </row>
    <row r="802" spans="1:15">
      <c r="A802" s="63" t="s">
        <v>849</v>
      </c>
      <c r="B802" s="14" t="str">
        <f>VLOOKUP(O802,'护理记录单文书字典(数据)'!B$4:C$99,2,0)</f>
        <v>768793350CFAB211BD98291F1176296E</v>
      </c>
      <c r="C802" s="75" t="s">
        <v>1721</v>
      </c>
      <c r="D802" s="75" t="s">
        <v>1722</v>
      </c>
      <c r="E802" s="92">
        <v>3</v>
      </c>
      <c r="F802" s="92">
        <v>3</v>
      </c>
      <c r="G802" s="75" t="s">
        <v>1689</v>
      </c>
      <c r="H802" s="75">
        <v>3</v>
      </c>
      <c r="I802" s="75"/>
      <c r="J802" s="75" t="s">
        <v>162</v>
      </c>
      <c r="K802" s="75" t="s">
        <v>509</v>
      </c>
      <c r="L802" s="75" t="s">
        <v>535</v>
      </c>
      <c r="M802" s="75" t="s">
        <v>509</v>
      </c>
      <c r="N802" s="75" t="s">
        <v>535</v>
      </c>
      <c r="O802" s="75" t="s">
        <v>1687</v>
      </c>
    </row>
    <row r="803" spans="1:15">
      <c r="A803" s="63" t="s">
        <v>849</v>
      </c>
      <c r="B803" s="14" t="str">
        <f>VLOOKUP(O803,'护理记录单文书字典(数据)'!B$4:C$99,2,0)</f>
        <v>768793350CFAB211BD98291F1176296E</v>
      </c>
      <c r="C803" s="75" t="s">
        <v>1721</v>
      </c>
      <c r="D803" s="75" t="s">
        <v>1722</v>
      </c>
      <c r="E803" s="92">
        <v>4</v>
      </c>
      <c r="F803" s="92">
        <v>4</v>
      </c>
      <c r="G803" s="75" t="s">
        <v>1145</v>
      </c>
      <c r="H803" s="75">
        <v>4</v>
      </c>
      <c r="I803" s="75"/>
      <c r="J803" s="75" t="s">
        <v>162</v>
      </c>
      <c r="K803" s="75" t="s">
        <v>509</v>
      </c>
      <c r="L803" s="75" t="s">
        <v>535</v>
      </c>
      <c r="M803" s="75" t="s">
        <v>509</v>
      </c>
      <c r="N803" s="75" t="s">
        <v>535</v>
      </c>
      <c r="O803" s="75" t="s">
        <v>1687</v>
      </c>
    </row>
    <row r="804" spans="1:15">
      <c r="A804" s="63" t="s">
        <v>849</v>
      </c>
      <c r="B804" s="14" t="str">
        <f>VLOOKUP(O804,'护理记录单文书字典(数据)'!B$4:C$99,2,0)</f>
        <v>768793350CFAB211BD98291F1176296E</v>
      </c>
      <c r="C804" s="75" t="s">
        <v>1721</v>
      </c>
      <c r="D804" s="75" t="s">
        <v>1722</v>
      </c>
      <c r="E804" s="92">
        <v>5</v>
      </c>
      <c r="F804" s="92">
        <v>5</v>
      </c>
      <c r="G804" s="75" t="s">
        <v>1690</v>
      </c>
      <c r="H804" s="75">
        <v>5</v>
      </c>
      <c r="I804" s="75"/>
      <c r="J804" s="75" t="s">
        <v>162</v>
      </c>
      <c r="K804" s="75" t="s">
        <v>509</v>
      </c>
      <c r="L804" s="75" t="s">
        <v>535</v>
      </c>
      <c r="M804" s="75" t="s">
        <v>509</v>
      </c>
      <c r="N804" s="75" t="s">
        <v>535</v>
      </c>
      <c r="O804" s="75" t="s">
        <v>1687</v>
      </c>
    </row>
    <row r="805" spans="1:15">
      <c r="A805" s="63" t="s">
        <v>849</v>
      </c>
      <c r="B805" s="14" t="str">
        <f>VLOOKUP(O805,'护理记录单文书字典(数据)'!B$4:C$99,2,0)</f>
        <v>768793350CFAB211BD98291F1176296E</v>
      </c>
      <c r="C805" s="75" t="s">
        <v>1723</v>
      </c>
      <c r="D805" s="75" t="s">
        <v>1724</v>
      </c>
      <c r="E805" s="92">
        <v>1</v>
      </c>
      <c r="F805" s="92">
        <v>1</v>
      </c>
      <c r="G805" s="75" t="s">
        <v>1702</v>
      </c>
      <c r="H805" s="75">
        <v>1</v>
      </c>
      <c r="I805" s="75"/>
      <c r="J805" s="75" t="s">
        <v>162</v>
      </c>
      <c r="K805" s="75" t="s">
        <v>509</v>
      </c>
      <c r="L805" s="75" t="s">
        <v>535</v>
      </c>
      <c r="M805" s="75" t="s">
        <v>509</v>
      </c>
      <c r="N805" s="75" t="s">
        <v>535</v>
      </c>
      <c r="O805" s="75" t="s">
        <v>1687</v>
      </c>
    </row>
    <row r="806" spans="1:15">
      <c r="A806" s="63" t="s">
        <v>849</v>
      </c>
      <c r="B806" s="14" t="str">
        <f>VLOOKUP(O806,'护理记录单文书字典(数据)'!B$4:C$99,2,0)</f>
        <v>768793350CFAB211BD98291F1176296E</v>
      </c>
      <c r="C806" s="75" t="s">
        <v>1723</v>
      </c>
      <c r="D806" s="75" t="s">
        <v>1724</v>
      </c>
      <c r="E806" s="92">
        <v>2</v>
      </c>
      <c r="F806" s="92">
        <v>2</v>
      </c>
      <c r="G806" s="75" t="s">
        <v>1688</v>
      </c>
      <c r="H806" s="75">
        <v>2</v>
      </c>
      <c r="I806" s="75"/>
      <c r="J806" s="75" t="s">
        <v>162</v>
      </c>
      <c r="K806" s="75" t="s">
        <v>509</v>
      </c>
      <c r="L806" s="75" t="s">
        <v>535</v>
      </c>
      <c r="M806" s="75" t="s">
        <v>509</v>
      </c>
      <c r="N806" s="75" t="s">
        <v>535</v>
      </c>
      <c r="O806" s="75" t="s">
        <v>1687</v>
      </c>
    </row>
    <row r="807" spans="1:15">
      <c r="A807" s="63" t="s">
        <v>849</v>
      </c>
      <c r="B807" s="14" t="str">
        <f>VLOOKUP(O807,'护理记录单文书字典(数据)'!B$4:C$99,2,0)</f>
        <v>768793350CFAB211BD98291F1176296E</v>
      </c>
      <c r="C807" s="75" t="s">
        <v>1723</v>
      </c>
      <c r="D807" s="75" t="s">
        <v>1724</v>
      </c>
      <c r="E807" s="92">
        <v>3</v>
      </c>
      <c r="F807" s="92">
        <v>3</v>
      </c>
      <c r="G807" s="75" t="s">
        <v>1689</v>
      </c>
      <c r="H807" s="75">
        <v>3</v>
      </c>
      <c r="I807" s="75"/>
      <c r="J807" s="75" t="s">
        <v>162</v>
      </c>
      <c r="K807" s="75" t="s">
        <v>509</v>
      </c>
      <c r="L807" s="75" t="s">
        <v>535</v>
      </c>
      <c r="M807" s="75" t="s">
        <v>509</v>
      </c>
      <c r="N807" s="75" t="s">
        <v>535</v>
      </c>
      <c r="O807" s="75" t="s">
        <v>1687</v>
      </c>
    </row>
    <row r="808" spans="1:15">
      <c r="A808" s="63" t="s">
        <v>849</v>
      </c>
      <c r="B808" s="14" t="str">
        <f>VLOOKUP(O808,'护理记录单文书字典(数据)'!B$4:C$99,2,0)</f>
        <v>768793350CFAB211BD98291F1176296E</v>
      </c>
      <c r="C808" s="75" t="s">
        <v>1723</v>
      </c>
      <c r="D808" s="75" t="s">
        <v>1724</v>
      </c>
      <c r="E808" s="92">
        <v>4</v>
      </c>
      <c r="F808" s="92">
        <v>4</v>
      </c>
      <c r="G808" s="75" t="s">
        <v>1145</v>
      </c>
      <c r="H808" s="75">
        <v>4</v>
      </c>
      <c r="I808" s="75"/>
      <c r="J808" s="75" t="s">
        <v>162</v>
      </c>
      <c r="K808" s="75" t="s">
        <v>509</v>
      </c>
      <c r="L808" s="75" t="s">
        <v>535</v>
      </c>
      <c r="M808" s="75" t="s">
        <v>509</v>
      </c>
      <c r="N808" s="75" t="s">
        <v>535</v>
      </c>
      <c r="O808" s="75" t="s">
        <v>1687</v>
      </c>
    </row>
    <row r="809" spans="1:15">
      <c r="A809" s="63" t="s">
        <v>849</v>
      </c>
      <c r="B809" s="14" t="str">
        <f>VLOOKUP(O809,'护理记录单文书字典(数据)'!B$4:C$99,2,0)</f>
        <v>768793350CFAB211BD98291F1176296E</v>
      </c>
      <c r="C809" s="75" t="s">
        <v>1723</v>
      </c>
      <c r="D809" s="75" t="s">
        <v>1724</v>
      </c>
      <c r="E809" s="92">
        <v>5</v>
      </c>
      <c r="F809" s="92">
        <v>5</v>
      </c>
      <c r="G809" s="75" t="s">
        <v>1690</v>
      </c>
      <c r="H809" s="75">
        <v>5</v>
      </c>
      <c r="I809" s="75"/>
      <c r="J809" s="75" t="s">
        <v>162</v>
      </c>
      <c r="K809" s="75" t="s">
        <v>509</v>
      </c>
      <c r="L809" s="75" t="s">
        <v>535</v>
      </c>
      <c r="M809" s="75" t="s">
        <v>509</v>
      </c>
      <c r="N809" s="75" t="s">
        <v>535</v>
      </c>
      <c r="O809" s="75" t="s">
        <v>1687</v>
      </c>
    </row>
    <row r="810" spans="1:15">
      <c r="A810" s="63" t="s">
        <v>849</v>
      </c>
      <c r="B810" s="14" t="str">
        <f>VLOOKUP(O810,'护理记录单文书字典(数据)'!B$4:C$99,2,0)</f>
        <v>768793350CFAB211BD98291F1176296E</v>
      </c>
      <c r="C810" s="75" t="s">
        <v>1725</v>
      </c>
      <c r="D810" s="75" t="s">
        <v>1726</v>
      </c>
      <c r="E810" s="92">
        <v>1</v>
      </c>
      <c r="F810" s="92">
        <v>1</v>
      </c>
      <c r="G810" s="75" t="s">
        <v>1686</v>
      </c>
      <c r="H810" s="75">
        <v>1</v>
      </c>
      <c r="I810" s="75"/>
      <c r="J810" s="75" t="s">
        <v>162</v>
      </c>
      <c r="K810" s="75" t="s">
        <v>509</v>
      </c>
      <c r="L810" s="75" t="s">
        <v>535</v>
      </c>
      <c r="M810" s="75" t="s">
        <v>509</v>
      </c>
      <c r="N810" s="75" t="s">
        <v>535</v>
      </c>
      <c r="O810" s="75" t="s">
        <v>1687</v>
      </c>
    </row>
    <row r="811" spans="1:15">
      <c r="A811" s="63" t="s">
        <v>849</v>
      </c>
      <c r="B811" s="14" t="str">
        <f>VLOOKUP(O811,'护理记录单文书字典(数据)'!B$4:C$99,2,0)</f>
        <v>768793350CFAB211BD98291F1176296E</v>
      </c>
      <c r="C811" s="75" t="s">
        <v>1725</v>
      </c>
      <c r="D811" s="75" t="s">
        <v>1726</v>
      </c>
      <c r="E811" s="92">
        <v>2</v>
      </c>
      <c r="F811" s="92">
        <v>2</v>
      </c>
      <c r="G811" s="75" t="s">
        <v>1688</v>
      </c>
      <c r="H811" s="75">
        <v>2</v>
      </c>
      <c r="I811" s="75"/>
      <c r="J811" s="75" t="s">
        <v>162</v>
      </c>
      <c r="K811" s="75" t="s">
        <v>509</v>
      </c>
      <c r="L811" s="75" t="s">
        <v>535</v>
      </c>
      <c r="M811" s="75" t="s">
        <v>509</v>
      </c>
      <c r="N811" s="75" t="s">
        <v>535</v>
      </c>
      <c r="O811" s="75" t="s">
        <v>1687</v>
      </c>
    </row>
    <row r="812" spans="1:15">
      <c r="A812" s="63" t="s">
        <v>849</v>
      </c>
      <c r="B812" s="14" t="str">
        <f>VLOOKUP(O812,'护理记录单文书字典(数据)'!B$4:C$99,2,0)</f>
        <v>768793350CFAB211BD98291F1176296E</v>
      </c>
      <c r="C812" s="75" t="s">
        <v>1725</v>
      </c>
      <c r="D812" s="75" t="s">
        <v>1726</v>
      </c>
      <c r="E812" s="92">
        <v>3</v>
      </c>
      <c r="F812" s="92">
        <v>3</v>
      </c>
      <c r="G812" s="75" t="s">
        <v>1689</v>
      </c>
      <c r="H812" s="75">
        <v>3</v>
      </c>
      <c r="I812" s="75"/>
      <c r="J812" s="75" t="s">
        <v>162</v>
      </c>
      <c r="K812" s="75" t="s">
        <v>509</v>
      </c>
      <c r="L812" s="75" t="s">
        <v>535</v>
      </c>
      <c r="M812" s="75" t="s">
        <v>509</v>
      </c>
      <c r="N812" s="75" t="s">
        <v>535</v>
      </c>
      <c r="O812" s="75" t="s">
        <v>1687</v>
      </c>
    </row>
    <row r="813" spans="1:15">
      <c r="A813" s="63" t="s">
        <v>849</v>
      </c>
      <c r="B813" s="14" t="str">
        <f>VLOOKUP(O813,'护理记录单文书字典(数据)'!B$4:C$99,2,0)</f>
        <v>768793350CFAB211BD98291F1176296E</v>
      </c>
      <c r="C813" s="75" t="s">
        <v>1725</v>
      </c>
      <c r="D813" s="75" t="s">
        <v>1726</v>
      </c>
      <c r="E813" s="92">
        <v>4</v>
      </c>
      <c r="F813" s="92">
        <v>4</v>
      </c>
      <c r="G813" s="75" t="s">
        <v>1145</v>
      </c>
      <c r="H813" s="75">
        <v>4</v>
      </c>
      <c r="I813" s="75"/>
      <c r="J813" s="75" t="s">
        <v>162</v>
      </c>
      <c r="K813" s="75" t="s">
        <v>509</v>
      </c>
      <c r="L813" s="75" t="s">
        <v>535</v>
      </c>
      <c r="M813" s="75" t="s">
        <v>509</v>
      </c>
      <c r="N813" s="75" t="s">
        <v>535</v>
      </c>
      <c r="O813" s="75" t="s">
        <v>1687</v>
      </c>
    </row>
    <row r="814" spans="1:15">
      <c r="A814" s="63" t="s">
        <v>849</v>
      </c>
      <c r="B814" s="14" t="str">
        <f>VLOOKUP(O814,'护理记录单文书字典(数据)'!B$4:C$99,2,0)</f>
        <v>768793350CFAB211BD98291F1176296E</v>
      </c>
      <c r="C814" s="75" t="s">
        <v>1725</v>
      </c>
      <c r="D814" s="75" t="s">
        <v>1726</v>
      </c>
      <c r="E814" s="92">
        <v>5</v>
      </c>
      <c r="F814" s="92">
        <v>5</v>
      </c>
      <c r="G814" s="75" t="s">
        <v>1690</v>
      </c>
      <c r="H814" s="75">
        <v>5</v>
      </c>
      <c r="I814" s="75"/>
      <c r="J814" s="75" t="s">
        <v>162</v>
      </c>
      <c r="K814" s="75" t="s">
        <v>509</v>
      </c>
      <c r="L814" s="75" t="s">
        <v>535</v>
      </c>
      <c r="M814" s="75" t="s">
        <v>509</v>
      </c>
      <c r="N814" s="75" t="s">
        <v>535</v>
      </c>
      <c r="O814" s="75" t="s">
        <v>1687</v>
      </c>
    </row>
    <row r="815" spans="1:15">
      <c r="A815" s="63" t="s">
        <v>849</v>
      </c>
      <c r="B815" s="14" t="str">
        <f>VLOOKUP(O815,'护理记录单文书字典(数据)'!B$4:C$99,2,0)</f>
        <v>768793350CFAB211BD98291F1176296E</v>
      </c>
      <c r="C815" s="75" t="s">
        <v>1727</v>
      </c>
      <c r="D815" s="75" t="s">
        <v>1728</v>
      </c>
      <c r="E815" s="92">
        <v>1</v>
      </c>
      <c r="F815" s="92">
        <v>1</v>
      </c>
      <c r="G815" s="75" t="s">
        <v>1729</v>
      </c>
      <c r="H815" s="75">
        <v>1</v>
      </c>
      <c r="I815" s="75"/>
      <c r="J815" s="75" t="s">
        <v>162</v>
      </c>
      <c r="K815" s="75" t="s">
        <v>509</v>
      </c>
      <c r="L815" s="75" t="s">
        <v>535</v>
      </c>
      <c r="M815" s="75" t="s">
        <v>509</v>
      </c>
      <c r="N815" s="75" t="s">
        <v>535</v>
      </c>
      <c r="O815" s="75" t="s">
        <v>1687</v>
      </c>
    </row>
    <row r="816" spans="1:15">
      <c r="A816" s="63" t="s">
        <v>849</v>
      </c>
      <c r="B816" s="14" t="str">
        <f>VLOOKUP(O816,'护理记录单文书字典(数据)'!B$4:C$99,2,0)</f>
        <v>768793350CFAB211BD98291F1176296E</v>
      </c>
      <c r="C816" s="75" t="s">
        <v>1727</v>
      </c>
      <c r="D816" s="75" t="s">
        <v>1728</v>
      </c>
      <c r="E816" s="92">
        <v>2</v>
      </c>
      <c r="F816" s="92">
        <v>2</v>
      </c>
      <c r="G816" s="75" t="s">
        <v>1688</v>
      </c>
      <c r="H816" s="75">
        <v>2</v>
      </c>
      <c r="I816" s="75"/>
      <c r="J816" s="75" t="s">
        <v>162</v>
      </c>
      <c r="K816" s="75" t="s">
        <v>509</v>
      </c>
      <c r="L816" s="75" t="s">
        <v>535</v>
      </c>
      <c r="M816" s="75" t="s">
        <v>509</v>
      </c>
      <c r="N816" s="75" t="s">
        <v>535</v>
      </c>
      <c r="O816" s="75" t="s">
        <v>1687</v>
      </c>
    </row>
    <row r="817" spans="1:15">
      <c r="A817" s="63" t="s">
        <v>849</v>
      </c>
      <c r="B817" s="14" t="str">
        <f>VLOOKUP(O817,'护理记录单文书字典(数据)'!B$4:C$99,2,0)</f>
        <v>768793350CFAB211BD98291F1176296E</v>
      </c>
      <c r="C817" s="75" t="s">
        <v>1727</v>
      </c>
      <c r="D817" s="75" t="s">
        <v>1728</v>
      </c>
      <c r="E817" s="92">
        <v>3</v>
      </c>
      <c r="F817" s="92">
        <v>3</v>
      </c>
      <c r="G817" s="75" t="s">
        <v>1689</v>
      </c>
      <c r="H817" s="75">
        <v>3</v>
      </c>
      <c r="I817" s="75"/>
      <c r="J817" s="75" t="s">
        <v>162</v>
      </c>
      <c r="K817" s="75" t="s">
        <v>509</v>
      </c>
      <c r="L817" s="75" t="s">
        <v>535</v>
      </c>
      <c r="M817" s="75" t="s">
        <v>509</v>
      </c>
      <c r="N817" s="75" t="s">
        <v>535</v>
      </c>
      <c r="O817" s="75" t="s">
        <v>1687</v>
      </c>
    </row>
    <row r="818" spans="1:15">
      <c r="A818" s="63" t="s">
        <v>849</v>
      </c>
      <c r="B818" s="14" t="str">
        <f>VLOOKUP(O818,'护理记录单文书字典(数据)'!B$4:C$99,2,0)</f>
        <v>768793350CFAB211BD98291F1176296E</v>
      </c>
      <c r="C818" s="75" t="s">
        <v>1727</v>
      </c>
      <c r="D818" s="75" t="s">
        <v>1728</v>
      </c>
      <c r="E818" s="92">
        <v>4</v>
      </c>
      <c r="F818" s="92">
        <v>4</v>
      </c>
      <c r="G818" s="75" t="s">
        <v>1145</v>
      </c>
      <c r="H818" s="75">
        <v>4</v>
      </c>
      <c r="I818" s="75"/>
      <c r="J818" s="75" t="s">
        <v>162</v>
      </c>
      <c r="K818" s="75" t="s">
        <v>509</v>
      </c>
      <c r="L818" s="75" t="s">
        <v>535</v>
      </c>
      <c r="M818" s="75" t="s">
        <v>509</v>
      </c>
      <c r="N818" s="75" t="s">
        <v>535</v>
      </c>
      <c r="O818" s="75" t="s">
        <v>1687</v>
      </c>
    </row>
    <row r="819" spans="1:15">
      <c r="A819" s="63" t="s">
        <v>849</v>
      </c>
      <c r="B819" s="14" t="str">
        <f>VLOOKUP(O819,'护理记录单文书字典(数据)'!B$4:C$99,2,0)</f>
        <v>768793350CFAB211BD98291F1176296E</v>
      </c>
      <c r="C819" s="75" t="s">
        <v>1727</v>
      </c>
      <c r="D819" s="75" t="s">
        <v>1728</v>
      </c>
      <c r="E819" s="92">
        <v>5</v>
      </c>
      <c r="F819" s="92">
        <v>5</v>
      </c>
      <c r="G819" s="75" t="s">
        <v>1690</v>
      </c>
      <c r="H819" s="75">
        <v>5</v>
      </c>
      <c r="I819" s="75"/>
      <c r="J819" s="75" t="s">
        <v>162</v>
      </c>
      <c r="K819" s="75" t="s">
        <v>509</v>
      </c>
      <c r="L819" s="75" t="s">
        <v>535</v>
      </c>
      <c r="M819" s="75" t="s">
        <v>509</v>
      </c>
      <c r="N819" s="75" t="s">
        <v>535</v>
      </c>
      <c r="O819" s="75" t="s">
        <v>1687</v>
      </c>
    </row>
    <row r="820" spans="1:15">
      <c r="A820" s="63" t="s">
        <v>849</v>
      </c>
      <c r="B820" s="14" t="str">
        <f>VLOOKUP(O820,'护理记录单文书字典(数据)'!B$4:C$99,2,0)</f>
        <v>768793350CFAB211BD98291F1176296E</v>
      </c>
      <c r="C820" s="75" t="s">
        <v>1730</v>
      </c>
      <c r="D820" s="75" t="s">
        <v>1731</v>
      </c>
      <c r="E820" s="92">
        <v>1</v>
      </c>
      <c r="F820" s="92">
        <v>1</v>
      </c>
      <c r="G820" s="75" t="s">
        <v>1699</v>
      </c>
      <c r="H820" s="75">
        <v>1</v>
      </c>
      <c r="I820" s="75"/>
      <c r="J820" s="75" t="s">
        <v>162</v>
      </c>
      <c r="K820" s="75" t="s">
        <v>509</v>
      </c>
      <c r="L820" s="75" t="s">
        <v>535</v>
      </c>
      <c r="M820" s="75" t="s">
        <v>509</v>
      </c>
      <c r="N820" s="75" t="s">
        <v>535</v>
      </c>
      <c r="O820" s="75" t="s">
        <v>1687</v>
      </c>
    </row>
    <row r="821" spans="1:15">
      <c r="A821" s="63" t="s">
        <v>849</v>
      </c>
      <c r="B821" s="14" t="str">
        <f>VLOOKUP(O821,'护理记录单文书字典(数据)'!B$4:C$99,2,0)</f>
        <v>768793350CFAB211BD98291F1176296E</v>
      </c>
      <c r="C821" s="75" t="s">
        <v>1730</v>
      </c>
      <c r="D821" s="75" t="s">
        <v>1731</v>
      </c>
      <c r="E821" s="92">
        <v>2</v>
      </c>
      <c r="F821" s="92">
        <v>2</v>
      </c>
      <c r="G821" s="75" t="s">
        <v>1688</v>
      </c>
      <c r="H821" s="75">
        <v>2</v>
      </c>
      <c r="I821" s="75"/>
      <c r="J821" s="75" t="s">
        <v>162</v>
      </c>
      <c r="K821" s="75" t="s">
        <v>509</v>
      </c>
      <c r="L821" s="75" t="s">
        <v>535</v>
      </c>
      <c r="M821" s="75" t="s">
        <v>509</v>
      </c>
      <c r="N821" s="75" t="s">
        <v>535</v>
      </c>
      <c r="O821" s="75" t="s">
        <v>1687</v>
      </c>
    </row>
    <row r="822" spans="1:15">
      <c r="A822" s="63" t="s">
        <v>849</v>
      </c>
      <c r="B822" s="14" t="str">
        <f>VLOOKUP(O822,'护理记录单文书字典(数据)'!B$4:C$99,2,0)</f>
        <v>768793350CFAB211BD98291F1176296E</v>
      </c>
      <c r="C822" s="75" t="s">
        <v>1730</v>
      </c>
      <c r="D822" s="75" t="s">
        <v>1731</v>
      </c>
      <c r="E822" s="92">
        <v>3</v>
      </c>
      <c r="F822" s="92">
        <v>3</v>
      </c>
      <c r="G822" s="75" t="s">
        <v>1689</v>
      </c>
      <c r="H822" s="75">
        <v>3</v>
      </c>
      <c r="I822" s="75"/>
      <c r="J822" s="75" t="s">
        <v>162</v>
      </c>
      <c r="K822" s="75" t="s">
        <v>509</v>
      </c>
      <c r="L822" s="75" t="s">
        <v>535</v>
      </c>
      <c r="M822" s="75" t="s">
        <v>509</v>
      </c>
      <c r="N822" s="75" t="s">
        <v>535</v>
      </c>
      <c r="O822" s="75" t="s">
        <v>1687</v>
      </c>
    </row>
    <row r="823" spans="1:15">
      <c r="A823" s="63" t="s">
        <v>849</v>
      </c>
      <c r="B823" s="14" t="str">
        <f>VLOOKUP(O823,'护理记录单文书字典(数据)'!B$4:C$99,2,0)</f>
        <v>768793350CFAB211BD98291F1176296E</v>
      </c>
      <c r="C823" s="75" t="s">
        <v>1730</v>
      </c>
      <c r="D823" s="75" t="s">
        <v>1731</v>
      </c>
      <c r="E823" s="92">
        <v>4</v>
      </c>
      <c r="F823" s="92">
        <v>4</v>
      </c>
      <c r="G823" s="75" t="s">
        <v>1145</v>
      </c>
      <c r="H823" s="75">
        <v>4</v>
      </c>
      <c r="I823" s="75"/>
      <c r="J823" s="75" t="s">
        <v>162</v>
      </c>
      <c r="K823" s="75" t="s">
        <v>509</v>
      </c>
      <c r="L823" s="75" t="s">
        <v>535</v>
      </c>
      <c r="M823" s="75" t="s">
        <v>509</v>
      </c>
      <c r="N823" s="75" t="s">
        <v>535</v>
      </c>
      <c r="O823" s="75" t="s">
        <v>1687</v>
      </c>
    </row>
    <row r="824" spans="1:15">
      <c r="A824" s="63" t="s">
        <v>849</v>
      </c>
      <c r="B824" s="14" t="str">
        <f>VLOOKUP(O824,'护理记录单文书字典(数据)'!B$4:C$99,2,0)</f>
        <v>768793350CFAB211BD98291F1176296E</v>
      </c>
      <c r="C824" s="75" t="s">
        <v>1730</v>
      </c>
      <c r="D824" s="75" t="s">
        <v>1731</v>
      </c>
      <c r="E824" s="92">
        <v>5</v>
      </c>
      <c r="F824" s="92">
        <v>5</v>
      </c>
      <c r="G824" s="75" t="s">
        <v>1690</v>
      </c>
      <c r="H824" s="75">
        <v>5</v>
      </c>
      <c r="I824" s="75"/>
      <c r="J824" s="75" t="s">
        <v>162</v>
      </c>
      <c r="K824" s="75" t="s">
        <v>509</v>
      </c>
      <c r="L824" s="75" t="s">
        <v>535</v>
      </c>
      <c r="M824" s="75" t="s">
        <v>509</v>
      </c>
      <c r="N824" s="75" t="s">
        <v>535</v>
      </c>
      <c r="O824" s="75" t="s">
        <v>1687</v>
      </c>
    </row>
    <row r="825" spans="1:15">
      <c r="A825" s="63" t="s">
        <v>849</v>
      </c>
      <c r="B825" s="14" t="str">
        <f>VLOOKUP(O825,'护理记录单文书字典(数据)'!B$4:C$99,2,0)</f>
        <v>768793350CFAB211BD98291F1176296E</v>
      </c>
      <c r="C825" s="75" t="s">
        <v>1732</v>
      </c>
      <c r="D825" s="75" t="s">
        <v>1733</v>
      </c>
      <c r="E825" s="92">
        <v>1</v>
      </c>
      <c r="F825" s="92">
        <v>1</v>
      </c>
      <c r="G825" s="75" t="s">
        <v>1702</v>
      </c>
      <c r="H825" s="75">
        <v>1</v>
      </c>
      <c r="I825" s="75"/>
      <c r="J825" s="75" t="s">
        <v>162</v>
      </c>
      <c r="K825" s="75" t="s">
        <v>509</v>
      </c>
      <c r="L825" s="75" t="s">
        <v>535</v>
      </c>
      <c r="M825" s="75" t="s">
        <v>509</v>
      </c>
      <c r="N825" s="75" t="s">
        <v>535</v>
      </c>
      <c r="O825" s="75" t="s">
        <v>1687</v>
      </c>
    </row>
    <row r="826" spans="1:15">
      <c r="A826" s="63" t="s">
        <v>849</v>
      </c>
      <c r="B826" s="14" t="str">
        <f>VLOOKUP(O826,'护理记录单文书字典(数据)'!B$4:C$99,2,0)</f>
        <v>768793350CFAB211BD98291F1176296E</v>
      </c>
      <c r="C826" s="75" t="s">
        <v>1732</v>
      </c>
      <c r="D826" s="75" t="s">
        <v>1733</v>
      </c>
      <c r="E826" s="92">
        <v>2</v>
      </c>
      <c r="F826" s="92">
        <v>2</v>
      </c>
      <c r="G826" s="75" t="s">
        <v>1688</v>
      </c>
      <c r="H826" s="75">
        <v>2</v>
      </c>
      <c r="I826" s="75"/>
      <c r="J826" s="75" t="s">
        <v>162</v>
      </c>
      <c r="K826" s="75" t="s">
        <v>509</v>
      </c>
      <c r="L826" s="75" t="s">
        <v>535</v>
      </c>
      <c r="M826" s="75" t="s">
        <v>509</v>
      </c>
      <c r="N826" s="75" t="s">
        <v>535</v>
      </c>
      <c r="O826" s="75" t="s">
        <v>1687</v>
      </c>
    </row>
    <row r="827" spans="1:15">
      <c r="A827" s="63" t="s">
        <v>849</v>
      </c>
      <c r="B827" s="14" t="str">
        <f>VLOOKUP(O827,'护理记录单文书字典(数据)'!B$4:C$99,2,0)</f>
        <v>768793350CFAB211BD98291F1176296E</v>
      </c>
      <c r="C827" s="75" t="s">
        <v>1732</v>
      </c>
      <c r="D827" s="75" t="s">
        <v>1733</v>
      </c>
      <c r="E827" s="92">
        <v>3</v>
      </c>
      <c r="F827" s="92">
        <v>3</v>
      </c>
      <c r="G827" s="75" t="s">
        <v>1689</v>
      </c>
      <c r="H827" s="75">
        <v>3</v>
      </c>
      <c r="I827" s="75"/>
      <c r="J827" s="75" t="s">
        <v>162</v>
      </c>
      <c r="K827" s="75" t="s">
        <v>509</v>
      </c>
      <c r="L827" s="75" t="s">
        <v>535</v>
      </c>
      <c r="M827" s="75" t="s">
        <v>509</v>
      </c>
      <c r="N827" s="75" t="s">
        <v>535</v>
      </c>
      <c r="O827" s="75" t="s">
        <v>1687</v>
      </c>
    </row>
    <row r="828" spans="1:15">
      <c r="A828" s="63" t="s">
        <v>849</v>
      </c>
      <c r="B828" s="14" t="str">
        <f>VLOOKUP(O828,'护理记录单文书字典(数据)'!B$4:C$99,2,0)</f>
        <v>768793350CFAB211BD98291F1176296E</v>
      </c>
      <c r="C828" s="75" t="s">
        <v>1732</v>
      </c>
      <c r="D828" s="75" t="s">
        <v>1733</v>
      </c>
      <c r="E828" s="92">
        <v>4</v>
      </c>
      <c r="F828" s="92">
        <v>4</v>
      </c>
      <c r="G828" s="75" t="s">
        <v>1145</v>
      </c>
      <c r="H828" s="75">
        <v>4</v>
      </c>
      <c r="I828" s="75"/>
      <c r="J828" s="75" t="s">
        <v>162</v>
      </c>
      <c r="K828" s="75" t="s">
        <v>509</v>
      </c>
      <c r="L828" s="75" t="s">
        <v>535</v>
      </c>
      <c r="M828" s="75" t="s">
        <v>509</v>
      </c>
      <c r="N828" s="75" t="s">
        <v>535</v>
      </c>
      <c r="O828" s="75" t="s">
        <v>1687</v>
      </c>
    </row>
    <row r="829" spans="1:15">
      <c r="A829" s="63" t="s">
        <v>849</v>
      </c>
      <c r="B829" s="14" t="str">
        <f>VLOOKUP(O829,'护理记录单文书字典(数据)'!B$4:C$99,2,0)</f>
        <v>768793350CFAB211BD98291F1176296E</v>
      </c>
      <c r="C829" s="75" t="s">
        <v>1732</v>
      </c>
      <c r="D829" s="75" t="s">
        <v>1733</v>
      </c>
      <c r="E829" s="92">
        <v>5</v>
      </c>
      <c r="F829" s="92">
        <v>5</v>
      </c>
      <c r="G829" s="75" t="s">
        <v>1690</v>
      </c>
      <c r="H829" s="75">
        <v>5</v>
      </c>
      <c r="I829" s="75"/>
      <c r="J829" s="75" t="s">
        <v>162</v>
      </c>
      <c r="K829" s="75" t="s">
        <v>509</v>
      </c>
      <c r="L829" s="75" t="s">
        <v>535</v>
      </c>
      <c r="M829" s="75" t="s">
        <v>509</v>
      </c>
      <c r="N829" s="75" t="s">
        <v>535</v>
      </c>
      <c r="O829" s="75" t="s">
        <v>1687</v>
      </c>
    </row>
    <row r="830" spans="1:15">
      <c r="A830" s="63" t="s">
        <v>849</v>
      </c>
      <c r="B830" s="14" t="str">
        <f>VLOOKUP(O830,'护理记录单文书字典(数据)'!B$4:C$99,2,0)</f>
        <v>768793350CFAB211BD98291F1176296E</v>
      </c>
      <c r="C830" s="75" t="s">
        <v>1734</v>
      </c>
      <c r="D830" s="75" t="s">
        <v>1735</v>
      </c>
      <c r="E830" s="92">
        <v>1</v>
      </c>
      <c r="F830" s="92">
        <v>1</v>
      </c>
      <c r="G830" s="75" t="s">
        <v>1736</v>
      </c>
      <c r="H830" s="75">
        <v>1</v>
      </c>
      <c r="I830" s="75"/>
      <c r="J830" s="75" t="s">
        <v>162</v>
      </c>
      <c r="K830" s="75" t="s">
        <v>509</v>
      </c>
      <c r="L830" s="75" t="s">
        <v>535</v>
      </c>
      <c r="M830" s="75" t="s">
        <v>509</v>
      </c>
      <c r="N830" s="75" t="s">
        <v>535</v>
      </c>
      <c r="O830" s="75" t="s">
        <v>1687</v>
      </c>
    </row>
    <row r="831" spans="1:15">
      <c r="A831" s="63" t="s">
        <v>849</v>
      </c>
      <c r="B831" s="14" t="str">
        <f>VLOOKUP(O831,'护理记录单文书字典(数据)'!B$4:C$99,2,0)</f>
        <v>768793350CFAB211BD98291F1176296E</v>
      </c>
      <c r="C831" s="75" t="s">
        <v>1734</v>
      </c>
      <c r="D831" s="75" t="s">
        <v>1735</v>
      </c>
      <c r="E831" s="92">
        <v>2</v>
      </c>
      <c r="F831" s="92">
        <v>2</v>
      </c>
      <c r="G831" s="75" t="s">
        <v>1688</v>
      </c>
      <c r="H831" s="75">
        <v>2</v>
      </c>
      <c r="I831" s="75"/>
      <c r="J831" s="75" t="s">
        <v>162</v>
      </c>
      <c r="K831" s="75" t="s">
        <v>509</v>
      </c>
      <c r="L831" s="75" t="s">
        <v>535</v>
      </c>
      <c r="M831" s="75" t="s">
        <v>509</v>
      </c>
      <c r="N831" s="75" t="s">
        <v>535</v>
      </c>
      <c r="O831" s="75" t="s">
        <v>1687</v>
      </c>
    </row>
    <row r="832" spans="1:15">
      <c r="A832" s="63" t="s">
        <v>849</v>
      </c>
      <c r="B832" s="14" t="str">
        <f>VLOOKUP(O832,'护理记录单文书字典(数据)'!B$4:C$99,2,0)</f>
        <v>768793350CFAB211BD98291F1176296E</v>
      </c>
      <c r="C832" s="75" t="s">
        <v>1734</v>
      </c>
      <c r="D832" s="75" t="s">
        <v>1735</v>
      </c>
      <c r="E832" s="92">
        <v>3</v>
      </c>
      <c r="F832" s="92">
        <v>3</v>
      </c>
      <c r="G832" s="75" t="s">
        <v>1689</v>
      </c>
      <c r="H832" s="75">
        <v>3</v>
      </c>
      <c r="I832" s="75"/>
      <c r="J832" s="75" t="s">
        <v>162</v>
      </c>
      <c r="K832" s="75" t="s">
        <v>509</v>
      </c>
      <c r="L832" s="75" t="s">
        <v>535</v>
      </c>
      <c r="M832" s="75" t="s">
        <v>509</v>
      </c>
      <c r="N832" s="75" t="s">
        <v>535</v>
      </c>
      <c r="O832" s="75" t="s">
        <v>1687</v>
      </c>
    </row>
    <row r="833" spans="1:15">
      <c r="A833" s="63" t="s">
        <v>849</v>
      </c>
      <c r="B833" s="14" t="str">
        <f>VLOOKUP(O833,'护理记录单文书字典(数据)'!B$4:C$99,2,0)</f>
        <v>768793350CFAB211BD98291F1176296E</v>
      </c>
      <c r="C833" s="75" t="s">
        <v>1734</v>
      </c>
      <c r="D833" s="75" t="s">
        <v>1735</v>
      </c>
      <c r="E833" s="92">
        <v>4</v>
      </c>
      <c r="F833" s="92">
        <v>4</v>
      </c>
      <c r="G833" s="75" t="s">
        <v>1145</v>
      </c>
      <c r="H833" s="75">
        <v>4</v>
      </c>
      <c r="I833" s="75"/>
      <c r="J833" s="75" t="s">
        <v>162</v>
      </c>
      <c r="K833" s="75" t="s">
        <v>509</v>
      </c>
      <c r="L833" s="75" t="s">
        <v>535</v>
      </c>
      <c r="M833" s="75" t="s">
        <v>509</v>
      </c>
      <c r="N833" s="75" t="s">
        <v>535</v>
      </c>
      <c r="O833" s="75" t="s">
        <v>1687</v>
      </c>
    </row>
    <row r="834" spans="1:15">
      <c r="A834" s="63" t="s">
        <v>849</v>
      </c>
      <c r="B834" s="14" t="str">
        <f>VLOOKUP(O834,'护理记录单文书字典(数据)'!B$4:C$99,2,0)</f>
        <v>768793350CFAB211BD98291F1176296E</v>
      </c>
      <c r="C834" s="75" t="s">
        <v>1734</v>
      </c>
      <c r="D834" s="75" t="s">
        <v>1735</v>
      </c>
      <c r="E834" s="92">
        <v>5</v>
      </c>
      <c r="F834" s="92">
        <v>5</v>
      </c>
      <c r="G834" s="75" t="s">
        <v>1690</v>
      </c>
      <c r="H834" s="75">
        <v>5</v>
      </c>
      <c r="I834" s="75"/>
      <c r="J834" s="75" t="s">
        <v>162</v>
      </c>
      <c r="K834" s="75" t="s">
        <v>509</v>
      </c>
      <c r="L834" s="75" t="s">
        <v>535</v>
      </c>
      <c r="M834" s="75" t="s">
        <v>509</v>
      </c>
      <c r="N834" s="75" t="s">
        <v>535</v>
      </c>
      <c r="O834" s="75" t="s">
        <v>1687</v>
      </c>
    </row>
    <row r="835" spans="1:15">
      <c r="A835" s="63" t="s">
        <v>849</v>
      </c>
      <c r="B835" s="14" t="str">
        <f>VLOOKUP(O835,'护理记录单文书字典(数据)'!B$4:C$99,2,0)</f>
        <v>768793350CFAB211BD98291F1176296E</v>
      </c>
      <c r="C835" s="75" t="s">
        <v>1737</v>
      </c>
      <c r="D835" s="75" t="s">
        <v>1738</v>
      </c>
      <c r="E835" s="92">
        <v>1</v>
      </c>
      <c r="F835" s="92">
        <v>1</v>
      </c>
      <c r="G835" s="75" t="s">
        <v>1739</v>
      </c>
      <c r="H835" s="75">
        <v>1</v>
      </c>
      <c r="I835" s="75"/>
      <c r="J835" s="75" t="s">
        <v>162</v>
      </c>
      <c r="K835" s="75" t="s">
        <v>509</v>
      </c>
      <c r="L835" s="75" t="s">
        <v>535</v>
      </c>
      <c r="M835" s="75" t="s">
        <v>509</v>
      </c>
      <c r="N835" s="75" t="s">
        <v>535</v>
      </c>
      <c r="O835" s="75" t="s">
        <v>1687</v>
      </c>
    </row>
    <row r="836" spans="1:15">
      <c r="A836" s="63" t="s">
        <v>849</v>
      </c>
      <c r="B836" s="14" t="str">
        <f>VLOOKUP(O836,'护理记录单文书字典(数据)'!B$4:C$99,2,0)</f>
        <v>768793350CFAB211BD98291F1176296E</v>
      </c>
      <c r="C836" s="75" t="s">
        <v>1737</v>
      </c>
      <c r="D836" s="75" t="s">
        <v>1738</v>
      </c>
      <c r="E836" s="92">
        <v>2</v>
      </c>
      <c r="F836" s="92">
        <v>2</v>
      </c>
      <c r="G836" s="75" t="s">
        <v>1688</v>
      </c>
      <c r="H836" s="75">
        <v>2</v>
      </c>
      <c r="I836" s="75"/>
      <c r="J836" s="75" t="s">
        <v>162</v>
      </c>
      <c r="K836" s="75" t="s">
        <v>509</v>
      </c>
      <c r="L836" s="75" t="s">
        <v>535</v>
      </c>
      <c r="M836" s="75" t="s">
        <v>509</v>
      </c>
      <c r="N836" s="75" t="s">
        <v>535</v>
      </c>
      <c r="O836" s="75" t="s">
        <v>1687</v>
      </c>
    </row>
    <row r="837" spans="1:15">
      <c r="A837" s="63" t="s">
        <v>849</v>
      </c>
      <c r="B837" s="14" t="str">
        <f>VLOOKUP(O837,'护理记录单文书字典(数据)'!B$4:C$99,2,0)</f>
        <v>768793350CFAB211BD98291F1176296E</v>
      </c>
      <c r="C837" s="75" t="s">
        <v>1737</v>
      </c>
      <c r="D837" s="75" t="s">
        <v>1738</v>
      </c>
      <c r="E837" s="92">
        <v>3</v>
      </c>
      <c r="F837" s="92">
        <v>3</v>
      </c>
      <c r="G837" s="75" t="s">
        <v>1689</v>
      </c>
      <c r="H837" s="75">
        <v>3</v>
      </c>
      <c r="I837" s="75"/>
      <c r="J837" s="75" t="s">
        <v>162</v>
      </c>
      <c r="K837" s="75" t="s">
        <v>509</v>
      </c>
      <c r="L837" s="75" t="s">
        <v>535</v>
      </c>
      <c r="M837" s="75" t="s">
        <v>509</v>
      </c>
      <c r="N837" s="75" t="s">
        <v>535</v>
      </c>
      <c r="O837" s="75" t="s">
        <v>1687</v>
      </c>
    </row>
    <row r="838" spans="1:15">
      <c r="A838" s="63" t="s">
        <v>849</v>
      </c>
      <c r="B838" s="14" t="str">
        <f>VLOOKUP(O838,'护理记录单文书字典(数据)'!B$4:C$99,2,0)</f>
        <v>768793350CFAB211BD98291F1176296E</v>
      </c>
      <c r="C838" s="75" t="s">
        <v>1737</v>
      </c>
      <c r="D838" s="75" t="s">
        <v>1738</v>
      </c>
      <c r="E838" s="92">
        <v>4</v>
      </c>
      <c r="F838" s="92">
        <v>4</v>
      </c>
      <c r="G838" s="75" t="s">
        <v>1145</v>
      </c>
      <c r="H838" s="75">
        <v>4</v>
      </c>
      <c r="I838" s="75"/>
      <c r="J838" s="75" t="s">
        <v>162</v>
      </c>
      <c r="K838" s="75" t="s">
        <v>509</v>
      </c>
      <c r="L838" s="75" t="s">
        <v>535</v>
      </c>
      <c r="M838" s="75" t="s">
        <v>509</v>
      </c>
      <c r="N838" s="75" t="s">
        <v>535</v>
      </c>
      <c r="O838" s="75" t="s">
        <v>1687</v>
      </c>
    </row>
    <row r="839" spans="1:15">
      <c r="A839" s="63" t="s">
        <v>849</v>
      </c>
      <c r="B839" s="14" t="str">
        <f>VLOOKUP(O839,'护理记录单文书字典(数据)'!B$4:C$99,2,0)</f>
        <v>768793350CFAB211BD98291F1176296E</v>
      </c>
      <c r="C839" s="75" t="s">
        <v>1737</v>
      </c>
      <c r="D839" s="75" t="s">
        <v>1738</v>
      </c>
      <c r="E839" s="92">
        <v>5</v>
      </c>
      <c r="F839" s="92">
        <v>5</v>
      </c>
      <c r="G839" s="75" t="s">
        <v>1690</v>
      </c>
      <c r="H839" s="75">
        <v>5</v>
      </c>
      <c r="I839" s="75"/>
      <c r="J839" s="75" t="s">
        <v>162</v>
      </c>
      <c r="K839" s="75" t="s">
        <v>509</v>
      </c>
      <c r="L839" s="75" t="s">
        <v>535</v>
      </c>
      <c r="M839" s="75" t="s">
        <v>509</v>
      </c>
      <c r="N839" s="75" t="s">
        <v>535</v>
      </c>
      <c r="O839" s="75" t="s">
        <v>1687</v>
      </c>
    </row>
    <row r="840" spans="1:15">
      <c r="A840" s="63" t="s">
        <v>849</v>
      </c>
      <c r="B840" s="14" t="str">
        <f>VLOOKUP(O840,'护理记录单文书字典(数据)'!B$4:C$99,2,0)</f>
        <v>768793350CFAB211BD98291F1176296E</v>
      </c>
      <c r="C840" s="75" t="s">
        <v>1740</v>
      </c>
      <c r="D840" s="75" t="s">
        <v>1741</v>
      </c>
      <c r="E840" s="92">
        <v>1</v>
      </c>
      <c r="F840" s="92">
        <v>1</v>
      </c>
      <c r="G840" s="75" t="s">
        <v>1717</v>
      </c>
      <c r="H840" s="75">
        <v>1</v>
      </c>
      <c r="I840" s="75"/>
      <c r="J840" s="75" t="s">
        <v>162</v>
      </c>
      <c r="K840" s="75" t="s">
        <v>509</v>
      </c>
      <c r="L840" s="75" t="s">
        <v>535</v>
      </c>
      <c r="M840" s="75" t="s">
        <v>509</v>
      </c>
      <c r="N840" s="75" t="s">
        <v>535</v>
      </c>
      <c r="O840" s="75" t="s">
        <v>1687</v>
      </c>
    </row>
    <row r="841" spans="1:15">
      <c r="A841" s="63" t="s">
        <v>849</v>
      </c>
      <c r="B841" s="14" t="str">
        <f>VLOOKUP(O841,'护理记录单文书字典(数据)'!B$4:C$99,2,0)</f>
        <v>768793350CFAB211BD98291F1176296E</v>
      </c>
      <c r="C841" s="75" t="s">
        <v>1740</v>
      </c>
      <c r="D841" s="75" t="s">
        <v>1741</v>
      </c>
      <c r="E841" s="92">
        <v>2</v>
      </c>
      <c r="F841" s="92">
        <v>2</v>
      </c>
      <c r="G841" s="75" t="s">
        <v>1688</v>
      </c>
      <c r="H841" s="75">
        <v>2</v>
      </c>
      <c r="I841" s="75"/>
      <c r="J841" s="75" t="s">
        <v>162</v>
      </c>
      <c r="K841" s="75" t="s">
        <v>509</v>
      </c>
      <c r="L841" s="75" t="s">
        <v>535</v>
      </c>
      <c r="M841" s="75" t="s">
        <v>509</v>
      </c>
      <c r="N841" s="75" t="s">
        <v>535</v>
      </c>
      <c r="O841" s="75" t="s">
        <v>1687</v>
      </c>
    </row>
    <row r="842" spans="1:15">
      <c r="A842" s="63" t="s">
        <v>849</v>
      </c>
      <c r="B842" s="14" t="str">
        <f>VLOOKUP(O842,'护理记录单文书字典(数据)'!B$4:C$99,2,0)</f>
        <v>768793350CFAB211BD98291F1176296E</v>
      </c>
      <c r="C842" s="75" t="s">
        <v>1740</v>
      </c>
      <c r="D842" s="75" t="s">
        <v>1741</v>
      </c>
      <c r="E842" s="92">
        <v>3</v>
      </c>
      <c r="F842" s="92">
        <v>3</v>
      </c>
      <c r="G842" s="75" t="s">
        <v>1689</v>
      </c>
      <c r="H842" s="75">
        <v>3</v>
      </c>
      <c r="I842" s="75"/>
      <c r="J842" s="75" t="s">
        <v>162</v>
      </c>
      <c r="K842" s="75" t="s">
        <v>509</v>
      </c>
      <c r="L842" s="75" t="s">
        <v>535</v>
      </c>
      <c r="M842" s="75" t="s">
        <v>509</v>
      </c>
      <c r="N842" s="75" t="s">
        <v>535</v>
      </c>
      <c r="O842" s="75" t="s">
        <v>1687</v>
      </c>
    </row>
    <row r="843" spans="1:15">
      <c r="A843" s="63" t="s">
        <v>849</v>
      </c>
      <c r="B843" s="14" t="str">
        <f>VLOOKUP(O843,'护理记录单文书字典(数据)'!B$4:C$99,2,0)</f>
        <v>768793350CFAB211BD98291F1176296E</v>
      </c>
      <c r="C843" s="75" t="s">
        <v>1740</v>
      </c>
      <c r="D843" s="75" t="s">
        <v>1741</v>
      </c>
      <c r="E843" s="92">
        <v>4</v>
      </c>
      <c r="F843" s="92">
        <v>4</v>
      </c>
      <c r="G843" s="75" t="s">
        <v>1145</v>
      </c>
      <c r="H843" s="75">
        <v>4</v>
      </c>
      <c r="I843" s="75"/>
      <c r="J843" s="75" t="s">
        <v>162</v>
      </c>
      <c r="K843" s="75" t="s">
        <v>509</v>
      </c>
      <c r="L843" s="75" t="s">
        <v>535</v>
      </c>
      <c r="M843" s="75" t="s">
        <v>509</v>
      </c>
      <c r="N843" s="75" t="s">
        <v>535</v>
      </c>
      <c r="O843" s="75" t="s">
        <v>1687</v>
      </c>
    </row>
    <row r="844" spans="1:15">
      <c r="A844" s="63" t="s">
        <v>849</v>
      </c>
      <c r="B844" s="14" t="str">
        <f>VLOOKUP(O844,'护理记录单文书字典(数据)'!B$4:C$99,2,0)</f>
        <v>768793350CFAB211BD98291F1176296E</v>
      </c>
      <c r="C844" s="75" t="s">
        <v>1740</v>
      </c>
      <c r="D844" s="75" t="s">
        <v>1741</v>
      </c>
      <c r="E844" s="92">
        <v>5</v>
      </c>
      <c r="F844" s="92">
        <v>5</v>
      </c>
      <c r="G844" s="75" t="s">
        <v>1690</v>
      </c>
      <c r="H844" s="75">
        <v>5</v>
      </c>
      <c r="I844" s="75"/>
      <c r="J844" s="75" t="s">
        <v>162</v>
      </c>
      <c r="K844" s="75" t="s">
        <v>509</v>
      </c>
      <c r="L844" s="75" t="s">
        <v>535</v>
      </c>
      <c r="M844" s="75" t="s">
        <v>509</v>
      </c>
      <c r="N844" s="75" t="s">
        <v>535</v>
      </c>
      <c r="O844" s="75" t="s">
        <v>1687</v>
      </c>
    </row>
    <row r="845" spans="1:15">
      <c r="A845" s="63" t="s">
        <v>849</v>
      </c>
      <c r="B845" s="14" t="str">
        <f>VLOOKUP(O845,'护理记录单文书字典(数据)'!B$4:C$99,2,0)</f>
        <v>0AEAAF350CFAB21185A773F8CE3DC446</v>
      </c>
      <c r="C845" s="75" t="s">
        <v>1742</v>
      </c>
      <c r="D845" s="75" t="s">
        <v>1743</v>
      </c>
      <c r="E845" s="92">
        <v>1</v>
      </c>
      <c r="F845" s="92">
        <v>1</v>
      </c>
      <c r="G845" s="75" t="s">
        <v>1744</v>
      </c>
      <c r="H845" s="75">
        <v>0</v>
      </c>
      <c r="I845" s="75"/>
      <c r="J845" s="75" t="s">
        <v>162</v>
      </c>
      <c r="K845" s="75" t="s">
        <v>509</v>
      </c>
      <c r="L845" s="75" t="s">
        <v>535</v>
      </c>
      <c r="M845" s="75" t="s">
        <v>509</v>
      </c>
      <c r="N845" s="75" t="s">
        <v>535</v>
      </c>
      <c r="O845" s="75" t="s">
        <v>1745</v>
      </c>
    </row>
    <row r="846" spans="1:15">
      <c r="A846" s="63" t="s">
        <v>849</v>
      </c>
      <c r="B846" s="14" t="str">
        <f>VLOOKUP(O846,'护理记录单文书字典(数据)'!B$4:C$99,2,0)</f>
        <v>0AEAAF350CFAB21185A773F8CE3DC446</v>
      </c>
      <c r="C846" s="75" t="s">
        <v>1742</v>
      </c>
      <c r="D846" s="75" t="s">
        <v>1743</v>
      </c>
      <c r="E846" s="92">
        <v>2</v>
      </c>
      <c r="F846" s="92">
        <v>2</v>
      </c>
      <c r="G846" s="75" t="s">
        <v>1746</v>
      </c>
      <c r="H846" s="75">
        <v>5</v>
      </c>
      <c r="I846" s="75"/>
      <c r="J846" s="75" t="s">
        <v>162</v>
      </c>
      <c r="K846" s="75" t="s">
        <v>509</v>
      </c>
      <c r="L846" s="75" t="s">
        <v>535</v>
      </c>
      <c r="M846" s="75" t="s">
        <v>509</v>
      </c>
      <c r="N846" s="75" t="s">
        <v>535</v>
      </c>
      <c r="O846" s="75" t="s">
        <v>1745</v>
      </c>
    </row>
    <row r="847" spans="1:15">
      <c r="A847" s="63" t="s">
        <v>849</v>
      </c>
      <c r="B847" s="14" t="str">
        <f>VLOOKUP(O847,'护理记录单文书字典(数据)'!B$4:C$99,2,0)</f>
        <v>0AEAAF350CFAB21185A773F8CE3DC446</v>
      </c>
      <c r="C847" s="75" t="s">
        <v>1742</v>
      </c>
      <c r="D847" s="75" t="s">
        <v>1743</v>
      </c>
      <c r="E847" s="92">
        <v>3</v>
      </c>
      <c r="F847" s="92">
        <v>3</v>
      </c>
      <c r="G847" s="75" t="s">
        <v>1747</v>
      </c>
      <c r="H847" s="75">
        <v>10</v>
      </c>
      <c r="I847" s="75"/>
      <c r="J847" s="75" t="s">
        <v>162</v>
      </c>
      <c r="K847" s="75" t="s">
        <v>509</v>
      </c>
      <c r="L847" s="75" t="s">
        <v>535</v>
      </c>
      <c r="M847" s="75" t="s">
        <v>509</v>
      </c>
      <c r="N847" s="75" t="s">
        <v>535</v>
      </c>
      <c r="O847" s="75" t="s">
        <v>1745</v>
      </c>
    </row>
    <row r="848" spans="1:15">
      <c r="A848" s="63" t="s">
        <v>849</v>
      </c>
      <c r="B848" s="14" t="str">
        <f>VLOOKUP(O848,'护理记录单文书字典(数据)'!B$4:C$99,2,0)</f>
        <v>0AEAAF350CFAB21185A773F8CE3DC446</v>
      </c>
      <c r="C848" s="75" t="s">
        <v>1748</v>
      </c>
      <c r="D848" s="75" t="s">
        <v>1749</v>
      </c>
      <c r="E848" s="92">
        <v>1</v>
      </c>
      <c r="F848" s="92">
        <v>1</v>
      </c>
      <c r="G848" s="75" t="s">
        <v>1750</v>
      </c>
      <c r="H848" s="75">
        <v>0</v>
      </c>
      <c r="I848" s="75"/>
      <c r="J848" s="75" t="s">
        <v>162</v>
      </c>
      <c r="K848" s="75" t="s">
        <v>509</v>
      </c>
      <c r="L848" s="75" t="s">
        <v>535</v>
      </c>
      <c r="M848" s="75" t="s">
        <v>509</v>
      </c>
      <c r="N848" s="75" t="s">
        <v>535</v>
      </c>
      <c r="O848" s="75" t="s">
        <v>1745</v>
      </c>
    </row>
    <row r="849" spans="1:15">
      <c r="A849" s="63" t="s">
        <v>849</v>
      </c>
      <c r="B849" s="14" t="str">
        <f>VLOOKUP(O849,'护理记录单文书字典(数据)'!B$4:C$99,2,0)</f>
        <v>0AEAAF350CFAB21185A773F8CE3DC446</v>
      </c>
      <c r="C849" s="75" t="s">
        <v>1748</v>
      </c>
      <c r="D849" s="75" t="s">
        <v>1749</v>
      </c>
      <c r="E849" s="92">
        <v>2</v>
      </c>
      <c r="F849" s="92">
        <v>2</v>
      </c>
      <c r="G849" s="75" t="s">
        <v>1751</v>
      </c>
      <c r="H849" s="75">
        <v>5</v>
      </c>
      <c r="I849" s="75"/>
      <c r="J849" s="75" t="s">
        <v>162</v>
      </c>
      <c r="K849" s="75" t="s">
        <v>509</v>
      </c>
      <c r="L849" s="75" t="s">
        <v>535</v>
      </c>
      <c r="M849" s="75" t="s">
        <v>509</v>
      </c>
      <c r="N849" s="75" t="s">
        <v>535</v>
      </c>
      <c r="O849" s="75" t="s">
        <v>1745</v>
      </c>
    </row>
    <row r="850" spans="1:15">
      <c r="A850" s="63" t="s">
        <v>849</v>
      </c>
      <c r="B850" s="14" t="str">
        <f>VLOOKUP(O850,'护理记录单文书字典(数据)'!B$4:C$99,2,0)</f>
        <v>0AEAAF350CFAB21185A773F8CE3DC446</v>
      </c>
      <c r="C850" s="75" t="s">
        <v>1748</v>
      </c>
      <c r="D850" s="75" t="s">
        <v>1749</v>
      </c>
      <c r="E850" s="92">
        <v>3</v>
      </c>
      <c r="F850" s="92">
        <v>3</v>
      </c>
      <c r="G850" s="75" t="s">
        <v>1752</v>
      </c>
      <c r="H850" s="75">
        <v>10</v>
      </c>
      <c r="I850" s="75"/>
      <c r="J850" s="75" t="s">
        <v>162</v>
      </c>
      <c r="K850" s="75" t="s">
        <v>509</v>
      </c>
      <c r="L850" s="75" t="s">
        <v>535</v>
      </c>
      <c r="M850" s="75" t="s">
        <v>509</v>
      </c>
      <c r="N850" s="75" t="s">
        <v>535</v>
      </c>
      <c r="O850" s="84" t="s">
        <v>1753</v>
      </c>
    </row>
    <row r="851" spans="1:15">
      <c r="A851" s="63" t="s">
        <v>849</v>
      </c>
      <c r="B851" s="14" t="str">
        <f>VLOOKUP(O851,'护理记录单文书字典(数据)'!B$4:C$99,2,0)</f>
        <v>0AEAAF350CFAB21185A773F8CE3DC446</v>
      </c>
      <c r="C851" s="75" t="s">
        <v>1754</v>
      </c>
      <c r="D851" s="75" t="s">
        <v>1755</v>
      </c>
      <c r="E851" s="92">
        <v>1</v>
      </c>
      <c r="F851" s="92">
        <v>1</v>
      </c>
      <c r="G851" s="75" t="s">
        <v>1756</v>
      </c>
      <c r="H851" s="75">
        <v>0</v>
      </c>
      <c r="I851" s="75"/>
      <c r="J851" s="75" t="s">
        <v>162</v>
      </c>
      <c r="K851" s="75" t="s">
        <v>509</v>
      </c>
      <c r="L851" s="75" t="s">
        <v>535</v>
      </c>
      <c r="M851" s="75" t="s">
        <v>509</v>
      </c>
      <c r="N851" s="75" t="s">
        <v>535</v>
      </c>
      <c r="O851" s="75" t="s">
        <v>1745</v>
      </c>
    </row>
    <row r="852" spans="1:15">
      <c r="A852" s="63" t="s">
        <v>849</v>
      </c>
      <c r="B852" s="14" t="str">
        <f>VLOOKUP(O852,'护理记录单文书字典(数据)'!B$4:C$99,2,0)</f>
        <v>0AEAAF350CFAB21185A773F8CE3DC446</v>
      </c>
      <c r="C852" s="75" t="s">
        <v>1754</v>
      </c>
      <c r="D852" s="75" t="s">
        <v>1755</v>
      </c>
      <c r="E852" s="92">
        <v>2</v>
      </c>
      <c r="F852" s="92">
        <v>2</v>
      </c>
      <c r="G852" s="75" t="s">
        <v>1757</v>
      </c>
      <c r="H852" s="75">
        <v>5</v>
      </c>
      <c r="I852" s="75"/>
      <c r="J852" s="75" t="s">
        <v>162</v>
      </c>
      <c r="K852" s="75" t="s">
        <v>509</v>
      </c>
      <c r="L852" s="75" t="s">
        <v>535</v>
      </c>
      <c r="M852" s="75" t="s">
        <v>509</v>
      </c>
      <c r="N852" s="75" t="s">
        <v>535</v>
      </c>
      <c r="O852" s="75" t="s">
        <v>1745</v>
      </c>
    </row>
    <row r="853" spans="1:15">
      <c r="A853" s="63" t="s">
        <v>849</v>
      </c>
      <c r="B853" s="14" t="str">
        <f>VLOOKUP(O853,'护理记录单文书字典(数据)'!B$4:C$99,2,0)</f>
        <v>0AEAAF350CFAB21185A773F8CE3DC446</v>
      </c>
      <c r="C853" s="75" t="s">
        <v>1758</v>
      </c>
      <c r="D853" s="75" t="s">
        <v>1759</v>
      </c>
      <c r="E853" s="92">
        <v>1</v>
      </c>
      <c r="F853" s="92">
        <v>1</v>
      </c>
      <c r="G853" s="75" t="s">
        <v>1760</v>
      </c>
      <c r="H853" s="75">
        <v>0</v>
      </c>
      <c r="I853" s="75"/>
      <c r="J853" s="75" t="s">
        <v>162</v>
      </c>
      <c r="K853" s="75" t="s">
        <v>509</v>
      </c>
      <c r="L853" s="75" t="s">
        <v>535</v>
      </c>
      <c r="M853" s="75" t="s">
        <v>509</v>
      </c>
      <c r="N853" s="75" t="s">
        <v>535</v>
      </c>
      <c r="O853" s="75" t="s">
        <v>1745</v>
      </c>
    </row>
    <row r="854" spans="1:15">
      <c r="A854" s="63" t="s">
        <v>849</v>
      </c>
      <c r="B854" s="14" t="str">
        <f>VLOOKUP(O854,'护理记录单文书字典(数据)'!B$4:C$99,2,0)</f>
        <v>0AEAAF350CFAB21185A773F8CE3DC446</v>
      </c>
      <c r="C854" s="75" t="s">
        <v>1758</v>
      </c>
      <c r="D854" s="75" t="s">
        <v>1759</v>
      </c>
      <c r="E854" s="92">
        <v>2</v>
      </c>
      <c r="F854" s="92">
        <v>2</v>
      </c>
      <c r="G854" s="75" t="s">
        <v>1761</v>
      </c>
      <c r="H854" s="75">
        <v>5</v>
      </c>
      <c r="I854" s="75"/>
      <c r="J854" s="75" t="s">
        <v>162</v>
      </c>
      <c r="K854" s="75" t="s">
        <v>509</v>
      </c>
      <c r="L854" s="75" t="s">
        <v>535</v>
      </c>
      <c r="M854" s="75" t="s">
        <v>509</v>
      </c>
      <c r="N854" s="75" t="s">
        <v>535</v>
      </c>
      <c r="O854" s="75" t="s">
        <v>1745</v>
      </c>
    </row>
    <row r="855" spans="1:15">
      <c r="A855" s="63" t="s">
        <v>849</v>
      </c>
      <c r="B855" s="14" t="str">
        <f>VLOOKUP(O855,'护理记录单文书字典(数据)'!B$4:C$99,2,0)</f>
        <v>0AEAAF350CFAB21185A773F8CE3DC446</v>
      </c>
      <c r="C855" s="75" t="s">
        <v>1758</v>
      </c>
      <c r="D855" s="75" t="s">
        <v>1759</v>
      </c>
      <c r="E855" s="92">
        <v>3</v>
      </c>
      <c r="F855" s="92">
        <v>3</v>
      </c>
      <c r="G855" s="75" t="s">
        <v>1762</v>
      </c>
      <c r="H855" s="75">
        <v>10</v>
      </c>
      <c r="I855" s="75"/>
      <c r="J855" s="75" t="s">
        <v>162</v>
      </c>
      <c r="K855" s="75" t="s">
        <v>509</v>
      </c>
      <c r="L855" s="75" t="s">
        <v>535</v>
      </c>
      <c r="M855" s="75" t="s">
        <v>509</v>
      </c>
      <c r="N855" s="75" t="s">
        <v>535</v>
      </c>
      <c r="O855" s="75" t="s">
        <v>1745</v>
      </c>
    </row>
    <row r="856" spans="1:15">
      <c r="A856" s="63" t="s">
        <v>849</v>
      </c>
      <c r="B856" s="14" t="str">
        <f>VLOOKUP(O856,'护理记录单文书字典(数据)'!B$4:C$99,2,0)</f>
        <v>0AEAAF350CFAB21185A773F8CE3DC446</v>
      </c>
      <c r="C856" s="75" t="s">
        <v>1763</v>
      </c>
      <c r="D856" s="75" t="s">
        <v>1764</v>
      </c>
      <c r="E856" s="92">
        <v>1</v>
      </c>
      <c r="F856" s="92">
        <v>1</v>
      </c>
      <c r="G856" s="75" t="s">
        <v>1765</v>
      </c>
      <c r="H856" s="75">
        <v>0</v>
      </c>
      <c r="I856" s="75"/>
      <c r="J856" s="75" t="s">
        <v>162</v>
      </c>
      <c r="K856" s="75" t="s">
        <v>509</v>
      </c>
      <c r="L856" s="75" t="s">
        <v>535</v>
      </c>
      <c r="M856" s="75" t="s">
        <v>509</v>
      </c>
      <c r="N856" s="75" t="s">
        <v>535</v>
      </c>
      <c r="O856" s="75" t="s">
        <v>1745</v>
      </c>
    </row>
    <row r="857" spans="1:15">
      <c r="A857" s="63" t="s">
        <v>849</v>
      </c>
      <c r="B857" s="14" t="str">
        <f>VLOOKUP(O857,'护理记录单文书字典(数据)'!B$4:C$99,2,0)</f>
        <v>0AEAAF350CFAB21185A773F8CE3DC446</v>
      </c>
      <c r="C857" s="75" t="s">
        <v>1763</v>
      </c>
      <c r="D857" s="75" t="s">
        <v>1764</v>
      </c>
      <c r="E857" s="92">
        <v>2</v>
      </c>
      <c r="F857" s="92">
        <v>2</v>
      </c>
      <c r="G857" s="75" t="s">
        <v>1766</v>
      </c>
      <c r="H857" s="75">
        <v>5</v>
      </c>
      <c r="I857" s="75"/>
      <c r="J857" s="75" t="s">
        <v>162</v>
      </c>
      <c r="K857" s="75" t="s">
        <v>509</v>
      </c>
      <c r="L857" s="75" t="s">
        <v>535</v>
      </c>
      <c r="M857" s="75" t="s">
        <v>509</v>
      </c>
      <c r="N857" s="75" t="s">
        <v>535</v>
      </c>
      <c r="O857" s="75" t="s">
        <v>1745</v>
      </c>
    </row>
    <row r="858" spans="1:15">
      <c r="A858" s="63" t="s">
        <v>849</v>
      </c>
      <c r="B858" s="14" t="str">
        <f>VLOOKUP(O858,'护理记录单文书字典(数据)'!B$4:C$99,2,0)</f>
        <v>0AEAAF350CFAB21185A773F8CE3DC446</v>
      </c>
      <c r="C858" s="75" t="s">
        <v>1763</v>
      </c>
      <c r="D858" s="75" t="s">
        <v>1764</v>
      </c>
      <c r="E858" s="92">
        <v>3</v>
      </c>
      <c r="F858" s="92">
        <v>3</v>
      </c>
      <c r="G858" s="75" t="s">
        <v>1767</v>
      </c>
      <c r="H858" s="75">
        <v>10</v>
      </c>
      <c r="I858" s="75"/>
      <c r="J858" s="75" t="s">
        <v>162</v>
      </c>
      <c r="K858" s="75" t="s">
        <v>509</v>
      </c>
      <c r="L858" s="75" t="s">
        <v>535</v>
      </c>
      <c r="M858" s="75" t="s">
        <v>509</v>
      </c>
      <c r="N858" s="75" t="s">
        <v>535</v>
      </c>
      <c r="O858" s="75" t="s">
        <v>1745</v>
      </c>
    </row>
    <row r="859" spans="1:15">
      <c r="A859" s="63" t="s">
        <v>849</v>
      </c>
      <c r="B859" s="14" t="str">
        <f>VLOOKUP(O859,'护理记录单文书字典(数据)'!B$4:C$99,2,0)</f>
        <v>0AEAAF350CFAB21185A773F8CE3DC446</v>
      </c>
      <c r="C859" s="75" t="s">
        <v>1768</v>
      </c>
      <c r="D859" s="75" t="s">
        <v>1769</v>
      </c>
      <c r="E859" s="92">
        <v>1</v>
      </c>
      <c r="F859" s="92">
        <v>1</v>
      </c>
      <c r="G859" s="75" t="s">
        <v>1770</v>
      </c>
      <c r="H859" s="75">
        <v>0</v>
      </c>
      <c r="I859" s="75"/>
      <c r="J859" s="75" t="s">
        <v>162</v>
      </c>
      <c r="K859" s="75" t="s">
        <v>509</v>
      </c>
      <c r="L859" s="75" t="s">
        <v>535</v>
      </c>
      <c r="M859" s="75" t="s">
        <v>509</v>
      </c>
      <c r="N859" s="75" t="s">
        <v>535</v>
      </c>
      <c r="O859" s="75" t="s">
        <v>1745</v>
      </c>
    </row>
    <row r="860" spans="1:15">
      <c r="A860" s="63" t="s">
        <v>849</v>
      </c>
      <c r="B860" s="14" t="str">
        <f>VLOOKUP(O860,'护理记录单文书字典(数据)'!B$4:C$99,2,0)</f>
        <v>0AEAAF350CFAB21185A773F8CE3DC446</v>
      </c>
      <c r="C860" s="75" t="s">
        <v>1768</v>
      </c>
      <c r="D860" s="75" t="s">
        <v>1769</v>
      </c>
      <c r="E860" s="92">
        <v>2</v>
      </c>
      <c r="F860" s="92">
        <v>2</v>
      </c>
      <c r="G860" s="75" t="s">
        <v>1771</v>
      </c>
      <c r="H860" s="75">
        <v>5</v>
      </c>
      <c r="I860" s="75"/>
      <c r="J860" s="75" t="s">
        <v>162</v>
      </c>
      <c r="K860" s="75" t="s">
        <v>509</v>
      </c>
      <c r="L860" s="75" t="s">
        <v>535</v>
      </c>
      <c r="M860" s="75" t="s">
        <v>509</v>
      </c>
      <c r="N860" s="75" t="s">
        <v>535</v>
      </c>
      <c r="O860" s="75" t="s">
        <v>1745</v>
      </c>
    </row>
    <row r="861" spans="1:15">
      <c r="A861" s="63" t="s">
        <v>849</v>
      </c>
      <c r="B861" s="14" t="str">
        <f>VLOOKUP(O861,'护理记录单文书字典(数据)'!B$4:C$99,2,0)</f>
        <v>0AEAAF350CFAB21185A773F8CE3DC446</v>
      </c>
      <c r="C861" s="75" t="s">
        <v>1768</v>
      </c>
      <c r="D861" s="75" t="s">
        <v>1769</v>
      </c>
      <c r="E861" s="92">
        <v>3</v>
      </c>
      <c r="F861" s="92">
        <v>3</v>
      </c>
      <c r="G861" s="75" t="s">
        <v>1772</v>
      </c>
      <c r="H861" s="75">
        <v>10</v>
      </c>
      <c r="I861" s="75"/>
      <c r="J861" s="75" t="s">
        <v>162</v>
      </c>
      <c r="K861" s="75" t="s">
        <v>509</v>
      </c>
      <c r="L861" s="75" t="s">
        <v>535</v>
      </c>
      <c r="M861" s="75" t="s">
        <v>509</v>
      </c>
      <c r="N861" s="75" t="s">
        <v>535</v>
      </c>
      <c r="O861" s="75" t="s">
        <v>1745</v>
      </c>
    </row>
    <row r="862" spans="1:15">
      <c r="A862" s="63" t="s">
        <v>849</v>
      </c>
      <c r="B862" s="14" t="str">
        <f>VLOOKUP(O862,'护理记录单文书字典(数据)'!B$4:C$99,2,0)</f>
        <v>0AEAAF350CFAB21185A773F8CE3DC446</v>
      </c>
      <c r="C862" s="75" t="s">
        <v>1768</v>
      </c>
      <c r="D862" s="75" t="s">
        <v>1769</v>
      </c>
      <c r="E862" s="92">
        <v>4</v>
      </c>
      <c r="F862" s="92">
        <v>4</v>
      </c>
      <c r="G862" s="75" t="s">
        <v>1762</v>
      </c>
      <c r="H862" s="75">
        <v>15</v>
      </c>
      <c r="I862" s="75"/>
      <c r="J862" s="75" t="s">
        <v>162</v>
      </c>
      <c r="K862" s="75" t="s">
        <v>509</v>
      </c>
      <c r="L862" s="75" t="s">
        <v>535</v>
      </c>
      <c r="M862" s="75" t="s">
        <v>509</v>
      </c>
      <c r="N862" s="75" t="s">
        <v>535</v>
      </c>
      <c r="O862" s="75" t="s">
        <v>1745</v>
      </c>
    </row>
    <row r="863" spans="1:15">
      <c r="A863" s="63" t="s">
        <v>849</v>
      </c>
      <c r="B863" s="14" t="str">
        <f>VLOOKUP(O863,'护理记录单文书字典(数据)'!B$4:C$99,2,0)</f>
        <v>0AEAAF350CFAB21185A773F8CE3DC446</v>
      </c>
      <c r="C863" s="75" t="s">
        <v>1773</v>
      </c>
      <c r="D863" s="75" t="s">
        <v>1774</v>
      </c>
      <c r="E863" s="92">
        <v>1</v>
      </c>
      <c r="F863" s="92">
        <v>1</v>
      </c>
      <c r="G863" s="75" t="s">
        <v>1775</v>
      </c>
      <c r="H863" s="75">
        <v>0</v>
      </c>
      <c r="I863" s="75"/>
      <c r="J863" s="75" t="s">
        <v>162</v>
      </c>
      <c r="K863" s="75" t="s">
        <v>509</v>
      </c>
      <c r="L863" s="75" t="s">
        <v>535</v>
      </c>
      <c r="M863" s="75" t="s">
        <v>509</v>
      </c>
      <c r="N863" s="75" t="s">
        <v>535</v>
      </c>
      <c r="O863" s="75" t="s">
        <v>1745</v>
      </c>
    </row>
    <row r="864" spans="1:15">
      <c r="A864" s="63" t="s">
        <v>849</v>
      </c>
      <c r="B864" s="14" t="str">
        <f>VLOOKUP(O864,'护理记录单文书字典(数据)'!B$4:C$99,2,0)</f>
        <v>0AEAAF350CFAB21185A773F8CE3DC446</v>
      </c>
      <c r="C864" s="75" t="s">
        <v>1773</v>
      </c>
      <c r="D864" s="75" t="s">
        <v>1774</v>
      </c>
      <c r="E864" s="92">
        <v>2</v>
      </c>
      <c r="F864" s="92">
        <v>2</v>
      </c>
      <c r="G864" s="75" t="s">
        <v>1776</v>
      </c>
      <c r="H864" s="75">
        <v>5</v>
      </c>
      <c r="I864" s="75"/>
      <c r="J864" s="75" t="s">
        <v>162</v>
      </c>
      <c r="K864" s="75" t="s">
        <v>509</v>
      </c>
      <c r="L864" s="75" t="s">
        <v>535</v>
      </c>
      <c r="M864" s="75" t="s">
        <v>509</v>
      </c>
      <c r="N864" s="75" t="s">
        <v>535</v>
      </c>
      <c r="O864" s="75" t="s">
        <v>1745</v>
      </c>
    </row>
    <row r="865" spans="1:15">
      <c r="A865" s="63" t="s">
        <v>849</v>
      </c>
      <c r="B865" s="14" t="str">
        <f>VLOOKUP(O865,'护理记录单文书字典(数据)'!B$4:C$99,2,0)</f>
        <v>0AEAAF350CFAB21185A773F8CE3DC446</v>
      </c>
      <c r="C865" s="75" t="s">
        <v>1773</v>
      </c>
      <c r="D865" s="75" t="s">
        <v>1774</v>
      </c>
      <c r="E865" s="92">
        <v>3</v>
      </c>
      <c r="F865" s="92">
        <v>3</v>
      </c>
      <c r="G865" s="75" t="s">
        <v>1777</v>
      </c>
      <c r="H865" s="75">
        <v>10</v>
      </c>
      <c r="I865" s="75"/>
      <c r="J865" s="75" t="s">
        <v>162</v>
      </c>
      <c r="K865" s="75" t="s">
        <v>509</v>
      </c>
      <c r="L865" s="75" t="s">
        <v>535</v>
      </c>
      <c r="M865" s="75" t="s">
        <v>509</v>
      </c>
      <c r="N865" s="75" t="s">
        <v>535</v>
      </c>
      <c r="O865" s="75" t="s">
        <v>1745</v>
      </c>
    </row>
    <row r="866" spans="1:15">
      <c r="A866" s="63" t="s">
        <v>849</v>
      </c>
      <c r="B866" s="14" t="str">
        <f>VLOOKUP(O866,'护理记录单文书字典(数据)'!B$4:C$99,2,0)</f>
        <v>0AEAAF350CFAB21185A773F8CE3DC446</v>
      </c>
      <c r="C866" s="75" t="s">
        <v>1773</v>
      </c>
      <c r="D866" s="75" t="s">
        <v>1774</v>
      </c>
      <c r="E866" s="92">
        <v>4</v>
      </c>
      <c r="F866" s="92">
        <v>4</v>
      </c>
      <c r="G866" s="75" t="s">
        <v>1778</v>
      </c>
      <c r="H866" s="75">
        <v>15</v>
      </c>
      <c r="I866" s="75"/>
      <c r="J866" s="75" t="s">
        <v>162</v>
      </c>
      <c r="K866" s="75" t="s">
        <v>509</v>
      </c>
      <c r="L866" s="75" t="s">
        <v>535</v>
      </c>
      <c r="M866" s="75" t="s">
        <v>509</v>
      </c>
      <c r="N866" s="75" t="s">
        <v>535</v>
      </c>
      <c r="O866" s="75" t="s">
        <v>1745</v>
      </c>
    </row>
    <row r="867" spans="1:15">
      <c r="A867" s="63" t="s">
        <v>849</v>
      </c>
      <c r="B867" s="14" t="str">
        <f>VLOOKUP(O867,'护理记录单文书字典(数据)'!B$4:C$99,2,0)</f>
        <v>0AEAAF350CFAB21185A773F8CE3DC446</v>
      </c>
      <c r="C867" s="75" t="s">
        <v>1779</v>
      </c>
      <c r="D867" s="75" t="s">
        <v>1780</v>
      </c>
      <c r="E867" s="92">
        <v>1</v>
      </c>
      <c r="F867" s="92">
        <v>1</v>
      </c>
      <c r="G867" s="75" t="s">
        <v>1765</v>
      </c>
      <c r="H867" s="75">
        <v>0</v>
      </c>
      <c r="I867" s="75"/>
      <c r="J867" s="75" t="s">
        <v>162</v>
      </c>
      <c r="K867" s="75" t="s">
        <v>509</v>
      </c>
      <c r="L867" s="75" t="s">
        <v>535</v>
      </c>
      <c r="M867" s="75" t="s">
        <v>509</v>
      </c>
      <c r="N867" s="75" t="s">
        <v>535</v>
      </c>
      <c r="O867" s="75" t="s">
        <v>1745</v>
      </c>
    </row>
    <row r="868" spans="1:15">
      <c r="A868" s="63" t="s">
        <v>849</v>
      </c>
      <c r="B868" s="14" t="str">
        <f>VLOOKUP(O868,'护理记录单文书字典(数据)'!B$4:C$99,2,0)</f>
        <v>0AEAAF350CFAB21185A773F8CE3DC446</v>
      </c>
      <c r="C868" s="75" t="s">
        <v>1779</v>
      </c>
      <c r="D868" s="75" t="s">
        <v>1780</v>
      </c>
      <c r="E868" s="92">
        <v>2</v>
      </c>
      <c r="F868" s="92">
        <v>2</v>
      </c>
      <c r="G868" s="75" t="s">
        <v>1781</v>
      </c>
      <c r="H868" s="75">
        <v>5</v>
      </c>
      <c r="I868" s="75"/>
      <c r="J868" s="75" t="s">
        <v>162</v>
      </c>
      <c r="K868" s="75" t="s">
        <v>509</v>
      </c>
      <c r="L868" s="75" t="s">
        <v>535</v>
      </c>
      <c r="M868" s="75" t="s">
        <v>509</v>
      </c>
      <c r="N868" s="75" t="s">
        <v>535</v>
      </c>
      <c r="O868" s="75" t="s">
        <v>1745</v>
      </c>
    </row>
    <row r="869" spans="1:15">
      <c r="A869" s="63" t="s">
        <v>849</v>
      </c>
      <c r="B869" s="14" t="str">
        <f>VLOOKUP(O869,'护理记录单文书字典(数据)'!B$4:C$99,2,0)</f>
        <v>0AEAAF350CFAB21185A773F8CE3DC446</v>
      </c>
      <c r="C869" s="75" t="s">
        <v>1779</v>
      </c>
      <c r="D869" s="75" t="s">
        <v>1780</v>
      </c>
      <c r="E869" s="92">
        <v>3</v>
      </c>
      <c r="F869" s="92">
        <v>3</v>
      </c>
      <c r="G869" s="75" t="s">
        <v>1782</v>
      </c>
      <c r="H869" s="75">
        <v>10</v>
      </c>
      <c r="I869" s="75"/>
      <c r="J869" s="75" t="s">
        <v>162</v>
      </c>
      <c r="K869" s="75" t="s">
        <v>509</v>
      </c>
      <c r="L869" s="75" t="s">
        <v>535</v>
      </c>
      <c r="M869" s="75" t="s">
        <v>509</v>
      </c>
      <c r="N869" s="75" t="s">
        <v>535</v>
      </c>
      <c r="O869" s="75" t="s">
        <v>1745</v>
      </c>
    </row>
    <row r="870" spans="1:15">
      <c r="A870" s="63" t="s">
        <v>849</v>
      </c>
      <c r="B870" s="14" t="str">
        <f>VLOOKUP(O870,'护理记录单文书字典(数据)'!B$4:C$99,2,0)</f>
        <v>0AEAAF350CFAB21185A773F8CE3DC446</v>
      </c>
      <c r="C870" s="75" t="s">
        <v>1783</v>
      </c>
      <c r="D870" s="75" t="s">
        <v>1784</v>
      </c>
      <c r="E870" s="92">
        <v>1</v>
      </c>
      <c r="F870" s="92">
        <v>1</v>
      </c>
      <c r="G870" s="75" t="s">
        <v>1785</v>
      </c>
      <c r="H870" s="75">
        <v>0</v>
      </c>
      <c r="I870" s="75"/>
      <c r="J870" s="75" t="s">
        <v>162</v>
      </c>
      <c r="K870" s="75" t="s">
        <v>509</v>
      </c>
      <c r="L870" s="75" t="s">
        <v>535</v>
      </c>
      <c r="M870" s="75" t="s">
        <v>509</v>
      </c>
      <c r="N870" s="75" t="s">
        <v>535</v>
      </c>
      <c r="O870" s="75" t="s">
        <v>1745</v>
      </c>
    </row>
    <row r="871" spans="1:15">
      <c r="A871" s="63" t="s">
        <v>849</v>
      </c>
      <c r="B871" s="14" t="str">
        <f>VLOOKUP(O871,'护理记录单文书字典(数据)'!B$4:C$99,2,0)</f>
        <v>0AEAAF350CFAB21185A773F8CE3DC446</v>
      </c>
      <c r="C871" s="75" t="s">
        <v>1783</v>
      </c>
      <c r="D871" s="75" t="s">
        <v>1784</v>
      </c>
      <c r="E871" s="92">
        <v>2</v>
      </c>
      <c r="F871" s="92">
        <v>2</v>
      </c>
      <c r="G871" s="75" t="s">
        <v>1786</v>
      </c>
      <c r="H871" s="75">
        <v>5</v>
      </c>
      <c r="I871" s="75"/>
      <c r="J871" s="75" t="s">
        <v>162</v>
      </c>
      <c r="K871" s="75" t="s">
        <v>509</v>
      </c>
      <c r="L871" s="75" t="s">
        <v>535</v>
      </c>
      <c r="M871" s="75" t="s">
        <v>509</v>
      </c>
      <c r="N871" s="75" t="s">
        <v>535</v>
      </c>
      <c r="O871" s="75" t="s">
        <v>1745</v>
      </c>
    </row>
    <row r="872" spans="1:15">
      <c r="A872" s="63" t="s">
        <v>849</v>
      </c>
      <c r="B872" s="14" t="str">
        <f>VLOOKUP(O872,'护理记录单文书字典(数据)'!B$4:C$99,2,0)</f>
        <v>0AEAAF350CFAB21185A773F8CE3DC446</v>
      </c>
      <c r="C872" s="75" t="s">
        <v>1783</v>
      </c>
      <c r="D872" s="75" t="s">
        <v>1784</v>
      </c>
      <c r="E872" s="92">
        <v>3</v>
      </c>
      <c r="F872" s="92">
        <v>3</v>
      </c>
      <c r="G872" s="75" t="s">
        <v>1762</v>
      </c>
      <c r="H872" s="75">
        <v>10</v>
      </c>
      <c r="I872" s="75"/>
      <c r="J872" s="75" t="s">
        <v>162</v>
      </c>
      <c r="K872" s="75" t="s">
        <v>509</v>
      </c>
      <c r="L872" s="75" t="s">
        <v>535</v>
      </c>
      <c r="M872" s="75" t="s">
        <v>509</v>
      </c>
      <c r="N872" s="75" t="s">
        <v>535</v>
      </c>
      <c r="O872" s="75" t="s">
        <v>1745</v>
      </c>
    </row>
    <row r="873" spans="1:15">
      <c r="A873" s="63" t="s">
        <v>849</v>
      </c>
      <c r="B873" s="14" t="str">
        <f>VLOOKUP(O873,'护理记录单文书字典(数据)'!B$4:C$99,2,0)</f>
        <v>0AEAAF350CFAB21185A773F8CE3DC446</v>
      </c>
      <c r="C873" s="75" t="s">
        <v>1787</v>
      </c>
      <c r="D873" s="75" t="s">
        <v>1788</v>
      </c>
      <c r="E873" s="92">
        <v>1</v>
      </c>
      <c r="F873" s="92">
        <v>1</v>
      </c>
      <c r="G873" s="75" t="s">
        <v>1765</v>
      </c>
      <c r="H873" s="75">
        <v>0</v>
      </c>
      <c r="I873" s="75"/>
      <c r="J873" s="75" t="s">
        <v>162</v>
      </c>
      <c r="K873" s="75" t="s">
        <v>509</v>
      </c>
      <c r="L873" s="75" t="s">
        <v>535</v>
      </c>
      <c r="M873" s="75" t="s">
        <v>509</v>
      </c>
      <c r="N873" s="75" t="s">
        <v>535</v>
      </c>
      <c r="O873" s="75" t="s">
        <v>1745</v>
      </c>
    </row>
    <row r="874" spans="1:15">
      <c r="A874" s="63" t="s">
        <v>849</v>
      </c>
      <c r="B874" s="14" t="str">
        <f>VLOOKUP(O874,'护理记录单文书字典(数据)'!B$4:C$99,2,0)</f>
        <v>0AEAAF350CFAB21185A773F8CE3DC446</v>
      </c>
      <c r="C874" s="75" t="s">
        <v>1787</v>
      </c>
      <c r="D874" s="75" t="s">
        <v>1788</v>
      </c>
      <c r="E874" s="92">
        <v>2</v>
      </c>
      <c r="F874" s="92">
        <v>2</v>
      </c>
      <c r="G874" s="75" t="s">
        <v>1762</v>
      </c>
      <c r="H874" s="75">
        <v>5</v>
      </c>
      <c r="I874" s="75"/>
      <c r="J874" s="75" t="s">
        <v>162</v>
      </c>
      <c r="K874" s="75" t="s">
        <v>509</v>
      </c>
      <c r="L874" s="75" t="s">
        <v>535</v>
      </c>
      <c r="M874" s="75" t="s">
        <v>509</v>
      </c>
      <c r="N874" s="75" t="s">
        <v>535</v>
      </c>
      <c r="O874" s="75" t="s">
        <v>1745</v>
      </c>
    </row>
    <row r="875" spans="1:15">
      <c r="A875" s="63" t="s">
        <v>849</v>
      </c>
      <c r="B875" s="14" t="str">
        <f>VLOOKUP(O875,'护理记录单文书字典(数据)'!B$4:C$99,2,0)</f>
        <v>221FC2350CFAB21112BE8C56394B3237</v>
      </c>
      <c r="C875" s="75" t="s">
        <v>1789</v>
      </c>
      <c r="D875" s="75" t="s">
        <v>1790</v>
      </c>
      <c r="E875" s="92">
        <v>1</v>
      </c>
      <c r="F875" s="92">
        <v>1</v>
      </c>
      <c r="G875" s="75" t="s">
        <v>1791</v>
      </c>
      <c r="H875" s="75"/>
      <c r="I875" s="75"/>
      <c r="J875" s="75" t="s">
        <v>162</v>
      </c>
      <c r="K875" s="75" t="s">
        <v>509</v>
      </c>
      <c r="L875" s="75" t="s">
        <v>535</v>
      </c>
      <c r="M875" s="75" t="s">
        <v>509</v>
      </c>
      <c r="N875" s="75" t="s">
        <v>535</v>
      </c>
      <c r="O875" s="75" t="s">
        <v>1792</v>
      </c>
    </row>
    <row r="876" spans="1:15">
      <c r="A876" s="63" t="s">
        <v>849</v>
      </c>
      <c r="B876" s="14" t="str">
        <f>VLOOKUP(O876,'护理记录单文书字典(数据)'!B$4:C$99,2,0)</f>
        <v>221FC2350CFAB21112BE8C56394B3237</v>
      </c>
      <c r="C876" s="75" t="s">
        <v>1789</v>
      </c>
      <c r="D876" s="75" t="s">
        <v>1790</v>
      </c>
      <c r="E876" s="92">
        <v>2</v>
      </c>
      <c r="F876" s="92">
        <v>2</v>
      </c>
      <c r="G876" s="75" t="s">
        <v>1793</v>
      </c>
      <c r="H876" s="75"/>
      <c r="I876" s="75"/>
      <c r="J876" s="75" t="s">
        <v>162</v>
      </c>
      <c r="K876" s="75" t="s">
        <v>509</v>
      </c>
      <c r="L876" s="75" t="s">
        <v>535</v>
      </c>
      <c r="M876" s="75" t="s">
        <v>509</v>
      </c>
      <c r="N876" s="75" t="s">
        <v>535</v>
      </c>
      <c r="O876" s="75" t="s">
        <v>1792</v>
      </c>
    </row>
    <row r="877" spans="1:15">
      <c r="A877" s="63" t="s">
        <v>849</v>
      </c>
      <c r="B877" s="14" t="str">
        <f>VLOOKUP(O877,'护理记录单文书字典(数据)'!B$4:C$99,2,0)</f>
        <v>221FC2350CFAB21112BE8C56394B3237</v>
      </c>
      <c r="C877" s="75" t="s">
        <v>1789</v>
      </c>
      <c r="D877" s="75" t="s">
        <v>1790</v>
      </c>
      <c r="E877" s="92">
        <v>3</v>
      </c>
      <c r="F877" s="92">
        <v>3</v>
      </c>
      <c r="G877" s="75" t="s">
        <v>1794</v>
      </c>
      <c r="H877" s="75"/>
      <c r="I877" s="75"/>
      <c r="J877" s="75" t="s">
        <v>162</v>
      </c>
      <c r="K877" s="75" t="s">
        <v>509</v>
      </c>
      <c r="L877" s="75" t="s">
        <v>535</v>
      </c>
      <c r="M877" s="75" t="s">
        <v>509</v>
      </c>
      <c r="N877" s="75" t="s">
        <v>535</v>
      </c>
      <c r="O877" s="75" t="s">
        <v>1792</v>
      </c>
    </row>
    <row r="878" spans="1:15">
      <c r="A878" s="63" t="s">
        <v>849</v>
      </c>
      <c r="B878" s="14" t="str">
        <f>VLOOKUP(O878,'护理记录单文书字典(数据)'!B$4:C$99,2,0)</f>
        <v>221FC2350CFAB21112BE8C56394B3237</v>
      </c>
      <c r="C878" s="75" t="s">
        <v>1789</v>
      </c>
      <c r="D878" s="75" t="s">
        <v>1790</v>
      </c>
      <c r="E878" s="92">
        <v>4</v>
      </c>
      <c r="F878" s="92">
        <v>4</v>
      </c>
      <c r="G878" s="75" t="s">
        <v>1093</v>
      </c>
      <c r="H878" s="75"/>
      <c r="I878" s="75"/>
      <c r="J878" s="75" t="s">
        <v>162</v>
      </c>
      <c r="K878" s="75" t="s">
        <v>509</v>
      </c>
      <c r="L878" s="75" t="s">
        <v>535</v>
      </c>
      <c r="M878" s="75" t="s">
        <v>509</v>
      </c>
      <c r="N878" s="75" t="s">
        <v>535</v>
      </c>
      <c r="O878" s="75" t="s">
        <v>1792</v>
      </c>
    </row>
    <row r="879" spans="1:15">
      <c r="A879" s="63" t="s">
        <v>849</v>
      </c>
      <c r="B879" s="14" t="str">
        <f>VLOOKUP(O879,'护理记录单文书字典(数据)'!B$4:C$99,2,0)</f>
        <v>E45CCA350CFAB2115F988C257D86745F</v>
      </c>
      <c r="C879" s="75" t="s">
        <v>1795</v>
      </c>
      <c r="D879" s="75" t="s">
        <v>1796</v>
      </c>
      <c r="E879" s="92">
        <v>1</v>
      </c>
      <c r="F879" s="92">
        <v>1</v>
      </c>
      <c r="G879" s="75" t="s">
        <v>1797</v>
      </c>
      <c r="H879" s="75"/>
      <c r="I879" s="75"/>
      <c r="J879" s="75" t="s">
        <v>162</v>
      </c>
      <c r="K879" s="75" t="s">
        <v>509</v>
      </c>
      <c r="L879" s="75" t="s">
        <v>535</v>
      </c>
      <c r="M879" s="75" t="s">
        <v>509</v>
      </c>
      <c r="N879" s="75" t="s">
        <v>535</v>
      </c>
      <c r="O879" s="75" t="s">
        <v>1798</v>
      </c>
    </row>
    <row r="880" spans="1:15">
      <c r="A880" s="63" t="s">
        <v>849</v>
      </c>
      <c r="B880" s="14" t="str">
        <f>VLOOKUP(O880,'护理记录单文书字典(数据)'!B$4:C$99,2,0)</f>
        <v>E45CCA350CFAB2115F988C257D86745F</v>
      </c>
      <c r="C880" s="75" t="s">
        <v>1795</v>
      </c>
      <c r="D880" s="75" t="s">
        <v>1796</v>
      </c>
      <c r="E880" s="92">
        <v>2</v>
      </c>
      <c r="F880" s="92">
        <v>2</v>
      </c>
      <c r="G880" s="75" t="s">
        <v>1799</v>
      </c>
      <c r="H880" s="75"/>
      <c r="I880" s="75"/>
      <c r="J880" s="75" t="s">
        <v>162</v>
      </c>
      <c r="K880" s="75" t="s">
        <v>509</v>
      </c>
      <c r="L880" s="75" t="s">
        <v>535</v>
      </c>
      <c r="M880" s="75" t="s">
        <v>509</v>
      </c>
      <c r="N880" s="75" t="s">
        <v>535</v>
      </c>
      <c r="O880" s="75" t="s">
        <v>1798</v>
      </c>
    </row>
    <row r="881" spans="1:15">
      <c r="A881" s="63" t="s">
        <v>849</v>
      </c>
      <c r="B881" s="14" t="str">
        <f>VLOOKUP(O881,'护理记录单文书字典(数据)'!B$4:C$99,2,0)</f>
        <v>E45CCA350CFAB2115F988C257D86745F</v>
      </c>
      <c r="C881" s="75" t="s">
        <v>1795</v>
      </c>
      <c r="D881" s="75" t="s">
        <v>1796</v>
      </c>
      <c r="E881" s="92">
        <v>3</v>
      </c>
      <c r="F881" s="92">
        <v>3</v>
      </c>
      <c r="G881" s="75" t="s">
        <v>1800</v>
      </c>
      <c r="H881" s="75"/>
      <c r="I881" s="75"/>
      <c r="J881" s="75" t="s">
        <v>162</v>
      </c>
      <c r="K881" s="75" t="s">
        <v>509</v>
      </c>
      <c r="L881" s="75" t="s">
        <v>535</v>
      </c>
      <c r="M881" s="75" t="s">
        <v>509</v>
      </c>
      <c r="N881" s="75" t="s">
        <v>535</v>
      </c>
      <c r="O881" s="75" t="s">
        <v>1798</v>
      </c>
    </row>
    <row r="882" spans="1:15">
      <c r="A882" s="63" t="s">
        <v>849</v>
      </c>
      <c r="B882" s="14" t="str">
        <f>VLOOKUP(O882,'护理记录单文书字典(数据)'!B$4:C$99,2,0)</f>
        <v>E45CCA350CFAB2115F988C257D86745F</v>
      </c>
      <c r="C882" s="75" t="s">
        <v>1795</v>
      </c>
      <c r="D882" s="75" t="s">
        <v>1796</v>
      </c>
      <c r="E882" s="92">
        <v>4</v>
      </c>
      <c r="F882" s="92">
        <v>4</v>
      </c>
      <c r="G882" s="75" t="s">
        <v>1093</v>
      </c>
      <c r="H882" s="75"/>
      <c r="I882" s="75"/>
      <c r="J882" s="75" t="s">
        <v>162</v>
      </c>
      <c r="K882" s="75" t="s">
        <v>509</v>
      </c>
      <c r="L882" s="75" t="s">
        <v>535</v>
      </c>
      <c r="M882" s="75" t="s">
        <v>509</v>
      </c>
      <c r="N882" s="75" t="s">
        <v>535</v>
      </c>
      <c r="O882" s="75" t="s">
        <v>1798</v>
      </c>
    </row>
    <row r="883" spans="1:15">
      <c r="A883" s="63" t="s">
        <v>849</v>
      </c>
      <c r="B883" s="14" t="str">
        <f>VLOOKUP(O883,'护理记录单文书字典(数据)'!B$4:C$99,2,0)</f>
        <v>A760D1350CFAB211E08C244569B8CF65</v>
      </c>
      <c r="C883" s="75" t="s">
        <v>1801</v>
      </c>
      <c r="D883" s="75" t="s">
        <v>1802</v>
      </c>
      <c r="E883" s="92">
        <v>1</v>
      </c>
      <c r="F883" s="92">
        <v>1</v>
      </c>
      <c r="G883" s="75" t="s">
        <v>1803</v>
      </c>
      <c r="H883" s="75"/>
      <c r="I883" s="75"/>
      <c r="J883" s="75" t="s">
        <v>162</v>
      </c>
      <c r="K883" s="75" t="s">
        <v>509</v>
      </c>
      <c r="L883" s="75" t="s">
        <v>535</v>
      </c>
      <c r="M883" s="75" t="s">
        <v>509</v>
      </c>
      <c r="N883" s="75" t="s">
        <v>535</v>
      </c>
      <c r="O883" s="75" t="s">
        <v>1804</v>
      </c>
    </row>
    <row r="884" spans="1:15">
      <c r="A884" s="63" t="s">
        <v>849</v>
      </c>
      <c r="B884" s="14" t="str">
        <f>VLOOKUP(O884,'护理记录单文书字典(数据)'!B$4:C$99,2,0)</f>
        <v>A760D1350CFAB211E08C244569B8CF65</v>
      </c>
      <c r="C884" s="75" t="s">
        <v>1801</v>
      </c>
      <c r="D884" s="75" t="s">
        <v>1802</v>
      </c>
      <c r="E884" s="92">
        <v>2</v>
      </c>
      <c r="F884" s="92">
        <v>2</v>
      </c>
      <c r="G884" s="75" t="s">
        <v>1805</v>
      </c>
      <c r="H884" s="75"/>
      <c r="I884" s="75"/>
      <c r="J884" s="75" t="s">
        <v>162</v>
      </c>
      <c r="K884" s="75" t="s">
        <v>509</v>
      </c>
      <c r="L884" s="75" t="s">
        <v>535</v>
      </c>
      <c r="M884" s="75" t="s">
        <v>509</v>
      </c>
      <c r="N884" s="75" t="s">
        <v>535</v>
      </c>
      <c r="O884" s="75" t="s">
        <v>1804</v>
      </c>
    </row>
    <row r="885" spans="1:15">
      <c r="A885" s="63" t="s">
        <v>849</v>
      </c>
      <c r="B885" s="14" t="str">
        <f>VLOOKUP(O885,'护理记录单文书字典(数据)'!B$4:C$99,2,0)</f>
        <v>A760D1350CFAB211E08C244569B8CF65</v>
      </c>
      <c r="C885" s="75" t="s">
        <v>1801</v>
      </c>
      <c r="D885" s="75" t="s">
        <v>1802</v>
      </c>
      <c r="E885" s="92">
        <v>3</v>
      </c>
      <c r="F885" s="92">
        <v>3</v>
      </c>
      <c r="G885" s="75" t="s">
        <v>1093</v>
      </c>
      <c r="H885" s="75"/>
      <c r="I885" s="75"/>
      <c r="J885" s="75" t="s">
        <v>162</v>
      </c>
      <c r="K885" s="75" t="s">
        <v>509</v>
      </c>
      <c r="L885" s="75" t="s">
        <v>535</v>
      </c>
      <c r="M885" s="75" t="s">
        <v>509</v>
      </c>
      <c r="N885" s="75" t="s">
        <v>535</v>
      </c>
      <c r="O885" s="75" t="s">
        <v>1804</v>
      </c>
    </row>
    <row r="886" spans="1:15">
      <c r="A886" s="63" t="s">
        <v>849</v>
      </c>
      <c r="B886" s="14" t="str">
        <f>VLOOKUP(O886,'护理记录单文书字典(数据)'!B$4:C$99,2,0)</f>
        <v>A760D1350CFAB211E08C244569B8CF65</v>
      </c>
      <c r="C886" s="75" t="s">
        <v>1806</v>
      </c>
      <c r="D886" s="75" t="s">
        <v>1807</v>
      </c>
      <c r="E886" s="92">
        <v>1</v>
      </c>
      <c r="F886" s="92">
        <v>1</v>
      </c>
      <c r="G886" s="75" t="s">
        <v>1320</v>
      </c>
      <c r="H886" s="75"/>
      <c r="I886" s="75"/>
      <c r="J886" s="75" t="s">
        <v>162</v>
      </c>
      <c r="K886" s="75" t="s">
        <v>509</v>
      </c>
      <c r="L886" s="75" t="s">
        <v>535</v>
      </c>
      <c r="M886" s="75" t="s">
        <v>509</v>
      </c>
      <c r="N886" s="75" t="s">
        <v>535</v>
      </c>
      <c r="O886" s="75" t="s">
        <v>1804</v>
      </c>
    </row>
    <row r="887" spans="1:15">
      <c r="A887" s="63" t="s">
        <v>849</v>
      </c>
      <c r="B887" s="14" t="str">
        <f>VLOOKUP(O887,'护理记录单文书字典(数据)'!B$4:C$99,2,0)</f>
        <v>A760D1350CFAB211E08C244569B8CF65</v>
      </c>
      <c r="C887" s="75" t="s">
        <v>1806</v>
      </c>
      <c r="D887" s="75" t="s">
        <v>1807</v>
      </c>
      <c r="E887" s="92">
        <v>2</v>
      </c>
      <c r="F887" s="92">
        <v>2</v>
      </c>
      <c r="G887" s="75" t="s">
        <v>1808</v>
      </c>
      <c r="H887" s="75"/>
      <c r="I887" s="75"/>
      <c r="J887" s="75" t="s">
        <v>162</v>
      </c>
      <c r="K887" s="75" t="s">
        <v>509</v>
      </c>
      <c r="L887" s="75" t="s">
        <v>535</v>
      </c>
      <c r="M887" s="75" t="s">
        <v>509</v>
      </c>
      <c r="N887" s="75" t="s">
        <v>535</v>
      </c>
      <c r="O887" s="75" t="s">
        <v>1804</v>
      </c>
    </row>
    <row r="888" spans="1:15">
      <c r="A888" s="63" t="s">
        <v>849</v>
      </c>
      <c r="B888" s="14" t="str">
        <f>VLOOKUP(O888,'护理记录单文书字典(数据)'!B$4:C$99,2,0)</f>
        <v>A760D1350CFAB211E08C244569B8CF65</v>
      </c>
      <c r="C888" s="75" t="s">
        <v>1806</v>
      </c>
      <c r="D888" s="75" t="s">
        <v>1807</v>
      </c>
      <c r="E888" s="92">
        <v>3</v>
      </c>
      <c r="F888" s="92">
        <v>3</v>
      </c>
      <c r="G888" s="75" t="s">
        <v>1093</v>
      </c>
      <c r="H888" s="75"/>
      <c r="I888" s="75"/>
      <c r="J888" s="75" t="s">
        <v>162</v>
      </c>
      <c r="K888" s="75" t="s">
        <v>509</v>
      </c>
      <c r="L888" s="75" t="s">
        <v>535</v>
      </c>
      <c r="M888" s="75" t="s">
        <v>509</v>
      </c>
      <c r="N888" s="75" t="s">
        <v>535</v>
      </c>
      <c r="O888" s="75" t="s">
        <v>1804</v>
      </c>
    </row>
    <row r="889" spans="1:15">
      <c r="A889" s="63" t="s">
        <v>849</v>
      </c>
      <c r="B889" s="14" t="str">
        <f>VLOOKUP(O889,'护理记录单文书字典(数据)'!B$4:C$99,2,0)</f>
        <v>143BD9350CFAB2115785CF09CCC6AD4F</v>
      </c>
      <c r="C889" s="75" t="s">
        <v>1460</v>
      </c>
      <c r="D889" s="75" t="s">
        <v>1461</v>
      </c>
      <c r="E889" s="92">
        <v>1</v>
      </c>
      <c r="F889" s="92">
        <v>1</v>
      </c>
      <c r="G889" s="75" t="s">
        <v>1462</v>
      </c>
      <c r="H889" s="75"/>
      <c r="I889" s="75"/>
      <c r="J889" s="75" t="s">
        <v>162</v>
      </c>
      <c r="K889" s="75" t="s">
        <v>509</v>
      </c>
      <c r="L889" s="75" t="s">
        <v>535</v>
      </c>
      <c r="M889" s="75" t="s">
        <v>509</v>
      </c>
      <c r="N889" s="75" t="s">
        <v>535</v>
      </c>
      <c r="O889" s="75" t="s">
        <v>1809</v>
      </c>
    </row>
    <row r="890" spans="1:15">
      <c r="A890" s="63" t="s">
        <v>849</v>
      </c>
      <c r="B890" s="14" t="str">
        <f>VLOOKUP(O890,'护理记录单文书字典(数据)'!B$4:C$99,2,0)</f>
        <v>143BD9350CFAB2115785CF09CCC6AD4F</v>
      </c>
      <c r="C890" s="75" t="s">
        <v>1460</v>
      </c>
      <c r="D890" s="75" t="s">
        <v>1461</v>
      </c>
      <c r="E890" s="92">
        <v>2</v>
      </c>
      <c r="F890" s="92">
        <v>2</v>
      </c>
      <c r="G890" s="75" t="s">
        <v>1464</v>
      </c>
      <c r="H890" s="75"/>
      <c r="I890" s="75"/>
      <c r="J890" s="75" t="s">
        <v>162</v>
      </c>
      <c r="K890" s="75" t="s">
        <v>509</v>
      </c>
      <c r="L890" s="75" t="s">
        <v>535</v>
      </c>
      <c r="M890" s="75" t="s">
        <v>509</v>
      </c>
      <c r="N890" s="75" t="s">
        <v>535</v>
      </c>
      <c r="O890" s="75" t="s">
        <v>1809</v>
      </c>
    </row>
    <row r="891" spans="1:15">
      <c r="A891" s="63" t="s">
        <v>849</v>
      </c>
      <c r="B891" s="14" t="str">
        <f>VLOOKUP(O891,'护理记录单文书字典(数据)'!B$4:C$99,2,0)</f>
        <v>143BD9350CFAB2115785CF09CCC6AD4F</v>
      </c>
      <c r="C891" s="75" t="s">
        <v>1460</v>
      </c>
      <c r="D891" s="75" t="s">
        <v>1461</v>
      </c>
      <c r="E891" s="92">
        <v>3</v>
      </c>
      <c r="F891" s="92">
        <v>3</v>
      </c>
      <c r="G891" s="75" t="s">
        <v>1465</v>
      </c>
      <c r="H891" s="75"/>
      <c r="I891" s="75"/>
      <c r="J891" s="75" t="s">
        <v>162</v>
      </c>
      <c r="K891" s="75" t="s">
        <v>509</v>
      </c>
      <c r="L891" s="75" t="s">
        <v>535</v>
      </c>
      <c r="M891" s="75" t="s">
        <v>509</v>
      </c>
      <c r="N891" s="75" t="s">
        <v>535</v>
      </c>
      <c r="O891" s="75" t="s">
        <v>1809</v>
      </c>
    </row>
    <row r="892" spans="1:15">
      <c r="A892" s="63" t="s">
        <v>849</v>
      </c>
      <c r="B892" s="14" t="str">
        <f>VLOOKUP(O892,'护理记录单文书字典(数据)'!B$4:C$99,2,0)</f>
        <v>143BD9350CFAB2115785CF09CCC6AD4F</v>
      </c>
      <c r="C892" s="75" t="s">
        <v>1460</v>
      </c>
      <c r="D892" s="75" t="s">
        <v>1461</v>
      </c>
      <c r="E892" s="92">
        <v>4</v>
      </c>
      <c r="F892" s="92">
        <v>4</v>
      </c>
      <c r="G892" s="75" t="s">
        <v>1466</v>
      </c>
      <c r="H892" s="75"/>
      <c r="I892" s="75"/>
      <c r="J892" s="75" t="s">
        <v>162</v>
      </c>
      <c r="K892" s="75" t="s">
        <v>509</v>
      </c>
      <c r="L892" s="75" t="s">
        <v>535</v>
      </c>
      <c r="M892" s="75" t="s">
        <v>509</v>
      </c>
      <c r="N892" s="75" t="s">
        <v>535</v>
      </c>
      <c r="O892" s="75" t="s">
        <v>1809</v>
      </c>
    </row>
    <row r="893" spans="1:15">
      <c r="A893" s="63" t="s">
        <v>849</v>
      </c>
      <c r="B893" s="14" t="str">
        <f>VLOOKUP(O893,'护理记录单文书字典(数据)'!B$4:C$99,2,0)</f>
        <v>143BD9350CFAB2115785CF09CCC6AD4F</v>
      </c>
      <c r="C893" s="75" t="s">
        <v>1460</v>
      </c>
      <c r="D893" s="75" t="s">
        <v>1461</v>
      </c>
      <c r="E893" s="92">
        <v>5</v>
      </c>
      <c r="F893" s="92">
        <v>5</v>
      </c>
      <c r="G893" s="75" t="s">
        <v>1467</v>
      </c>
      <c r="H893" s="75"/>
      <c r="I893" s="75"/>
      <c r="J893" s="75" t="s">
        <v>162</v>
      </c>
      <c r="K893" s="75" t="s">
        <v>509</v>
      </c>
      <c r="L893" s="75" t="s">
        <v>535</v>
      </c>
      <c r="M893" s="75" t="s">
        <v>509</v>
      </c>
      <c r="N893" s="75" t="s">
        <v>535</v>
      </c>
      <c r="O893" s="75" t="s">
        <v>1809</v>
      </c>
    </row>
    <row r="894" spans="1:15">
      <c r="A894" s="63" t="s">
        <v>849</v>
      </c>
      <c r="B894" s="14" t="str">
        <f>VLOOKUP(O894,'护理记录单文书字典(数据)'!B$4:C$99,2,0)</f>
        <v>143BD9350CFAB2115785CF09CCC6AD4F</v>
      </c>
      <c r="C894" s="75" t="s">
        <v>1810</v>
      </c>
      <c r="D894" s="75" t="s">
        <v>1811</v>
      </c>
      <c r="E894" s="92">
        <v>1</v>
      </c>
      <c r="F894" s="92">
        <v>1</v>
      </c>
      <c r="G894" s="75" t="s">
        <v>962</v>
      </c>
      <c r="H894" s="75"/>
      <c r="I894" s="75"/>
      <c r="J894" s="75" t="s">
        <v>162</v>
      </c>
      <c r="K894" s="75" t="s">
        <v>509</v>
      </c>
      <c r="L894" s="75" t="s">
        <v>535</v>
      </c>
      <c r="M894" s="75" t="s">
        <v>509</v>
      </c>
      <c r="N894" s="75" t="s">
        <v>535</v>
      </c>
      <c r="O894" s="75" t="s">
        <v>1809</v>
      </c>
    </row>
    <row r="895" spans="1:15">
      <c r="A895" s="63" t="s">
        <v>849</v>
      </c>
      <c r="B895" s="14" t="str">
        <f>VLOOKUP(O895,'护理记录单文书字典(数据)'!B$4:C$99,2,0)</f>
        <v>143BD9350CFAB2115785CF09CCC6AD4F</v>
      </c>
      <c r="C895" s="75" t="s">
        <v>1810</v>
      </c>
      <c r="D895" s="75" t="s">
        <v>1811</v>
      </c>
      <c r="E895" s="92">
        <v>2</v>
      </c>
      <c r="F895" s="92">
        <v>2</v>
      </c>
      <c r="G895" s="75" t="s">
        <v>1190</v>
      </c>
      <c r="H895" s="75"/>
      <c r="I895" s="75"/>
      <c r="J895" s="75" t="s">
        <v>162</v>
      </c>
      <c r="K895" s="75" t="s">
        <v>509</v>
      </c>
      <c r="L895" s="75" t="s">
        <v>535</v>
      </c>
      <c r="M895" s="75" t="s">
        <v>509</v>
      </c>
      <c r="N895" s="75" t="s">
        <v>535</v>
      </c>
      <c r="O895" s="75" t="s">
        <v>1809</v>
      </c>
    </row>
    <row r="896" spans="1:15">
      <c r="A896" s="63" t="s">
        <v>849</v>
      </c>
      <c r="B896" s="14" t="str">
        <f>VLOOKUP(O896,'护理记录单文书字典(数据)'!B$4:C$99,2,0)</f>
        <v>143BD9350CFAB2115785CF09CCC6AD4F</v>
      </c>
      <c r="C896" s="75" t="s">
        <v>1810</v>
      </c>
      <c r="D896" s="75" t="s">
        <v>1811</v>
      </c>
      <c r="E896" s="92">
        <v>3</v>
      </c>
      <c r="F896" s="92">
        <v>3</v>
      </c>
      <c r="G896" s="75" t="s">
        <v>1191</v>
      </c>
      <c r="H896" s="75"/>
      <c r="I896" s="75"/>
      <c r="J896" s="75" t="s">
        <v>162</v>
      </c>
      <c r="K896" s="75" t="s">
        <v>509</v>
      </c>
      <c r="L896" s="75" t="s">
        <v>535</v>
      </c>
      <c r="M896" s="75" t="s">
        <v>509</v>
      </c>
      <c r="N896" s="75" t="s">
        <v>535</v>
      </c>
      <c r="O896" s="75" t="s">
        <v>1809</v>
      </c>
    </row>
    <row r="897" spans="1:15">
      <c r="A897" s="63" t="s">
        <v>849</v>
      </c>
      <c r="B897" s="14" t="str">
        <f>VLOOKUP(O897,'护理记录单文书字典(数据)'!B$4:C$99,2,0)</f>
        <v>143BD9350CFAB2115785CF09CCC6AD4F</v>
      </c>
      <c r="C897" s="75" t="s">
        <v>1810</v>
      </c>
      <c r="D897" s="75" t="s">
        <v>1811</v>
      </c>
      <c r="E897" s="92">
        <v>4</v>
      </c>
      <c r="F897" s="92">
        <v>4</v>
      </c>
      <c r="G897" s="75" t="s">
        <v>1192</v>
      </c>
      <c r="H897" s="75"/>
      <c r="I897" s="75"/>
      <c r="J897" s="75" t="s">
        <v>162</v>
      </c>
      <c r="K897" s="75" t="s">
        <v>509</v>
      </c>
      <c r="L897" s="75" t="s">
        <v>535</v>
      </c>
      <c r="M897" s="75" t="s">
        <v>509</v>
      </c>
      <c r="N897" s="75" t="s">
        <v>535</v>
      </c>
      <c r="O897" s="75" t="s">
        <v>1809</v>
      </c>
    </row>
    <row r="898" spans="1:15">
      <c r="A898" s="63" t="s">
        <v>849</v>
      </c>
      <c r="B898" s="14" t="str">
        <f>VLOOKUP(O898,'护理记录单文书字典(数据)'!B$4:C$99,2,0)</f>
        <v>143BD9350CFAB2115785CF09CCC6AD4F</v>
      </c>
      <c r="C898" s="75" t="s">
        <v>1812</v>
      </c>
      <c r="D898" s="75" t="s">
        <v>1813</v>
      </c>
      <c r="E898" s="92">
        <v>1</v>
      </c>
      <c r="F898" s="92">
        <v>1</v>
      </c>
      <c r="G898" s="75" t="s">
        <v>1254</v>
      </c>
      <c r="H898" s="75"/>
      <c r="I898" s="75"/>
      <c r="J898" s="75" t="s">
        <v>162</v>
      </c>
      <c r="K898" s="75" t="s">
        <v>509</v>
      </c>
      <c r="L898" s="75" t="s">
        <v>535</v>
      </c>
      <c r="M898" s="75" t="s">
        <v>509</v>
      </c>
      <c r="N898" s="75" t="s">
        <v>535</v>
      </c>
      <c r="O898" s="75" t="s">
        <v>1809</v>
      </c>
    </row>
    <row r="899" spans="1:15">
      <c r="A899" s="63" t="s">
        <v>849</v>
      </c>
      <c r="B899" s="14" t="str">
        <f>VLOOKUP(O899,'护理记录单文书字典(数据)'!B$4:C$99,2,0)</f>
        <v>143BD9350CFAB2115785CF09CCC6AD4F</v>
      </c>
      <c r="C899" s="75" t="s">
        <v>1812</v>
      </c>
      <c r="D899" s="75" t="s">
        <v>1813</v>
      </c>
      <c r="E899" s="92">
        <v>2</v>
      </c>
      <c r="F899" s="92">
        <v>2</v>
      </c>
      <c r="G899" s="75" t="s">
        <v>1256</v>
      </c>
      <c r="H899" s="75"/>
      <c r="I899" s="75"/>
      <c r="J899" s="75" t="s">
        <v>162</v>
      </c>
      <c r="K899" s="75" t="s">
        <v>509</v>
      </c>
      <c r="L899" s="75" t="s">
        <v>535</v>
      </c>
      <c r="M899" s="75" t="s">
        <v>509</v>
      </c>
      <c r="N899" s="75" t="s">
        <v>535</v>
      </c>
      <c r="O899" s="75" t="s">
        <v>1809</v>
      </c>
    </row>
    <row r="900" spans="1:15">
      <c r="A900" s="63" t="s">
        <v>849</v>
      </c>
      <c r="B900" s="14" t="str">
        <f>VLOOKUP(O900,'护理记录单文书字典(数据)'!B$4:C$99,2,0)</f>
        <v>143BD9350CFAB2115785CF09CCC6AD4F</v>
      </c>
      <c r="C900" s="75" t="s">
        <v>1812</v>
      </c>
      <c r="D900" s="75" t="s">
        <v>1813</v>
      </c>
      <c r="E900" s="92">
        <v>3</v>
      </c>
      <c r="F900" s="92">
        <v>3</v>
      </c>
      <c r="G900" s="161" t="s">
        <v>1814</v>
      </c>
      <c r="H900" s="75"/>
      <c r="I900" s="75"/>
      <c r="J900" s="75" t="s">
        <v>162</v>
      </c>
      <c r="K900" s="75" t="s">
        <v>509</v>
      </c>
      <c r="L900" s="75" t="s">
        <v>535</v>
      </c>
      <c r="M900" s="75" t="s">
        <v>509</v>
      </c>
      <c r="N900" s="75" t="s">
        <v>535</v>
      </c>
      <c r="O900" s="75" t="s">
        <v>1809</v>
      </c>
    </row>
    <row r="901" spans="1:15">
      <c r="A901" s="63" t="s">
        <v>849</v>
      </c>
      <c r="B901" s="14" t="str">
        <f>VLOOKUP(O901,'护理记录单文书字典(数据)'!B$4:C$99,2,0)</f>
        <v>143BD9350CFAB2115785CF09CCC6AD4F</v>
      </c>
      <c r="C901" s="75" t="s">
        <v>1815</v>
      </c>
      <c r="D901" s="75" t="s">
        <v>1816</v>
      </c>
      <c r="E901" s="92">
        <v>1</v>
      </c>
      <c r="F901" s="92">
        <v>1</v>
      </c>
      <c r="G901" s="75" t="s">
        <v>1817</v>
      </c>
      <c r="H901" s="75"/>
      <c r="I901" s="75"/>
      <c r="J901" s="75" t="s">
        <v>162</v>
      </c>
      <c r="K901" s="75" t="s">
        <v>509</v>
      </c>
      <c r="L901" s="75" t="s">
        <v>535</v>
      </c>
      <c r="M901" s="75" t="s">
        <v>509</v>
      </c>
      <c r="N901" s="75" t="s">
        <v>535</v>
      </c>
      <c r="O901" s="75" t="s">
        <v>1809</v>
      </c>
    </row>
    <row r="902" spans="1:15">
      <c r="A902" s="63" t="s">
        <v>849</v>
      </c>
      <c r="B902" s="14" t="str">
        <f>VLOOKUP(O902,'护理记录单文书字典(数据)'!B$4:C$99,2,0)</f>
        <v>143BD9350CFAB2115785CF09CCC6AD4F</v>
      </c>
      <c r="C902" s="75" t="s">
        <v>1815</v>
      </c>
      <c r="D902" s="75" t="s">
        <v>1816</v>
      </c>
      <c r="E902" s="92">
        <v>2</v>
      </c>
      <c r="F902" s="92">
        <v>2</v>
      </c>
      <c r="G902" s="75" t="s">
        <v>1818</v>
      </c>
      <c r="H902" s="75"/>
      <c r="I902" s="75"/>
      <c r="J902" s="75" t="s">
        <v>162</v>
      </c>
      <c r="K902" s="75" t="s">
        <v>509</v>
      </c>
      <c r="L902" s="75" t="s">
        <v>535</v>
      </c>
      <c r="M902" s="75" t="s">
        <v>509</v>
      </c>
      <c r="N902" s="75" t="s">
        <v>535</v>
      </c>
      <c r="O902" s="75" t="s">
        <v>1809</v>
      </c>
    </row>
    <row r="903" spans="1:15">
      <c r="A903" s="63" t="s">
        <v>849</v>
      </c>
      <c r="B903" s="14" t="str">
        <f>VLOOKUP(O903,'护理记录单文书字典(数据)'!B$4:C$99,2,0)</f>
        <v>143BD9350CFAB2115785CF09CCC6AD4F</v>
      </c>
      <c r="C903" s="75" t="s">
        <v>1815</v>
      </c>
      <c r="D903" s="75" t="s">
        <v>1816</v>
      </c>
      <c r="E903" s="92">
        <v>3</v>
      </c>
      <c r="F903" s="92">
        <v>3</v>
      </c>
      <c r="G903" s="75" t="s">
        <v>1819</v>
      </c>
      <c r="H903" s="75"/>
      <c r="I903" s="75"/>
      <c r="J903" s="75" t="s">
        <v>162</v>
      </c>
      <c r="K903" s="75" t="s">
        <v>509</v>
      </c>
      <c r="L903" s="75" t="s">
        <v>535</v>
      </c>
      <c r="M903" s="75" t="s">
        <v>509</v>
      </c>
      <c r="N903" s="75" t="s">
        <v>535</v>
      </c>
      <c r="O903" s="75" t="s">
        <v>1809</v>
      </c>
    </row>
    <row r="904" spans="1:15">
      <c r="A904" s="63" t="s">
        <v>849</v>
      </c>
      <c r="B904" s="14" t="str">
        <f>VLOOKUP(O904,'护理记录单文书字典(数据)'!B$4:C$99,2,0)</f>
        <v>143BD9350CFAB2115785CF09CCC6AD4F</v>
      </c>
      <c r="C904" s="75" t="s">
        <v>1815</v>
      </c>
      <c r="D904" s="75" t="s">
        <v>1816</v>
      </c>
      <c r="E904" s="92">
        <v>4</v>
      </c>
      <c r="F904" s="92">
        <v>4</v>
      </c>
      <c r="G904" s="75" t="s">
        <v>1093</v>
      </c>
      <c r="H904" s="75"/>
      <c r="I904" s="75"/>
      <c r="J904" s="75" t="s">
        <v>162</v>
      </c>
      <c r="K904" s="75" t="s">
        <v>509</v>
      </c>
      <c r="L904" s="75" t="s">
        <v>535</v>
      </c>
      <c r="M904" s="75" t="s">
        <v>509</v>
      </c>
      <c r="N904" s="75" t="s">
        <v>535</v>
      </c>
      <c r="O904" s="75" t="s">
        <v>1809</v>
      </c>
    </row>
    <row r="905" spans="1:15">
      <c r="A905" s="63" t="s">
        <v>849</v>
      </c>
      <c r="B905" s="14" t="str">
        <f>VLOOKUP(O905,'护理记录单文书字典(数据)'!B$4:C$99,2,0)</f>
        <v>143BD9350CFAB2115785CF09CCC6AD4F</v>
      </c>
      <c r="C905" s="75" t="s">
        <v>1820</v>
      </c>
      <c r="D905" s="75" t="s">
        <v>1821</v>
      </c>
      <c r="E905" s="92">
        <v>1</v>
      </c>
      <c r="F905" s="92">
        <v>1</v>
      </c>
      <c r="G905" s="75" t="s">
        <v>1822</v>
      </c>
      <c r="H905" s="75"/>
      <c r="I905" s="75"/>
      <c r="J905" s="75" t="s">
        <v>162</v>
      </c>
      <c r="K905" s="75" t="s">
        <v>509</v>
      </c>
      <c r="L905" s="75" t="s">
        <v>535</v>
      </c>
      <c r="M905" s="75" t="s">
        <v>509</v>
      </c>
      <c r="N905" s="75" t="s">
        <v>535</v>
      </c>
      <c r="O905" s="75" t="s">
        <v>1809</v>
      </c>
    </row>
    <row r="906" spans="1:15">
      <c r="A906" s="63" t="s">
        <v>849</v>
      </c>
      <c r="B906" s="14" t="str">
        <f>VLOOKUP(O906,'护理记录单文书字典(数据)'!B$4:C$99,2,0)</f>
        <v>143BD9350CFAB2115785CF09CCC6AD4F</v>
      </c>
      <c r="C906" s="75" t="s">
        <v>1820</v>
      </c>
      <c r="D906" s="75" t="s">
        <v>1821</v>
      </c>
      <c r="E906" s="92">
        <v>2</v>
      </c>
      <c r="F906" s="92">
        <v>2</v>
      </c>
      <c r="G906" s="75" t="s">
        <v>1823</v>
      </c>
      <c r="H906" s="75"/>
      <c r="I906" s="75"/>
      <c r="J906" s="75" t="s">
        <v>162</v>
      </c>
      <c r="K906" s="75" t="s">
        <v>509</v>
      </c>
      <c r="L906" s="75" t="s">
        <v>535</v>
      </c>
      <c r="M906" s="75" t="s">
        <v>509</v>
      </c>
      <c r="N906" s="75" t="s">
        <v>535</v>
      </c>
      <c r="O906" s="75" t="s">
        <v>1809</v>
      </c>
    </row>
    <row r="907" spans="1:15">
      <c r="A907" s="63" t="s">
        <v>849</v>
      </c>
      <c r="B907" s="14" t="str">
        <f>VLOOKUP(O907,'护理记录单文书字典(数据)'!B$4:C$99,2,0)</f>
        <v>143BD9350CFAB2115785CF09CCC6AD4F</v>
      </c>
      <c r="C907" s="75" t="s">
        <v>1820</v>
      </c>
      <c r="D907" s="75" t="s">
        <v>1821</v>
      </c>
      <c r="E907" s="92">
        <v>3</v>
      </c>
      <c r="F907" s="92">
        <v>3</v>
      </c>
      <c r="G907" s="75" t="s">
        <v>1240</v>
      </c>
      <c r="H907" s="75"/>
      <c r="I907" s="75"/>
      <c r="J907" s="75" t="s">
        <v>162</v>
      </c>
      <c r="K907" s="75" t="s">
        <v>509</v>
      </c>
      <c r="L907" s="75" t="s">
        <v>535</v>
      </c>
      <c r="M907" s="75" t="s">
        <v>509</v>
      </c>
      <c r="N907" s="75" t="s">
        <v>535</v>
      </c>
      <c r="O907" s="75" t="s">
        <v>1809</v>
      </c>
    </row>
    <row r="908" spans="1:15">
      <c r="A908" s="63" t="s">
        <v>849</v>
      </c>
      <c r="B908" s="14" t="str">
        <f>VLOOKUP(O908,'护理记录单文书字典(数据)'!B$4:C$99,2,0)</f>
        <v>143BD9350CFAB2115785CF09CCC6AD4F</v>
      </c>
      <c r="C908" s="75" t="s">
        <v>1824</v>
      </c>
      <c r="D908" s="75" t="s">
        <v>1825</v>
      </c>
      <c r="E908" s="92">
        <v>1</v>
      </c>
      <c r="F908" s="92">
        <v>1</v>
      </c>
      <c r="G908" s="75" t="s">
        <v>1254</v>
      </c>
      <c r="H908" s="75"/>
      <c r="I908" s="75"/>
      <c r="J908" s="75" t="s">
        <v>162</v>
      </c>
      <c r="K908" s="75" t="s">
        <v>509</v>
      </c>
      <c r="L908" s="75" t="s">
        <v>535</v>
      </c>
      <c r="M908" s="75" t="s">
        <v>509</v>
      </c>
      <c r="N908" s="75" t="s">
        <v>535</v>
      </c>
      <c r="O908" s="75" t="s">
        <v>1809</v>
      </c>
    </row>
    <row r="909" spans="1:15">
      <c r="A909" s="63" t="s">
        <v>849</v>
      </c>
      <c r="B909" s="14" t="str">
        <f>VLOOKUP(O909,'护理记录单文书字典(数据)'!B$4:C$99,2,0)</f>
        <v>143BD9350CFAB2115785CF09CCC6AD4F</v>
      </c>
      <c r="C909" s="75" t="s">
        <v>1824</v>
      </c>
      <c r="D909" s="75" t="s">
        <v>1825</v>
      </c>
      <c r="E909" s="92">
        <v>2</v>
      </c>
      <c r="F909" s="92">
        <v>2</v>
      </c>
      <c r="G909" s="75" t="s">
        <v>1256</v>
      </c>
      <c r="H909" s="75"/>
      <c r="I909" s="75"/>
      <c r="J909" s="75" t="s">
        <v>162</v>
      </c>
      <c r="K909" s="75" t="s">
        <v>509</v>
      </c>
      <c r="L909" s="75" t="s">
        <v>535</v>
      </c>
      <c r="M909" s="75" t="s">
        <v>509</v>
      </c>
      <c r="N909" s="75" t="s">
        <v>535</v>
      </c>
      <c r="O909" s="75" t="s">
        <v>1809</v>
      </c>
    </row>
    <row r="910" spans="1:15">
      <c r="A910" s="63" t="s">
        <v>849</v>
      </c>
      <c r="B910" s="14" t="str">
        <f>VLOOKUP(O910,'护理记录单文书字典(数据)'!B$4:C$99,2,0)</f>
        <v>143BD9350CFAB2115785CF09CCC6AD4F</v>
      </c>
      <c r="C910" s="75" t="s">
        <v>1824</v>
      </c>
      <c r="D910" s="75" t="s">
        <v>1825</v>
      </c>
      <c r="E910" s="92">
        <v>3</v>
      </c>
      <c r="F910" s="92">
        <v>3</v>
      </c>
      <c r="G910" s="161" t="s">
        <v>1814</v>
      </c>
      <c r="H910" s="75"/>
      <c r="I910" s="75"/>
      <c r="J910" s="75" t="s">
        <v>162</v>
      </c>
      <c r="K910" s="75" t="s">
        <v>509</v>
      </c>
      <c r="L910" s="75" t="s">
        <v>535</v>
      </c>
      <c r="M910" s="75" t="s">
        <v>509</v>
      </c>
      <c r="N910" s="75" t="s">
        <v>535</v>
      </c>
      <c r="O910" s="75" t="s">
        <v>1809</v>
      </c>
    </row>
    <row r="911" spans="1:15">
      <c r="A911" s="63" t="s">
        <v>849</v>
      </c>
      <c r="B911" s="14" t="str">
        <f>VLOOKUP(O911,'护理记录单文书字典(数据)'!B$4:C$99,2,0)</f>
        <v>143BD9350CFAB2115785CF09CCC6AD4F</v>
      </c>
      <c r="C911" s="170" t="s">
        <v>3485</v>
      </c>
      <c r="D911" s="170" t="s">
        <v>3486</v>
      </c>
      <c r="E911" s="171">
        <v>1</v>
      </c>
      <c r="F911" s="171">
        <v>0</v>
      </c>
      <c r="G911" s="170" t="s">
        <v>961</v>
      </c>
      <c r="H911" s="170"/>
      <c r="I911" s="170"/>
      <c r="J911" s="170" t="s">
        <v>162</v>
      </c>
      <c r="K911" s="170" t="s">
        <v>509</v>
      </c>
      <c r="L911" s="170" t="s">
        <v>535</v>
      </c>
      <c r="M911" s="170" t="s">
        <v>509</v>
      </c>
      <c r="N911" s="170" t="s">
        <v>535</v>
      </c>
      <c r="O911" s="170" t="s">
        <v>3487</v>
      </c>
    </row>
    <row r="912" spans="1:15">
      <c r="A912" s="63" t="s">
        <v>849</v>
      </c>
      <c r="B912" s="14" t="str">
        <f>VLOOKUP(O912,'护理记录单文书字典(数据)'!B$4:C$99,2,0)</f>
        <v>143BD9350CFAB2115785CF09CCC6AD4F</v>
      </c>
      <c r="C912" s="170" t="s">
        <v>3485</v>
      </c>
      <c r="D912" s="170" t="s">
        <v>3486</v>
      </c>
      <c r="E912" s="171">
        <v>2</v>
      </c>
      <c r="F912" s="171">
        <v>1</v>
      </c>
      <c r="G912" s="170" t="s">
        <v>962</v>
      </c>
      <c r="H912" s="170"/>
      <c r="I912" s="170"/>
      <c r="J912" s="170" t="s">
        <v>162</v>
      </c>
      <c r="K912" s="170" t="s">
        <v>509</v>
      </c>
      <c r="L912" s="170" t="s">
        <v>535</v>
      </c>
      <c r="M912" s="170" t="s">
        <v>509</v>
      </c>
      <c r="N912" s="170" t="s">
        <v>535</v>
      </c>
      <c r="O912" s="170" t="s">
        <v>1809</v>
      </c>
    </row>
    <row r="913" spans="1:15">
      <c r="A913" s="63" t="s">
        <v>849</v>
      </c>
      <c r="B913" s="14" t="str">
        <f>VLOOKUP(O913,'护理记录单文书字典(数据)'!B$4:C$99,2,0)</f>
        <v>4577E0350CFAB211B5A6FFC39BFAC821</v>
      </c>
      <c r="C913" s="75" t="s">
        <v>1460</v>
      </c>
      <c r="D913" s="75" t="s">
        <v>1461</v>
      </c>
      <c r="E913" s="92">
        <v>1</v>
      </c>
      <c r="F913" s="92">
        <v>1</v>
      </c>
      <c r="G913" s="75" t="s">
        <v>1462</v>
      </c>
      <c r="H913" s="75"/>
      <c r="I913" s="75"/>
      <c r="J913" s="75" t="s">
        <v>162</v>
      </c>
      <c r="K913" s="75" t="s">
        <v>509</v>
      </c>
      <c r="L913" s="75" t="s">
        <v>535</v>
      </c>
      <c r="M913" s="75" t="s">
        <v>509</v>
      </c>
      <c r="N913" s="75" t="s">
        <v>535</v>
      </c>
      <c r="O913" s="75" t="s">
        <v>1826</v>
      </c>
    </row>
    <row r="914" spans="1:15">
      <c r="A914" s="63" t="s">
        <v>849</v>
      </c>
      <c r="B914" s="14" t="str">
        <f>VLOOKUP(O914,'护理记录单文书字典(数据)'!B$4:C$99,2,0)</f>
        <v>4577E0350CFAB211B5A6FFC39BFAC821</v>
      </c>
      <c r="C914" s="75" t="s">
        <v>1460</v>
      </c>
      <c r="D914" s="75" t="s">
        <v>1461</v>
      </c>
      <c r="E914" s="92">
        <v>2</v>
      </c>
      <c r="F914" s="92">
        <v>2</v>
      </c>
      <c r="G914" s="75" t="s">
        <v>1464</v>
      </c>
      <c r="H914" s="75"/>
      <c r="I914" s="75"/>
      <c r="J914" s="75" t="s">
        <v>162</v>
      </c>
      <c r="K914" s="75" t="s">
        <v>509</v>
      </c>
      <c r="L914" s="75" t="s">
        <v>535</v>
      </c>
      <c r="M914" s="75" t="s">
        <v>509</v>
      </c>
      <c r="N914" s="75" t="s">
        <v>535</v>
      </c>
      <c r="O914" s="75" t="s">
        <v>1826</v>
      </c>
    </row>
    <row r="915" spans="1:15">
      <c r="A915" s="63" t="s">
        <v>849</v>
      </c>
      <c r="B915" s="14" t="str">
        <f>VLOOKUP(O915,'护理记录单文书字典(数据)'!B$4:C$99,2,0)</f>
        <v>4577E0350CFAB211B5A6FFC39BFAC821</v>
      </c>
      <c r="C915" s="75" t="s">
        <v>1460</v>
      </c>
      <c r="D915" s="75" t="s">
        <v>1461</v>
      </c>
      <c r="E915" s="92">
        <v>3</v>
      </c>
      <c r="F915" s="92">
        <v>3</v>
      </c>
      <c r="G915" s="75" t="s">
        <v>1465</v>
      </c>
      <c r="H915" s="75"/>
      <c r="I915" s="75"/>
      <c r="J915" s="75" t="s">
        <v>162</v>
      </c>
      <c r="K915" s="75" t="s">
        <v>509</v>
      </c>
      <c r="L915" s="75" t="s">
        <v>535</v>
      </c>
      <c r="M915" s="75" t="s">
        <v>509</v>
      </c>
      <c r="N915" s="75" t="s">
        <v>535</v>
      </c>
      <c r="O915" s="75" t="s">
        <v>1826</v>
      </c>
    </row>
    <row r="916" spans="1:15">
      <c r="A916" s="63" t="s">
        <v>849</v>
      </c>
      <c r="B916" s="14" t="str">
        <f>VLOOKUP(O916,'护理记录单文书字典(数据)'!B$4:C$99,2,0)</f>
        <v>4577E0350CFAB211B5A6FFC39BFAC821</v>
      </c>
      <c r="C916" s="75" t="s">
        <v>1460</v>
      </c>
      <c r="D916" s="75" t="s">
        <v>1461</v>
      </c>
      <c r="E916" s="92">
        <v>4</v>
      </c>
      <c r="F916" s="92">
        <v>4</v>
      </c>
      <c r="G916" s="75" t="s">
        <v>1466</v>
      </c>
      <c r="H916" s="75"/>
      <c r="I916" s="75"/>
      <c r="J916" s="75" t="s">
        <v>162</v>
      </c>
      <c r="K916" s="75" t="s">
        <v>509</v>
      </c>
      <c r="L916" s="75" t="s">
        <v>535</v>
      </c>
      <c r="M916" s="75" t="s">
        <v>509</v>
      </c>
      <c r="N916" s="75" t="s">
        <v>535</v>
      </c>
      <c r="O916" s="75" t="s">
        <v>1826</v>
      </c>
    </row>
    <row r="917" spans="1:15">
      <c r="A917" s="63" t="s">
        <v>849</v>
      </c>
      <c r="B917" s="14" t="str">
        <f>VLOOKUP(O917,'护理记录单文书字典(数据)'!B$4:C$99,2,0)</f>
        <v>4577E0350CFAB211B5A6FFC39BFAC821</v>
      </c>
      <c r="C917" s="75" t="s">
        <v>1460</v>
      </c>
      <c r="D917" s="75" t="s">
        <v>1461</v>
      </c>
      <c r="E917" s="92">
        <v>5</v>
      </c>
      <c r="F917" s="92">
        <v>5</v>
      </c>
      <c r="G917" s="75" t="s">
        <v>1467</v>
      </c>
      <c r="H917" s="75"/>
      <c r="I917" s="75"/>
      <c r="J917" s="75" t="s">
        <v>162</v>
      </c>
      <c r="K917" s="75" t="s">
        <v>509</v>
      </c>
      <c r="L917" s="75" t="s">
        <v>535</v>
      </c>
      <c r="M917" s="75" t="s">
        <v>509</v>
      </c>
      <c r="N917" s="75" t="s">
        <v>535</v>
      </c>
      <c r="O917" s="75" t="s">
        <v>1826</v>
      </c>
    </row>
    <row r="918" spans="1:15">
      <c r="A918" s="63" t="s">
        <v>849</v>
      </c>
      <c r="B918" s="14" t="str">
        <f>VLOOKUP(O918,'护理记录单文书字典(数据)'!B$4:C$99,2,0)</f>
        <v>4577E0350CFAB211B5A6FFC39BFAC821</v>
      </c>
      <c r="C918" s="75" t="s">
        <v>1827</v>
      </c>
      <c r="D918" s="159" t="s">
        <v>1828</v>
      </c>
      <c r="E918" s="92">
        <v>1</v>
      </c>
      <c r="F918" s="92">
        <v>1</v>
      </c>
      <c r="G918" s="75" t="s">
        <v>1822</v>
      </c>
      <c r="H918" s="75"/>
      <c r="I918" s="75"/>
      <c r="J918" s="75" t="s">
        <v>162</v>
      </c>
      <c r="K918" s="75" t="s">
        <v>509</v>
      </c>
      <c r="L918" s="75" t="s">
        <v>535</v>
      </c>
      <c r="M918" s="75" t="s">
        <v>509</v>
      </c>
      <c r="N918" s="75" t="s">
        <v>535</v>
      </c>
      <c r="O918" s="75" t="s">
        <v>1826</v>
      </c>
    </row>
    <row r="919" spans="1:15">
      <c r="A919" s="63" t="s">
        <v>849</v>
      </c>
      <c r="B919" s="14" t="str">
        <f>VLOOKUP(O919,'护理记录单文书字典(数据)'!B$4:C$99,2,0)</f>
        <v>4577E0350CFAB211B5A6FFC39BFAC821</v>
      </c>
      <c r="C919" s="75" t="s">
        <v>1827</v>
      </c>
      <c r="D919" s="159" t="s">
        <v>1828</v>
      </c>
      <c r="E919" s="92">
        <v>2</v>
      </c>
      <c r="F919" s="92">
        <v>2</v>
      </c>
      <c r="G919" s="75" t="s">
        <v>1239</v>
      </c>
      <c r="H919" s="75"/>
      <c r="I919" s="75"/>
      <c r="J919" s="75" t="s">
        <v>162</v>
      </c>
      <c r="K919" s="75" t="s">
        <v>509</v>
      </c>
      <c r="L919" s="75" t="s">
        <v>535</v>
      </c>
      <c r="M919" s="75" t="s">
        <v>509</v>
      </c>
      <c r="N919" s="75" t="s">
        <v>535</v>
      </c>
      <c r="O919" s="75" t="s">
        <v>1826</v>
      </c>
    </row>
    <row r="920" spans="1:15">
      <c r="A920" s="63" t="s">
        <v>849</v>
      </c>
      <c r="B920" s="14" t="str">
        <f>VLOOKUP(O920,'护理记录单文书字典(数据)'!B$4:C$99,2,0)</f>
        <v>4577E0350CFAB211B5A6FFC39BFAC821</v>
      </c>
      <c r="C920" s="75" t="s">
        <v>1827</v>
      </c>
      <c r="D920" s="159" t="s">
        <v>1828</v>
      </c>
      <c r="E920" s="92">
        <v>3</v>
      </c>
      <c r="F920" s="92">
        <v>3</v>
      </c>
      <c r="G920" s="75" t="s">
        <v>1240</v>
      </c>
      <c r="H920" s="75"/>
      <c r="I920" s="75"/>
      <c r="J920" s="75" t="s">
        <v>162</v>
      </c>
      <c r="K920" s="75" t="s">
        <v>509</v>
      </c>
      <c r="L920" s="75" t="s">
        <v>535</v>
      </c>
      <c r="M920" s="75" t="s">
        <v>509</v>
      </c>
      <c r="N920" s="75" t="s">
        <v>535</v>
      </c>
      <c r="O920" s="75" t="s">
        <v>1826</v>
      </c>
    </row>
    <row r="921" spans="1:15">
      <c r="A921" s="63" t="s">
        <v>849</v>
      </c>
      <c r="B921" s="14" t="str">
        <f>VLOOKUP(O921,'护理记录单文书字典(数据)'!B$4:C$99,2,0)</f>
        <v>4577E0350CFAB211B5A6FFC39BFAC821</v>
      </c>
      <c r="C921" s="75" t="s">
        <v>1829</v>
      </c>
      <c r="D921" s="75" t="s">
        <v>1830</v>
      </c>
      <c r="E921" s="92">
        <v>1</v>
      </c>
      <c r="F921" s="92">
        <v>1</v>
      </c>
      <c r="G921" s="75" t="s">
        <v>1230</v>
      </c>
      <c r="H921" s="75"/>
      <c r="I921" s="75"/>
      <c r="J921" s="75" t="s">
        <v>162</v>
      </c>
      <c r="K921" s="75" t="s">
        <v>509</v>
      </c>
      <c r="L921" s="75" t="s">
        <v>535</v>
      </c>
      <c r="M921" s="75" t="s">
        <v>509</v>
      </c>
      <c r="N921" s="75" t="s">
        <v>535</v>
      </c>
      <c r="O921" s="75" t="s">
        <v>1826</v>
      </c>
    </row>
    <row r="922" spans="1:15">
      <c r="A922" s="63" t="s">
        <v>849</v>
      </c>
      <c r="B922" s="14" t="str">
        <f>VLOOKUP(O922,'护理记录单文书字典(数据)'!B$4:C$99,2,0)</f>
        <v>4577E0350CFAB211B5A6FFC39BFAC821</v>
      </c>
      <c r="C922" s="75" t="s">
        <v>1829</v>
      </c>
      <c r="D922" s="75" t="s">
        <v>1830</v>
      </c>
      <c r="E922" s="92">
        <v>2</v>
      </c>
      <c r="F922" s="92">
        <v>2</v>
      </c>
      <c r="G922" s="75" t="s">
        <v>1234</v>
      </c>
      <c r="H922" s="75"/>
      <c r="I922" s="75"/>
      <c r="J922" s="75" t="s">
        <v>162</v>
      </c>
      <c r="K922" s="75" t="s">
        <v>509</v>
      </c>
      <c r="L922" s="75" t="s">
        <v>535</v>
      </c>
      <c r="M922" s="75" t="s">
        <v>509</v>
      </c>
      <c r="N922" s="75" t="s">
        <v>535</v>
      </c>
      <c r="O922" s="75" t="s">
        <v>1826</v>
      </c>
    </row>
    <row r="923" spans="1:15">
      <c r="A923" s="63" t="s">
        <v>849</v>
      </c>
      <c r="B923" s="14" t="str">
        <f>VLOOKUP(O923,'护理记录单文书字典(数据)'!B$4:C$99,2,0)</f>
        <v>4577E0350CFAB211B5A6FFC39BFAC821</v>
      </c>
      <c r="C923" s="75" t="s">
        <v>1829</v>
      </c>
      <c r="D923" s="75" t="s">
        <v>1830</v>
      </c>
      <c r="E923" s="92">
        <v>3</v>
      </c>
      <c r="F923" s="92">
        <v>3</v>
      </c>
      <c r="G923" s="75" t="s">
        <v>1235</v>
      </c>
      <c r="H923" s="75"/>
      <c r="I923" s="75"/>
      <c r="J923" s="75" t="s">
        <v>162</v>
      </c>
      <c r="K923" s="75" t="s">
        <v>509</v>
      </c>
      <c r="L923" s="75" t="s">
        <v>535</v>
      </c>
      <c r="M923" s="75" t="s">
        <v>509</v>
      </c>
      <c r="N923" s="75" t="s">
        <v>535</v>
      </c>
      <c r="O923" s="75" t="s">
        <v>1826</v>
      </c>
    </row>
    <row r="924" spans="1:15">
      <c r="A924" s="63" t="s">
        <v>849</v>
      </c>
      <c r="B924" s="14" t="str">
        <f>VLOOKUP(O924,'护理记录单文书字典(数据)'!B$4:C$99,2,0)</f>
        <v>4577E0350CFAB211B5A6FFC39BFAC821</v>
      </c>
      <c r="C924" s="75" t="s">
        <v>1831</v>
      </c>
      <c r="D924" s="75" t="s">
        <v>1832</v>
      </c>
      <c r="E924" s="92">
        <v>1</v>
      </c>
      <c r="F924" s="92">
        <v>1</v>
      </c>
      <c r="G924" s="75" t="s">
        <v>1833</v>
      </c>
      <c r="H924" s="75"/>
      <c r="I924" s="75"/>
      <c r="J924" s="75" t="s">
        <v>162</v>
      </c>
      <c r="K924" s="75" t="s">
        <v>509</v>
      </c>
      <c r="L924" s="75" t="s">
        <v>535</v>
      </c>
      <c r="M924" s="75" t="s">
        <v>509</v>
      </c>
      <c r="N924" s="75" t="s">
        <v>535</v>
      </c>
      <c r="O924" s="75" t="s">
        <v>1826</v>
      </c>
    </row>
    <row r="925" spans="1:15">
      <c r="A925" s="63" t="s">
        <v>849</v>
      </c>
      <c r="B925" s="14" t="str">
        <f>VLOOKUP(O925,'护理记录单文书字典(数据)'!B$4:C$99,2,0)</f>
        <v>4577E0350CFAB211B5A6FFC39BFAC821</v>
      </c>
      <c r="C925" s="75" t="s">
        <v>1831</v>
      </c>
      <c r="D925" s="75" t="s">
        <v>1832</v>
      </c>
      <c r="E925" s="92">
        <v>2</v>
      </c>
      <c r="F925" s="92">
        <v>2</v>
      </c>
      <c r="G925" s="75" t="s">
        <v>1396</v>
      </c>
      <c r="H925" s="75"/>
      <c r="I925" s="75"/>
      <c r="J925" s="75" t="s">
        <v>162</v>
      </c>
      <c r="K925" s="75" t="s">
        <v>509</v>
      </c>
      <c r="L925" s="75" t="s">
        <v>535</v>
      </c>
      <c r="M925" s="75" t="s">
        <v>509</v>
      </c>
      <c r="N925" s="75" t="s">
        <v>535</v>
      </c>
      <c r="O925" s="75" t="s">
        <v>1826</v>
      </c>
    </row>
    <row r="926" spans="1:15">
      <c r="A926" s="63" t="s">
        <v>849</v>
      </c>
      <c r="B926" s="14" t="str">
        <f>VLOOKUP(O926,'护理记录单文书字典(数据)'!B$4:C$99,2,0)</f>
        <v>4577E0350CFAB211B5A6FFC39BFAC821</v>
      </c>
      <c r="C926" s="75" t="s">
        <v>1831</v>
      </c>
      <c r="D926" s="75" t="s">
        <v>1832</v>
      </c>
      <c r="E926" s="92">
        <v>3</v>
      </c>
      <c r="F926" s="92">
        <v>3</v>
      </c>
      <c r="G926" s="75" t="s">
        <v>1230</v>
      </c>
      <c r="H926" s="75"/>
      <c r="I926" s="75"/>
      <c r="J926" s="75" t="s">
        <v>162</v>
      </c>
      <c r="K926" s="75" t="s">
        <v>509</v>
      </c>
      <c r="L926" s="75" t="s">
        <v>535</v>
      </c>
      <c r="M926" s="75" t="s">
        <v>509</v>
      </c>
      <c r="N926" s="75" t="s">
        <v>535</v>
      </c>
      <c r="O926" s="75" t="s">
        <v>1826</v>
      </c>
    </row>
    <row r="927" spans="1:15">
      <c r="A927" s="63" t="s">
        <v>849</v>
      </c>
      <c r="B927" s="14" t="str">
        <f>VLOOKUP(O927,'护理记录单文书字典(数据)'!B$4:C$99,2,0)</f>
        <v>4577E0350CFAB211B5A6FFC39BFAC821</v>
      </c>
      <c r="C927" s="75" t="s">
        <v>1834</v>
      </c>
      <c r="D927" s="75" t="s">
        <v>1835</v>
      </c>
      <c r="E927" s="92">
        <v>1</v>
      </c>
      <c r="F927" s="92">
        <v>1</v>
      </c>
      <c r="G927" s="75" t="s">
        <v>1836</v>
      </c>
      <c r="H927" s="75"/>
      <c r="I927" s="75"/>
      <c r="J927" s="75" t="s">
        <v>162</v>
      </c>
      <c r="K927" s="75" t="s">
        <v>509</v>
      </c>
      <c r="L927" s="75" t="s">
        <v>535</v>
      </c>
      <c r="M927" s="75" t="s">
        <v>509</v>
      </c>
      <c r="N927" s="75" t="s">
        <v>535</v>
      </c>
      <c r="O927" s="75" t="s">
        <v>1826</v>
      </c>
    </row>
    <row r="928" spans="1:15">
      <c r="A928" s="63" t="s">
        <v>849</v>
      </c>
      <c r="B928" s="14" t="str">
        <f>VLOOKUP(O928,'护理记录单文书字典(数据)'!B$4:C$99,2,0)</f>
        <v>4577E0350CFAB211B5A6FFC39BFAC821</v>
      </c>
      <c r="C928" s="75" t="s">
        <v>1834</v>
      </c>
      <c r="D928" s="75" t="s">
        <v>1835</v>
      </c>
      <c r="E928" s="92">
        <v>2</v>
      </c>
      <c r="F928" s="92">
        <v>2</v>
      </c>
      <c r="G928" s="75" t="s">
        <v>1837</v>
      </c>
      <c r="H928" s="75"/>
      <c r="I928" s="75"/>
      <c r="J928" s="75" t="s">
        <v>162</v>
      </c>
      <c r="K928" s="75" t="s">
        <v>509</v>
      </c>
      <c r="L928" s="75" t="s">
        <v>535</v>
      </c>
      <c r="M928" s="75" t="s">
        <v>509</v>
      </c>
      <c r="N928" s="75" t="s">
        <v>535</v>
      </c>
      <c r="O928" s="75" t="s">
        <v>1826</v>
      </c>
    </row>
    <row r="929" spans="1:15">
      <c r="A929" s="63" t="s">
        <v>849</v>
      </c>
      <c r="B929" s="14" t="str">
        <f>VLOOKUP(O929,'护理记录单文书字典(数据)'!B$4:C$99,2,0)</f>
        <v>4577E0350CFAB211B5A6FFC39BFAC821</v>
      </c>
      <c r="C929" s="75" t="s">
        <v>1838</v>
      </c>
      <c r="D929" s="75" t="s">
        <v>1839</v>
      </c>
      <c r="E929" s="92">
        <v>1</v>
      </c>
      <c r="F929" s="92">
        <v>1</v>
      </c>
      <c r="G929" s="75" t="s">
        <v>1380</v>
      </c>
      <c r="H929" s="75"/>
      <c r="I929" s="75"/>
      <c r="J929" s="75" t="s">
        <v>162</v>
      </c>
      <c r="K929" s="75" t="s">
        <v>509</v>
      </c>
      <c r="L929" s="75" t="s">
        <v>535</v>
      </c>
      <c r="M929" s="75" t="s">
        <v>509</v>
      </c>
      <c r="N929" s="75" t="s">
        <v>535</v>
      </c>
      <c r="O929" s="75" t="s">
        <v>1826</v>
      </c>
    </row>
    <row r="930" spans="1:15">
      <c r="A930" s="63" t="s">
        <v>849</v>
      </c>
      <c r="B930" s="14" t="str">
        <f>VLOOKUP(O930,'护理记录单文书字典(数据)'!B$4:C$99,2,0)</f>
        <v>4577E0350CFAB211B5A6FFC39BFAC821</v>
      </c>
      <c r="C930" s="75" t="s">
        <v>1838</v>
      </c>
      <c r="D930" s="75" t="s">
        <v>1839</v>
      </c>
      <c r="E930" s="92">
        <v>2</v>
      </c>
      <c r="F930" s="92">
        <v>2</v>
      </c>
      <c r="G930" s="75" t="s">
        <v>1128</v>
      </c>
      <c r="H930" s="75"/>
      <c r="I930" s="75"/>
      <c r="J930" s="75" t="s">
        <v>162</v>
      </c>
      <c r="K930" s="75" t="s">
        <v>509</v>
      </c>
      <c r="L930" s="75" t="s">
        <v>535</v>
      </c>
      <c r="M930" s="75" t="s">
        <v>509</v>
      </c>
      <c r="N930" s="75" t="s">
        <v>535</v>
      </c>
      <c r="O930" s="75" t="s">
        <v>1826</v>
      </c>
    </row>
    <row r="931" spans="1:15">
      <c r="A931" s="63" t="s">
        <v>849</v>
      </c>
      <c r="B931" s="14" t="str">
        <f>VLOOKUP(O931,'护理记录单文书字典(数据)'!B$4:C$99,2,0)</f>
        <v>4577E0350CFAB211B5A6FFC39BFAC821</v>
      </c>
      <c r="C931" s="75" t="s">
        <v>1838</v>
      </c>
      <c r="D931" s="75" t="s">
        <v>1839</v>
      </c>
      <c r="E931" s="92">
        <v>3</v>
      </c>
      <c r="F931" s="92">
        <v>3</v>
      </c>
      <c r="G931" s="75" t="s">
        <v>1840</v>
      </c>
      <c r="H931" s="75"/>
      <c r="I931" s="75"/>
      <c r="J931" s="75" t="s">
        <v>162</v>
      </c>
      <c r="K931" s="75" t="s">
        <v>509</v>
      </c>
      <c r="L931" s="75" t="s">
        <v>535</v>
      </c>
      <c r="M931" s="75" t="s">
        <v>509</v>
      </c>
      <c r="N931" s="75" t="s">
        <v>535</v>
      </c>
      <c r="O931" s="75" t="s">
        <v>1826</v>
      </c>
    </row>
    <row r="932" spans="1:15">
      <c r="A932" s="63" t="s">
        <v>849</v>
      </c>
      <c r="B932" s="14" t="str">
        <f>VLOOKUP(O932,'护理记录单文书字典(数据)'!B$4:C$99,2,0)</f>
        <v>4577E0350CFAB211B5A6FFC39BFAC821</v>
      </c>
      <c r="C932" s="75" t="s">
        <v>1841</v>
      </c>
      <c r="D932" s="75" t="s">
        <v>1842</v>
      </c>
      <c r="E932" s="92">
        <v>1</v>
      </c>
      <c r="F932" s="92">
        <v>1</v>
      </c>
      <c r="G932" s="75" t="s">
        <v>1384</v>
      </c>
      <c r="H932" s="75"/>
      <c r="I932" s="75"/>
      <c r="J932" s="75" t="s">
        <v>162</v>
      </c>
      <c r="K932" s="75" t="s">
        <v>509</v>
      </c>
      <c r="L932" s="75" t="s">
        <v>535</v>
      </c>
      <c r="M932" s="75" t="s">
        <v>509</v>
      </c>
      <c r="N932" s="75" t="s">
        <v>535</v>
      </c>
      <c r="O932" s="75" t="s">
        <v>1826</v>
      </c>
    </row>
    <row r="933" spans="1:15">
      <c r="A933" s="63" t="s">
        <v>849</v>
      </c>
      <c r="B933" s="14" t="str">
        <f>VLOOKUP(O933,'护理记录单文书字典(数据)'!B$4:C$99,2,0)</f>
        <v>4577E0350CFAB211B5A6FFC39BFAC821</v>
      </c>
      <c r="C933" s="75" t="s">
        <v>1841</v>
      </c>
      <c r="D933" s="75" t="s">
        <v>1842</v>
      </c>
      <c r="E933" s="92">
        <v>2</v>
      </c>
      <c r="F933" s="92">
        <v>2</v>
      </c>
      <c r="G933" s="75" t="s">
        <v>1385</v>
      </c>
      <c r="H933" s="75"/>
      <c r="I933" s="75"/>
      <c r="J933" s="75" t="s">
        <v>162</v>
      </c>
      <c r="K933" s="75" t="s">
        <v>509</v>
      </c>
      <c r="L933" s="75" t="s">
        <v>535</v>
      </c>
      <c r="M933" s="75" t="s">
        <v>509</v>
      </c>
      <c r="N933" s="75" t="s">
        <v>535</v>
      </c>
      <c r="O933" s="75" t="s">
        <v>1826</v>
      </c>
    </row>
    <row r="934" spans="1:15">
      <c r="A934" s="63" t="s">
        <v>849</v>
      </c>
      <c r="B934" s="14" t="str">
        <f>VLOOKUP(O934,'护理记录单文书字典(数据)'!B$4:C$99,2,0)</f>
        <v>4577E0350CFAB211B5A6FFC39BFAC821</v>
      </c>
      <c r="C934" s="75" t="s">
        <v>1841</v>
      </c>
      <c r="D934" s="75" t="s">
        <v>1842</v>
      </c>
      <c r="E934" s="92">
        <v>3</v>
      </c>
      <c r="F934" s="92">
        <v>3</v>
      </c>
      <c r="G934" s="75" t="s">
        <v>962</v>
      </c>
      <c r="H934" s="75"/>
      <c r="I934" s="75"/>
      <c r="J934" s="75" t="s">
        <v>162</v>
      </c>
      <c r="K934" s="75" t="s">
        <v>509</v>
      </c>
      <c r="L934" s="75" t="s">
        <v>535</v>
      </c>
      <c r="M934" s="75" t="s">
        <v>509</v>
      </c>
      <c r="N934" s="75" t="s">
        <v>535</v>
      </c>
      <c r="O934" s="75" t="s">
        <v>1826</v>
      </c>
    </row>
    <row r="935" spans="1:15">
      <c r="A935" s="63" t="s">
        <v>849</v>
      </c>
      <c r="B935" s="14" t="str">
        <f>VLOOKUP(O935,'护理记录单文书字典(数据)'!B$4:C$99,2,0)</f>
        <v>4577E0350CFAB211B5A6FFC39BFAC821</v>
      </c>
      <c r="C935" s="75" t="s">
        <v>1843</v>
      </c>
      <c r="D935" s="75" t="s">
        <v>1844</v>
      </c>
      <c r="E935" s="92">
        <v>1</v>
      </c>
      <c r="F935" s="92">
        <v>1</v>
      </c>
      <c r="G935" s="75" t="s">
        <v>1387</v>
      </c>
      <c r="H935" s="75"/>
      <c r="I935" s="75"/>
      <c r="J935" s="75" t="s">
        <v>162</v>
      </c>
      <c r="K935" s="75" t="s">
        <v>509</v>
      </c>
      <c r="L935" s="75" t="s">
        <v>535</v>
      </c>
      <c r="M935" s="75" t="s">
        <v>509</v>
      </c>
      <c r="N935" s="75" t="s">
        <v>535</v>
      </c>
      <c r="O935" s="75" t="s">
        <v>1826</v>
      </c>
    </row>
    <row r="936" spans="1:15">
      <c r="A936" s="63" t="s">
        <v>849</v>
      </c>
      <c r="B936" s="14" t="str">
        <f>VLOOKUP(O936,'护理记录单文书字典(数据)'!B$4:C$99,2,0)</f>
        <v>4577E0350CFAB211B5A6FFC39BFAC821</v>
      </c>
      <c r="C936" s="75" t="s">
        <v>1843</v>
      </c>
      <c r="D936" s="75" t="s">
        <v>1844</v>
      </c>
      <c r="E936" s="92">
        <v>2</v>
      </c>
      <c r="F936" s="92">
        <v>2</v>
      </c>
      <c r="G936" s="161" t="s">
        <v>1814</v>
      </c>
      <c r="H936" s="75"/>
      <c r="I936" s="75"/>
      <c r="J936" s="75" t="s">
        <v>162</v>
      </c>
      <c r="K936" s="75" t="s">
        <v>509</v>
      </c>
      <c r="L936" s="75" t="s">
        <v>535</v>
      </c>
      <c r="M936" s="75" t="s">
        <v>509</v>
      </c>
      <c r="N936" s="75" t="s">
        <v>535</v>
      </c>
      <c r="O936" s="75" t="s">
        <v>1826</v>
      </c>
    </row>
    <row r="937" spans="1:15">
      <c r="A937" s="63" t="s">
        <v>849</v>
      </c>
      <c r="B937" s="14" t="str">
        <f>VLOOKUP(O937,'护理记录单文书字典(数据)'!B$4:C$99,2,0)</f>
        <v>4577E0350CFAB211B5A6FFC39BFAC821</v>
      </c>
      <c r="C937" s="170" t="s">
        <v>3488</v>
      </c>
      <c r="D937" s="170" t="s">
        <v>3489</v>
      </c>
      <c r="E937" s="171">
        <v>1</v>
      </c>
      <c r="F937" s="171">
        <v>0</v>
      </c>
      <c r="G937" s="170" t="s">
        <v>961</v>
      </c>
      <c r="H937" s="170"/>
      <c r="I937" s="170"/>
      <c r="J937" s="170" t="s">
        <v>162</v>
      </c>
      <c r="K937" s="170" t="s">
        <v>509</v>
      </c>
      <c r="L937" s="170" t="s">
        <v>535</v>
      </c>
      <c r="M937" s="170" t="s">
        <v>509</v>
      </c>
      <c r="N937" s="170" t="s">
        <v>535</v>
      </c>
      <c r="O937" s="170" t="s">
        <v>1826</v>
      </c>
    </row>
    <row r="938" spans="1:15">
      <c r="A938" s="63" t="s">
        <v>849</v>
      </c>
      <c r="B938" s="14" t="str">
        <f>VLOOKUP(O938,'护理记录单文书字典(数据)'!B$4:C$99,2,0)</f>
        <v>4577E0350CFAB211B5A6FFC39BFAC821</v>
      </c>
      <c r="C938" s="170" t="s">
        <v>3488</v>
      </c>
      <c r="D938" s="170" t="s">
        <v>3489</v>
      </c>
      <c r="E938" s="171">
        <v>2</v>
      </c>
      <c r="F938" s="171">
        <v>1</v>
      </c>
      <c r="G938" s="170" t="s">
        <v>962</v>
      </c>
      <c r="H938" s="170"/>
      <c r="I938" s="170"/>
      <c r="J938" s="170" t="s">
        <v>162</v>
      </c>
      <c r="K938" s="170" t="s">
        <v>509</v>
      </c>
      <c r="L938" s="170" t="s">
        <v>535</v>
      </c>
      <c r="M938" s="170" t="s">
        <v>509</v>
      </c>
      <c r="N938" s="170" t="s">
        <v>535</v>
      </c>
      <c r="O938" s="170" t="s">
        <v>1826</v>
      </c>
    </row>
    <row r="939" spans="1:15">
      <c r="A939" s="63" t="s">
        <v>849</v>
      </c>
      <c r="B939" s="14" t="str">
        <f>VLOOKUP(O939,'护理记录单文书字典(数据)'!B$4:C$99,2,0)</f>
        <v>60A8E7350CFAB211CD855C7C2E8F482F</v>
      </c>
      <c r="C939" s="75" t="s">
        <v>1845</v>
      </c>
      <c r="D939" s="75" t="s">
        <v>1846</v>
      </c>
      <c r="E939" s="92">
        <v>1</v>
      </c>
      <c r="F939" s="92">
        <v>1</v>
      </c>
      <c r="G939" s="75" t="s">
        <v>1847</v>
      </c>
      <c r="H939" s="75"/>
      <c r="I939" s="75"/>
      <c r="J939" s="75" t="s">
        <v>162</v>
      </c>
      <c r="K939" s="75" t="s">
        <v>509</v>
      </c>
      <c r="L939" s="75" t="s">
        <v>535</v>
      </c>
      <c r="M939" s="75" t="s">
        <v>509</v>
      </c>
      <c r="N939" s="75" t="s">
        <v>535</v>
      </c>
      <c r="O939" s="75" t="s">
        <v>1848</v>
      </c>
    </row>
    <row r="940" spans="1:15">
      <c r="A940" s="63" t="s">
        <v>849</v>
      </c>
      <c r="B940" s="14" t="str">
        <f>VLOOKUP(O940,'护理记录单文书字典(数据)'!B$4:C$99,2,0)</f>
        <v>60A8E7350CFAB211CD855C7C2E8F482F</v>
      </c>
      <c r="C940" s="75" t="s">
        <v>1845</v>
      </c>
      <c r="D940" s="75" t="s">
        <v>1846</v>
      </c>
      <c r="E940" s="92">
        <v>2</v>
      </c>
      <c r="F940" s="92">
        <v>2</v>
      </c>
      <c r="G940" s="75" t="s">
        <v>1849</v>
      </c>
      <c r="H940" s="75"/>
      <c r="I940" s="75"/>
      <c r="J940" s="75" t="s">
        <v>162</v>
      </c>
      <c r="K940" s="75" t="s">
        <v>509</v>
      </c>
      <c r="L940" s="75" t="s">
        <v>535</v>
      </c>
      <c r="M940" s="75" t="s">
        <v>509</v>
      </c>
      <c r="N940" s="75" t="s">
        <v>535</v>
      </c>
      <c r="O940" s="75" t="s">
        <v>1848</v>
      </c>
    </row>
    <row r="941" spans="1:15">
      <c r="A941" s="63" t="s">
        <v>849</v>
      </c>
      <c r="B941" s="14" t="str">
        <f>VLOOKUP(O941,'护理记录单文书字典(数据)'!B$4:C$99,2,0)</f>
        <v>60A8E7350CFAB211CD855C7C2E8F482F</v>
      </c>
      <c r="C941" s="75" t="s">
        <v>1845</v>
      </c>
      <c r="D941" s="75" t="s">
        <v>1846</v>
      </c>
      <c r="E941" s="92">
        <v>3</v>
      </c>
      <c r="F941" s="92">
        <v>3</v>
      </c>
      <c r="G941" s="75" t="s">
        <v>1850</v>
      </c>
      <c r="H941" s="75"/>
      <c r="I941" s="75"/>
      <c r="J941" s="75" t="s">
        <v>162</v>
      </c>
      <c r="K941" s="75" t="s">
        <v>509</v>
      </c>
      <c r="L941" s="75" t="s">
        <v>535</v>
      </c>
      <c r="M941" s="75" t="s">
        <v>509</v>
      </c>
      <c r="N941" s="75" t="s">
        <v>535</v>
      </c>
      <c r="O941" s="75" t="s">
        <v>1848</v>
      </c>
    </row>
    <row r="942" spans="1:15">
      <c r="A942" s="63" t="s">
        <v>849</v>
      </c>
      <c r="B942" s="14" t="str">
        <f>VLOOKUP(O942,'护理记录单文书字典(数据)'!B$4:C$99,2,0)</f>
        <v>60A8E7350CFAB211CD855C7C2E8F482F</v>
      </c>
      <c r="C942" s="75" t="s">
        <v>1851</v>
      </c>
      <c r="D942" s="75" t="s">
        <v>1852</v>
      </c>
      <c r="E942" s="92">
        <v>1</v>
      </c>
      <c r="F942" s="92">
        <v>1</v>
      </c>
      <c r="G942" s="75" t="s">
        <v>1853</v>
      </c>
      <c r="H942" s="75"/>
      <c r="I942" s="75"/>
      <c r="J942" s="75" t="s">
        <v>162</v>
      </c>
      <c r="K942" s="75" t="s">
        <v>509</v>
      </c>
      <c r="L942" s="75" t="s">
        <v>535</v>
      </c>
      <c r="M942" s="75" t="s">
        <v>509</v>
      </c>
      <c r="N942" s="75" t="s">
        <v>535</v>
      </c>
      <c r="O942" s="75" t="s">
        <v>1848</v>
      </c>
    </row>
    <row r="943" spans="1:15">
      <c r="A943" s="63" t="s">
        <v>849</v>
      </c>
      <c r="B943" s="14" t="str">
        <f>VLOOKUP(O943,'护理记录单文书字典(数据)'!B$4:C$99,2,0)</f>
        <v>60A8E7350CFAB211CD855C7C2E8F482F</v>
      </c>
      <c r="C943" s="75" t="s">
        <v>1851</v>
      </c>
      <c r="D943" s="75" t="s">
        <v>1852</v>
      </c>
      <c r="E943" s="92">
        <v>2</v>
      </c>
      <c r="F943" s="92">
        <v>2</v>
      </c>
      <c r="G943" s="75" t="s">
        <v>1854</v>
      </c>
      <c r="H943" s="75"/>
      <c r="I943" s="75"/>
      <c r="J943" s="75" t="s">
        <v>162</v>
      </c>
      <c r="K943" s="75" t="s">
        <v>509</v>
      </c>
      <c r="L943" s="75" t="s">
        <v>535</v>
      </c>
      <c r="M943" s="75" t="s">
        <v>509</v>
      </c>
      <c r="N943" s="75" t="s">
        <v>535</v>
      </c>
      <c r="O943" s="75" t="s">
        <v>1848</v>
      </c>
    </row>
    <row r="944" spans="1:15">
      <c r="A944" s="63" t="s">
        <v>849</v>
      </c>
      <c r="B944" s="14" t="str">
        <f>VLOOKUP(O944,'护理记录单文书字典(数据)'!B$4:C$99,2,0)</f>
        <v>60A8E7350CFAB211CD855C7C2E8F482F</v>
      </c>
      <c r="C944" s="75" t="s">
        <v>1855</v>
      </c>
      <c r="D944" s="75" t="s">
        <v>1856</v>
      </c>
      <c r="E944" s="92">
        <v>1</v>
      </c>
      <c r="F944" s="92">
        <v>1</v>
      </c>
      <c r="G944" s="75" t="s">
        <v>1857</v>
      </c>
      <c r="H944" s="75"/>
      <c r="I944" s="75"/>
      <c r="J944" s="75" t="s">
        <v>162</v>
      </c>
      <c r="K944" s="75" t="s">
        <v>509</v>
      </c>
      <c r="L944" s="75" t="s">
        <v>535</v>
      </c>
      <c r="M944" s="75" t="s">
        <v>509</v>
      </c>
      <c r="N944" s="75" t="s">
        <v>535</v>
      </c>
      <c r="O944" s="75" t="s">
        <v>1848</v>
      </c>
    </row>
    <row r="945" spans="1:15">
      <c r="A945" s="63" t="s">
        <v>849</v>
      </c>
      <c r="B945" s="14" t="str">
        <f>VLOOKUP(O945,'护理记录单文书字典(数据)'!B$4:C$99,2,0)</f>
        <v>60A8E7350CFAB211CD855C7C2E8F482F</v>
      </c>
      <c r="C945" s="75" t="s">
        <v>1855</v>
      </c>
      <c r="D945" s="75" t="s">
        <v>1856</v>
      </c>
      <c r="E945" s="92">
        <v>2</v>
      </c>
      <c r="F945" s="92">
        <v>2</v>
      </c>
      <c r="G945" s="75" t="s">
        <v>1112</v>
      </c>
      <c r="H945" s="75"/>
      <c r="I945" s="75"/>
      <c r="J945" s="75" t="s">
        <v>162</v>
      </c>
      <c r="K945" s="75" t="s">
        <v>509</v>
      </c>
      <c r="L945" s="75" t="s">
        <v>535</v>
      </c>
      <c r="M945" s="75" t="s">
        <v>509</v>
      </c>
      <c r="N945" s="75" t="s">
        <v>535</v>
      </c>
      <c r="O945" s="75" t="s">
        <v>1848</v>
      </c>
    </row>
    <row r="946" spans="1:15">
      <c r="A946" s="63" t="s">
        <v>849</v>
      </c>
      <c r="B946" s="14" t="str">
        <f>VLOOKUP(O946,'护理记录单文书字典(数据)'!B$4:C$99,2,0)</f>
        <v>60A8E7350CFAB211CD855C7C2E8F482F</v>
      </c>
      <c r="C946" s="75" t="s">
        <v>1855</v>
      </c>
      <c r="D946" s="75" t="s">
        <v>1856</v>
      </c>
      <c r="E946" s="92">
        <v>3</v>
      </c>
      <c r="F946" s="92">
        <v>3</v>
      </c>
      <c r="G946" s="75" t="s">
        <v>1858</v>
      </c>
      <c r="H946" s="75"/>
      <c r="I946" s="75"/>
      <c r="J946" s="75" t="s">
        <v>162</v>
      </c>
      <c r="K946" s="75" t="s">
        <v>509</v>
      </c>
      <c r="L946" s="75" t="s">
        <v>535</v>
      </c>
      <c r="M946" s="75" t="s">
        <v>509</v>
      </c>
      <c r="N946" s="75" t="s">
        <v>535</v>
      </c>
      <c r="O946" s="75" t="s">
        <v>1848</v>
      </c>
    </row>
    <row r="947" spans="1:15">
      <c r="A947" s="63" t="s">
        <v>849</v>
      </c>
      <c r="B947" s="14" t="str">
        <f>VLOOKUP(O947,'护理记录单文书字典(数据)'!B$4:C$99,2,0)</f>
        <v>60A8E7350CFAB211CD855C7C2E8F482F</v>
      </c>
      <c r="C947" s="75" t="s">
        <v>1859</v>
      </c>
      <c r="D947" s="75" t="s">
        <v>1860</v>
      </c>
      <c r="E947" s="92">
        <v>1</v>
      </c>
      <c r="F947" s="92">
        <v>1</v>
      </c>
      <c r="G947" s="75" t="s">
        <v>1853</v>
      </c>
      <c r="H947" s="75"/>
      <c r="I947" s="75"/>
      <c r="J947" s="75" t="s">
        <v>162</v>
      </c>
      <c r="K947" s="75" t="s">
        <v>509</v>
      </c>
      <c r="L947" s="75" t="s">
        <v>535</v>
      </c>
      <c r="M947" s="75" t="s">
        <v>509</v>
      </c>
      <c r="N947" s="75" t="s">
        <v>535</v>
      </c>
      <c r="O947" s="75" t="s">
        <v>1848</v>
      </c>
    </row>
    <row r="948" spans="1:15">
      <c r="A948" s="63" t="s">
        <v>849</v>
      </c>
      <c r="B948" s="14" t="str">
        <f>VLOOKUP(O948,'护理记录单文书字典(数据)'!B$4:C$99,2,0)</f>
        <v>60A8E7350CFAB211CD855C7C2E8F482F</v>
      </c>
      <c r="C948" s="75" t="s">
        <v>1859</v>
      </c>
      <c r="D948" s="75" t="s">
        <v>1860</v>
      </c>
      <c r="E948" s="92">
        <v>2</v>
      </c>
      <c r="F948" s="92">
        <v>2</v>
      </c>
      <c r="G948" s="75" t="s">
        <v>1854</v>
      </c>
      <c r="H948" s="75"/>
      <c r="I948" s="75"/>
      <c r="J948" s="75" t="s">
        <v>162</v>
      </c>
      <c r="K948" s="75" t="s">
        <v>509</v>
      </c>
      <c r="L948" s="75" t="s">
        <v>535</v>
      </c>
      <c r="M948" s="75" t="s">
        <v>509</v>
      </c>
      <c r="N948" s="75" t="s">
        <v>535</v>
      </c>
      <c r="O948" s="75" t="s">
        <v>1848</v>
      </c>
    </row>
    <row r="949" spans="1:15">
      <c r="A949" s="63" t="s">
        <v>849</v>
      </c>
      <c r="B949" s="14" t="str">
        <f>VLOOKUP(O949,'护理记录单文书字典(数据)'!B$4:C$99,2,0)</f>
        <v>60A8E7350CFAB211CD855C7C2E8F482F</v>
      </c>
      <c r="C949" s="75" t="s">
        <v>1861</v>
      </c>
      <c r="D949" s="75" t="s">
        <v>1862</v>
      </c>
      <c r="E949" s="92">
        <v>1</v>
      </c>
      <c r="F949" s="92">
        <v>1</v>
      </c>
      <c r="G949" s="75" t="s">
        <v>1863</v>
      </c>
      <c r="H949" s="75"/>
      <c r="I949" s="75"/>
      <c r="J949" s="75" t="s">
        <v>162</v>
      </c>
      <c r="K949" s="75" t="s">
        <v>509</v>
      </c>
      <c r="L949" s="75" t="s">
        <v>535</v>
      </c>
      <c r="M949" s="75" t="s">
        <v>509</v>
      </c>
      <c r="N949" s="75" t="s">
        <v>535</v>
      </c>
      <c r="O949" s="75" t="s">
        <v>1848</v>
      </c>
    </row>
    <row r="950" spans="1:15">
      <c r="A950" s="63" t="s">
        <v>849</v>
      </c>
      <c r="B950" s="14" t="str">
        <f>VLOOKUP(O950,'护理记录单文书字典(数据)'!B$4:C$99,2,0)</f>
        <v>60A8E7350CFAB211CD855C7C2E8F482F</v>
      </c>
      <c r="C950" s="75" t="s">
        <v>1861</v>
      </c>
      <c r="D950" s="75" t="s">
        <v>1862</v>
      </c>
      <c r="E950" s="92">
        <v>2</v>
      </c>
      <c r="F950" s="92">
        <v>2</v>
      </c>
      <c r="G950" s="75" t="s">
        <v>1864</v>
      </c>
      <c r="H950" s="75"/>
      <c r="I950" s="75"/>
      <c r="J950" s="75" t="s">
        <v>162</v>
      </c>
      <c r="K950" s="75" t="s">
        <v>509</v>
      </c>
      <c r="L950" s="75" t="s">
        <v>535</v>
      </c>
      <c r="M950" s="75" t="s">
        <v>509</v>
      </c>
      <c r="N950" s="75" t="s">
        <v>535</v>
      </c>
      <c r="O950" s="75" t="s">
        <v>1848</v>
      </c>
    </row>
    <row r="951" spans="1:15">
      <c r="A951" s="63" t="s">
        <v>849</v>
      </c>
      <c r="B951" s="14" t="str">
        <f>VLOOKUP(O951,'护理记录单文书字典(数据)'!B$4:C$99,2,0)</f>
        <v>60A8E7350CFAB211CD855C7C2E8F482F</v>
      </c>
      <c r="C951" s="75" t="s">
        <v>1865</v>
      </c>
      <c r="D951" s="75" t="s">
        <v>1866</v>
      </c>
      <c r="E951" s="92">
        <v>1</v>
      </c>
      <c r="F951" s="92">
        <v>1</v>
      </c>
      <c r="G951" s="75" t="s">
        <v>1867</v>
      </c>
      <c r="H951" s="75"/>
      <c r="I951" s="75"/>
      <c r="J951" s="75" t="s">
        <v>162</v>
      </c>
      <c r="K951" s="75" t="s">
        <v>509</v>
      </c>
      <c r="L951" s="75" t="s">
        <v>535</v>
      </c>
      <c r="M951" s="75" t="s">
        <v>509</v>
      </c>
      <c r="N951" s="75" t="s">
        <v>535</v>
      </c>
      <c r="O951" s="75" t="s">
        <v>1848</v>
      </c>
    </row>
    <row r="952" spans="1:15">
      <c r="A952" s="63" t="s">
        <v>849</v>
      </c>
      <c r="B952" s="14" t="str">
        <f>VLOOKUP(O952,'护理记录单文书字典(数据)'!B$4:C$99,2,0)</f>
        <v>60A8E7350CFAB211CD855C7C2E8F482F</v>
      </c>
      <c r="C952" s="75" t="s">
        <v>1865</v>
      </c>
      <c r="D952" s="75" t="s">
        <v>1866</v>
      </c>
      <c r="E952" s="92">
        <v>2</v>
      </c>
      <c r="F952" s="92">
        <v>2</v>
      </c>
      <c r="G952" s="75" t="s">
        <v>1868</v>
      </c>
      <c r="H952" s="75"/>
      <c r="I952" s="75"/>
      <c r="J952" s="75" t="s">
        <v>162</v>
      </c>
      <c r="K952" s="75" t="s">
        <v>509</v>
      </c>
      <c r="L952" s="75" t="s">
        <v>535</v>
      </c>
      <c r="M952" s="75" t="s">
        <v>509</v>
      </c>
      <c r="N952" s="75" t="s">
        <v>535</v>
      </c>
      <c r="O952" s="75" t="s">
        <v>1848</v>
      </c>
    </row>
    <row r="953" spans="1:15">
      <c r="A953" s="63" t="s">
        <v>849</v>
      </c>
      <c r="B953" s="14" t="str">
        <f>VLOOKUP(O953,'护理记录单文书字典(数据)'!B$4:C$99,2,0)</f>
        <v>60A8E7350CFAB211CD855C7C2E8F482F</v>
      </c>
      <c r="C953" s="75" t="s">
        <v>1460</v>
      </c>
      <c r="D953" s="75" t="s">
        <v>1461</v>
      </c>
      <c r="E953" s="92">
        <v>1</v>
      </c>
      <c r="F953" s="92">
        <v>1</v>
      </c>
      <c r="G953" s="75" t="s">
        <v>1462</v>
      </c>
      <c r="H953" s="75"/>
      <c r="I953" s="75"/>
      <c r="J953" s="75" t="s">
        <v>162</v>
      </c>
      <c r="K953" s="75" t="s">
        <v>509</v>
      </c>
      <c r="L953" s="75" t="s">
        <v>535</v>
      </c>
      <c r="M953" s="75" t="s">
        <v>509</v>
      </c>
      <c r="N953" s="75" t="s">
        <v>535</v>
      </c>
      <c r="O953" s="75" t="s">
        <v>1848</v>
      </c>
    </row>
    <row r="954" spans="1:15">
      <c r="A954" s="63" t="s">
        <v>849</v>
      </c>
      <c r="B954" s="14" t="str">
        <f>VLOOKUP(O954,'护理记录单文书字典(数据)'!B$4:C$99,2,0)</f>
        <v>60A8E7350CFAB211CD855C7C2E8F482F</v>
      </c>
      <c r="C954" s="75" t="s">
        <v>1460</v>
      </c>
      <c r="D954" s="75" t="s">
        <v>1461</v>
      </c>
      <c r="E954" s="92">
        <v>2</v>
      </c>
      <c r="F954" s="92">
        <v>2</v>
      </c>
      <c r="G954" s="75" t="s">
        <v>1464</v>
      </c>
      <c r="H954" s="75"/>
      <c r="I954" s="75"/>
      <c r="J954" s="75" t="s">
        <v>162</v>
      </c>
      <c r="K954" s="75" t="s">
        <v>509</v>
      </c>
      <c r="L954" s="75" t="s">
        <v>535</v>
      </c>
      <c r="M954" s="75" t="s">
        <v>509</v>
      </c>
      <c r="N954" s="75" t="s">
        <v>535</v>
      </c>
      <c r="O954" s="75" t="s">
        <v>1848</v>
      </c>
    </row>
    <row r="955" spans="1:15">
      <c r="A955" s="63" t="s">
        <v>849</v>
      </c>
      <c r="B955" s="14" t="str">
        <f>VLOOKUP(O955,'护理记录单文书字典(数据)'!B$4:C$99,2,0)</f>
        <v>60A8E7350CFAB211CD855C7C2E8F482F</v>
      </c>
      <c r="C955" s="75" t="s">
        <v>1460</v>
      </c>
      <c r="D955" s="75" t="s">
        <v>1461</v>
      </c>
      <c r="E955" s="92">
        <v>3</v>
      </c>
      <c r="F955" s="92">
        <v>3</v>
      </c>
      <c r="G955" s="75" t="s">
        <v>1465</v>
      </c>
      <c r="H955" s="75"/>
      <c r="I955" s="75"/>
      <c r="J955" s="75" t="s">
        <v>162</v>
      </c>
      <c r="K955" s="75" t="s">
        <v>509</v>
      </c>
      <c r="L955" s="75" t="s">
        <v>535</v>
      </c>
      <c r="M955" s="75" t="s">
        <v>509</v>
      </c>
      <c r="N955" s="75" t="s">
        <v>535</v>
      </c>
      <c r="O955" s="75" t="s">
        <v>1848</v>
      </c>
    </row>
    <row r="956" spans="1:15">
      <c r="A956" s="63" t="s">
        <v>849</v>
      </c>
      <c r="B956" s="14" t="str">
        <f>VLOOKUP(O956,'护理记录单文书字典(数据)'!B$4:C$99,2,0)</f>
        <v>60A8E7350CFAB211CD855C7C2E8F482F</v>
      </c>
      <c r="C956" s="75" t="s">
        <v>1460</v>
      </c>
      <c r="D956" s="75" t="s">
        <v>1461</v>
      </c>
      <c r="E956" s="92">
        <v>4</v>
      </c>
      <c r="F956" s="92">
        <v>4</v>
      </c>
      <c r="G956" s="75" t="s">
        <v>1466</v>
      </c>
      <c r="H956" s="75"/>
      <c r="I956" s="75"/>
      <c r="J956" s="75" t="s">
        <v>162</v>
      </c>
      <c r="K956" s="75" t="s">
        <v>509</v>
      </c>
      <c r="L956" s="75" t="s">
        <v>535</v>
      </c>
      <c r="M956" s="75" t="s">
        <v>509</v>
      </c>
      <c r="N956" s="75" t="s">
        <v>535</v>
      </c>
      <c r="O956" s="75" t="s">
        <v>1848</v>
      </c>
    </row>
    <row r="957" spans="1:15">
      <c r="A957" s="63" t="s">
        <v>849</v>
      </c>
      <c r="B957" s="14" t="str">
        <f>VLOOKUP(O957,'护理记录单文书字典(数据)'!B$4:C$99,2,0)</f>
        <v>60A8E7350CFAB211CD855C7C2E8F482F</v>
      </c>
      <c r="C957" s="75" t="s">
        <v>1460</v>
      </c>
      <c r="D957" s="75" t="s">
        <v>1461</v>
      </c>
      <c r="E957" s="92">
        <v>5</v>
      </c>
      <c r="F957" s="92">
        <v>5</v>
      </c>
      <c r="G957" s="75" t="s">
        <v>1467</v>
      </c>
      <c r="H957" s="75"/>
      <c r="I957" s="75"/>
      <c r="J957" s="75" t="s">
        <v>162</v>
      </c>
      <c r="K957" s="75" t="s">
        <v>509</v>
      </c>
      <c r="L957" s="75" t="s">
        <v>535</v>
      </c>
      <c r="M957" s="75" t="s">
        <v>509</v>
      </c>
      <c r="N957" s="75" t="s">
        <v>535</v>
      </c>
      <c r="O957" s="75" t="s">
        <v>1848</v>
      </c>
    </row>
    <row r="958" spans="1:15">
      <c r="A958" s="63" t="s">
        <v>849</v>
      </c>
      <c r="B958" s="14" t="str">
        <f>VLOOKUP(O958,'护理记录单文书字典(数据)'!B$4:C$99,2,0)</f>
        <v>60A8E7350CFAB211CD855C7C2E8F482F</v>
      </c>
      <c r="C958" s="75" t="s">
        <v>1869</v>
      </c>
      <c r="D958" s="75" t="s">
        <v>1870</v>
      </c>
      <c r="E958" s="92">
        <v>1</v>
      </c>
      <c r="F958" s="92">
        <v>1</v>
      </c>
      <c r="G958" s="75" t="s">
        <v>1096</v>
      </c>
      <c r="H958" s="75"/>
      <c r="I958" s="75"/>
      <c r="J958" s="75" t="s">
        <v>162</v>
      </c>
      <c r="K958" s="75" t="s">
        <v>509</v>
      </c>
      <c r="L958" s="75" t="s">
        <v>535</v>
      </c>
      <c r="M958" s="75" t="s">
        <v>509</v>
      </c>
      <c r="N958" s="75" t="s">
        <v>535</v>
      </c>
      <c r="O958" s="75" t="s">
        <v>1848</v>
      </c>
    </row>
    <row r="959" spans="1:15">
      <c r="A959" s="63" t="s">
        <v>849</v>
      </c>
      <c r="B959" s="14" t="str">
        <f>VLOOKUP(O959,'护理记录单文书字典(数据)'!B$4:C$99,2,0)</f>
        <v>60A8E7350CFAB211CD855C7C2E8F482F</v>
      </c>
      <c r="C959" s="75" t="s">
        <v>1869</v>
      </c>
      <c r="D959" s="75" t="s">
        <v>1870</v>
      </c>
      <c r="E959" s="92">
        <v>2</v>
      </c>
      <c r="F959" s="92">
        <v>2</v>
      </c>
      <c r="G959" s="75" t="s">
        <v>1256</v>
      </c>
      <c r="H959" s="75"/>
      <c r="I959" s="75"/>
      <c r="J959" s="75" t="s">
        <v>162</v>
      </c>
      <c r="K959" s="75" t="s">
        <v>509</v>
      </c>
      <c r="L959" s="75" t="s">
        <v>535</v>
      </c>
      <c r="M959" s="75" t="s">
        <v>509</v>
      </c>
      <c r="N959" s="75" t="s">
        <v>535</v>
      </c>
      <c r="O959" s="75" t="s">
        <v>1848</v>
      </c>
    </row>
    <row r="960" spans="1:15">
      <c r="A960" s="63" t="s">
        <v>849</v>
      </c>
      <c r="B960" s="14" t="str">
        <f>VLOOKUP(O960,'护理记录单文书字典(数据)'!B$4:C$99,2,0)</f>
        <v>60A8E7350CFAB211CD855C7C2E8F482F</v>
      </c>
      <c r="C960" s="75" t="s">
        <v>1869</v>
      </c>
      <c r="D960" s="75" t="s">
        <v>1870</v>
      </c>
      <c r="E960" s="92">
        <v>3</v>
      </c>
      <c r="F960" s="92">
        <v>3</v>
      </c>
      <c r="G960" s="75" t="s">
        <v>1097</v>
      </c>
      <c r="H960" s="75"/>
      <c r="I960" s="75"/>
      <c r="J960" s="75" t="s">
        <v>162</v>
      </c>
      <c r="K960" s="75" t="s">
        <v>509</v>
      </c>
      <c r="L960" s="75" t="s">
        <v>535</v>
      </c>
      <c r="M960" s="75" t="s">
        <v>509</v>
      </c>
      <c r="N960" s="75" t="s">
        <v>535</v>
      </c>
      <c r="O960" s="75" t="s">
        <v>1848</v>
      </c>
    </row>
    <row r="961" spans="1:15">
      <c r="A961" s="63" t="s">
        <v>849</v>
      </c>
      <c r="B961" s="14" t="str">
        <f>VLOOKUP(O961,'护理记录单文书字典(数据)'!B$4:C$99,2,0)</f>
        <v>60A8E7350CFAB211CD855C7C2E8F482F</v>
      </c>
      <c r="C961" s="75" t="s">
        <v>1869</v>
      </c>
      <c r="D961" s="75" t="s">
        <v>1870</v>
      </c>
      <c r="E961" s="92">
        <v>4</v>
      </c>
      <c r="F961" s="92">
        <v>4</v>
      </c>
      <c r="G961" s="161" t="s">
        <v>1814</v>
      </c>
      <c r="H961" s="75"/>
      <c r="I961" s="75"/>
      <c r="J961" s="75" t="s">
        <v>162</v>
      </c>
      <c r="K961" s="75" t="s">
        <v>509</v>
      </c>
      <c r="L961" s="75" t="s">
        <v>535</v>
      </c>
      <c r="M961" s="75" t="s">
        <v>509</v>
      </c>
      <c r="N961" s="75" t="s">
        <v>535</v>
      </c>
      <c r="O961" s="75" t="s">
        <v>1848</v>
      </c>
    </row>
    <row r="962" spans="1:15">
      <c r="A962" s="63" t="s">
        <v>849</v>
      </c>
      <c r="B962" s="14" t="str">
        <f>VLOOKUP(O962,'护理记录单文书字典(数据)'!B$4:C$99,2,0)</f>
        <v>60A8E7350CFAB211CD855C7C2E8F482F</v>
      </c>
      <c r="C962" s="75" t="s">
        <v>1871</v>
      </c>
      <c r="D962" s="75" t="s">
        <v>1872</v>
      </c>
      <c r="E962" s="92">
        <v>1</v>
      </c>
      <c r="F962" s="92">
        <v>1</v>
      </c>
      <c r="G962" s="75" t="s">
        <v>1096</v>
      </c>
      <c r="H962" s="75"/>
      <c r="I962" s="75"/>
      <c r="J962" s="75" t="s">
        <v>162</v>
      </c>
      <c r="K962" s="75" t="s">
        <v>509</v>
      </c>
      <c r="L962" s="75" t="s">
        <v>535</v>
      </c>
      <c r="M962" s="75" t="s">
        <v>509</v>
      </c>
      <c r="N962" s="75" t="s">
        <v>535</v>
      </c>
      <c r="O962" s="75" t="s">
        <v>1848</v>
      </c>
    </row>
    <row r="963" spans="1:15">
      <c r="A963" s="63" t="s">
        <v>849</v>
      </c>
      <c r="B963" s="14" t="str">
        <f>VLOOKUP(O963,'护理记录单文书字典(数据)'!B$4:C$99,2,0)</f>
        <v>60A8E7350CFAB211CD855C7C2E8F482F</v>
      </c>
      <c r="C963" s="75" t="s">
        <v>1871</v>
      </c>
      <c r="D963" s="75" t="s">
        <v>1872</v>
      </c>
      <c r="E963" s="92">
        <v>2</v>
      </c>
      <c r="F963" s="92">
        <v>2</v>
      </c>
      <c r="G963" s="75" t="s">
        <v>1873</v>
      </c>
      <c r="H963" s="75"/>
      <c r="I963" s="75"/>
      <c r="J963" s="75" t="s">
        <v>162</v>
      </c>
      <c r="K963" s="75" t="s">
        <v>509</v>
      </c>
      <c r="L963" s="75" t="s">
        <v>535</v>
      </c>
      <c r="M963" s="75" t="s">
        <v>509</v>
      </c>
      <c r="N963" s="75" t="s">
        <v>535</v>
      </c>
      <c r="O963" s="75" t="s">
        <v>1848</v>
      </c>
    </row>
    <row r="964" spans="1:15">
      <c r="A964" s="63" t="s">
        <v>849</v>
      </c>
      <c r="B964" s="14" t="str">
        <f>VLOOKUP(O964,'护理记录单文书字典(数据)'!B$4:C$99,2,0)</f>
        <v>60A8E7350CFAB211CD855C7C2E8F482F</v>
      </c>
      <c r="C964" s="75" t="s">
        <v>1871</v>
      </c>
      <c r="D964" s="75" t="s">
        <v>1872</v>
      </c>
      <c r="E964" s="92">
        <v>3</v>
      </c>
      <c r="F964" s="92">
        <v>3</v>
      </c>
      <c r="G964" s="75" t="s">
        <v>1874</v>
      </c>
      <c r="H964" s="75"/>
      <c r="I964" s="75"/>
      <c r="J964" s="75" t="s">
        <v>162</v>
      </c>
      <c r="K964" s="75" t="s">
        <v>509</v>
      </c>
      <c r="L964" s="75" t="s">
        <v>535</v>
      </c>
      <c r="M964" s="75" t="s">
        <v>509</v>
      </c>
      <c r="N964" s="75" t="s">
        <v>535</v>
      </c>
      <c r="O964" s="75" t="s">
        <v>1848</v>
      </c>
    </row>
    <row r="965" spans="1:15">
      <c r="A965" s="63" t="s">
        <v>849</v>
      </c>
      <c r="B965" s="14" t="str">
        <f>VLOOKUP(O965,'护理记录单文书字典(数据)'!B$4:C$99,2,0)</f>
        <v>60A8E7350CFAB211CD855C7C2E8F482F</v>
      </c>
      <c r="C965" s="75" t="s">
        <v>1875</v>
      </c>
      <c r="D965" s="75" t="s">
        <v>1876</v>
      </c>
      <c r="E965" s="92">
        <v>1</v>
      </c>
      <c r="F965" s="92">
        <v>1</v>
      </c>
      <c r="G965" s="75" t="s">
        <v>1096</v>
      </c>
      <c r="H965" s="75"/>
      <c r="I965" s="75"/>
      <c r="J965" s="75" t="s">
        <v>162</v>
      </c>
      <c r="K965" s="75" t="s">
        <v>509</v>
      </c>
      <c r="L965" s="75" t="s">
        <v>535</v>
      </c>
      <c r="M965" s="75" t="s">
        <v>509</v>
      </c>
      <c r="N965" s="75" t="s">
        <v>535</v>
      </c>
      <c r="O965" s="75" t="s">
        <v>1848</v>
      </c>
    </row>
    <row r="966" spans="1:15">
      <c r="A966" s="63" t="s">
        <v>849</v>
      </c>
      <c r="B966" s="14" t="str">
        <f>VLOOKUP(O966,'护理记录单文书字典(数据)'!B$4:C$99,2,0)</f>
        <v>60A8E7350CFAB211CD855C7C2E8F482F</v>
      </c>
      <c r="C966" s="75" t="s">
        <v>1875</v>
      </c>
      <c r="D966" s="75" t="s">
        <v>1876</v>
      </c>
      <c r="E966" s="92">
        <v>2</v>
      </c>
      <c r="F966" s="92">
        <v>2</v>
      </c>
      <c r="G966" s="75" t="s">
        <v>1214</v>
      </c>
      <c r="H966" s="75"/>
      <c r="I966" s="75"/>
      <c r="J966" s="75" t="s">
        <v>162</v>
      </c>
      <c r="K966" s="75" t="s">
        <v>509</v>
      </c>
      <c r="L966" s="75" t="s">
        <v>535</v>
      </c>
      <c r="M966" s="75" t="s">
        <v>509</v>
      </c>
      <c r="N966" s="75" t="s">
        <v>535</v>
      </c>
      <c r="O966" s="75" t="s">
        <v>1848</v>
      </c>
    </row>
    <row r="967" spans="1:15">
      <c r="A967" s="63" t="s">
        <v>849</v>
      </c>
      <c r="B967" s="14" t="str">
        <f>VLOOKUP(O967,'护理记录单文书字典(数据)'!B$4:C$99,2,0)</f>
        <v>60A8E7350CFAB211CD855C7C2E8F482F</v>
      </c>
      <c r="C967" s="75" t="s">
        <v>1875</v>
      </c>
      <c r="D967" s="75" t="s">
        <v>1876</v>
      </c>
      <c r="E967" s="92">
        <v>3</v>
      </c>
      <c r="F967" s="92">
        <v>3</v>
      </c>
      <c r="G967" s="75" t="s">
        <v>1877</v>
      </c>
      <c r="H967" s="75"/>
      <c r="I967" s="75"/>
      <c r="J967" s="75" t="s">
        <v>162</v>
      </c>
      <c r="K967" s="75" t="s">
        <v>509</v>
      </c>
      <c r="L967" s="75" t="s">
        <v>535</v>
      </c>
      <c r="M967" s="75" t="s">
        <v>509</v>
      </c>
      <c r="N967" s="75" t="s">
        <v>535</v>
      </c>
      <c r="O967" s="75" t="s">
        <v>1848</v>
      </c>
    </row>
    <row r="968" spans="1:15">
      <c r="A968" s="63" t="s">
        <v>849</v>
      </c>
      <c r="B968" s="14" t="str">
        <f>VLOOKUP(O968,'护理记录单文书字典(数据)'!B$4:C$99,2,0)</f>
        <v>60A8E7350CFAB211CD855C7C2E8F482F</v>
      </c>
      <c r="C968" s="75" t="s">
        <v>1878</v>
      </c>
      <c r="D968" s="75" t="s">
        <v>1879</v>
      </c>
      <c r="E968" s="92">
        <v>1</v>
      </c>
      <c r="F968" s="92">
        <v>1</v>
      </c>
      <c r="G968" s="75" t="s">
        <v>1880</v>
      </c>
      <c r="H968" s="75"/>
      <c r="I968" s="75"/>
      <c r="J968" s="75" t="s">
        <v>162</v>
      </c>
      <c r="K968" s="75" t="s">
        <v>509</v>
      </c>
      <c r="L968" s="75" t="s">
        <v>535</v>
      </c>
      <c r="M968" s="75" t="s">
        <v>509</v>
      </c>
      <c r="N968" s="75" t="s">
        <v>535</v>
      </c>
      <c r="O968" s="75" t="s">
        <v>1848</v>
      </c>
    </row>
    <row r="969" spans="1:15">
      <c r="A969" s="63" t="s">
        <v>849</v>
      </c>
      <c r="B969" s="14" t="str">
        <f>VLOOKUP(O969,'护理记录单文书字典(数据)'!B$4:C$99,2,0)</f>
        <v>60A8E7350CFAB211CD855C7C2E8F482F</v>
      </c>
      <c r="C969" s="75" t="s">
        <v>1878</v>
      </c>
      <c r="D969" s="75" t="s">
        <v>1879</v>
      </c>
      <c r="E969" s="92">
        <v>2</v>
      </c>
      <c r="F969" s="92">
        <v>2</v>
      </c>
      <c r="G969" s="75" t="s">
        <v>1265</v>
      </c>
      <c r="H969" s="75"/>
      <c r="I969" s="75"/>
      <c r="J969" s="75" t="s">
        <v>162</v>
      </c>
      <c r="K969" s="75" t="s">
        <v>509</v>
      </c>
      <c r="L969" s="75" t="s">
        <v>535</v>
      </c>
      <c r="M969" s="75" t="s">
        <v>509</v>
      </c>
      <c r="N969" s="75" t="s">
        <v>535</v>
      </c>
      <c r="O969" s="75" t="s">
        <v>1848</v>
      </c>
    </row>
    <row r="970" spans="1:15">
      <c r="A970" s="63" t="s">
        <v>849</v>
      </c>
      <c r="B970" s="14" t="str">
        <f>VLOOKUP(O970,'护理记录单文书字典(数据)'!B$4:C$99,2,0)</f>
        <v>64A4EE350CFAB211D0BA40A010B3FD05</v>
      </c>
      <c r="C970" s="75" t="s">
        <v>1881</v>
      </c>
      <c r="D970" s="75" t="s">
        <v>1882</v>
      </c>
      <c r="E970" s="92">
        <v>1</v>
      </c>
      <c r="F970" s="92">
        <v>1</v>
      </c>
      <c r="G970" s="75" t="s">
        <v>981</v>
      </c>
      <c r="H970" s="75"/>
      <c r="I970" s="75"/>
      <c r="J970" s="75" t="s">
        <v>162</v>
      </c>
      <c r="K970" s="75" t="s">
        <v>509</v>
      </c>
      <c r="L970" s="75" t="s">
        <v>535</v>
      </c>
      <c r="M970" s="75" t="s">
        <v>509</v>
      </c>
      <c r="N970" s="75" t="s">
        <v>535</v>
      </c>
      <c r="O970" s="75" t="s">
        <v>1883</v>
      </c>
    </row>
    <row r="971" spans="1:15">
      <c r="A971" s="63" t="s">
        <v>849</v>
      </c>
      <c r="B971" s="14" t="str">
        <f>VLOOKUP(O971,'护理记录单文书字典(数据)'!B$4:C$99,2,0)</f>
        <v>64A4EE350CFAB211D0BA40A010B3FD05</v>
      </c>
      <c r="C971" s="75" t="s">
        <v>1881</v>
      </c>
      <c r="D971" s="75" t="s">
        <v>1882</v>
      </c>
      <c r="E971" s="92">
        <v>2</v>
      </c>
      <c r="F971" s="92">
        <v>2</v>
      </c>
      <c r="G971" s="75" t="s">
        <v>982</v>
      </c>
      <c r="H971" s="75"/>
      <c r="I971" s="75"/>
      <c r="J971" s="75" t="s">
        <v>162</v>
      </c>
      <c r="K971" s="75" t="s">
        <v>509</v>
      </c>
      <c r="L971" s="75" t="s">
        <v>535</v>
      </c>
      <c r="M971" s="75" t="s">
        <v>509</v>
      </c>
      <c r="N971" s="75" t="s">
        <v>535</v>
      </c>
      <c r="O971" s="75" t="s">
        <v>1883</v>
      </c>
    </row>
    <row r="972" spans="1:15">
      <c r="A972" s="63" t="s">
        <v>849</v>
      </c>
      <c r="B972" s="14" t="str">
        <f>VLOOKUP(O972,'护理记录单文书字典(数据)'!B$4:C$99,2,0)</f>
        <v>64A4EE350CFAB211D0BA40A010B3FD05</v>
      </c>
      <c r="C972" s="75" t="s">
        <v>1881</v>
      </c>
      <c r="D972" s="75" t="s">
        <v>1882</v>
      </c>
      <c r="E972" s="92">
        <v>3</v>
      </c>
      <c r="F972" s="92">
        <v>3</v>
      </c>
      <c r="G972" s="75" t="s">
        <v>1284</v>
      </c>
      <c r="H972" s="75"/>
      <c r="I972" s="75"/>
      <c r="J972" s="75" t="s">
        <v>162</v>
      </c>
      <c r="K972" s="75" t="s">
        <v>509</v>
      </c>
      <c r="L972" s="75" t="s">
        <v>535</v>
      </c>
      <c r="M972" s="75" t="s">
        <v>509</v>
      </c>
      <c r="N972" s="75" t="s">
        <v>535</v>
      </c>
      <c r="O972" s="75" t="s">
        <v>1883</v>
      </c>
    </row>
    <row r="973" spans="1:15">
      <c r="A973" s="63" t="s">
        <v>849</v>
      </c>
      <c r="B973" s="14" t="str">
        <f>VLOOKUP(O973,'护理记录单文书字典(数据)'!B$4:C$99,2,0)</f>
        <v>64A4EE350CFAB211D0BA40A010B3FD05</v>
      </c>
      <c r="C973" s="75" t="s">
        <v>1884</v>
      </c>
      <c r="D973" s="75" t="s">
        <v>1885</v>
      </c>
      <c r="E973" s="92">
        <v>1</v>
      </c>
      <c r="F973" s="92">
        <v>1</v>
      </c>
      <c r="G973" s="75" t="s">
        <v>1886</v>
      </c>
      <c r="H973" s="75"/>
      <c r="I973" s="75"/>
      <c r="J973" s="75" t="s">
        <v>162</v>
      </c>
      <c r="K973" s="75" t="s">
        <v>509</v>
      </c>
      <c r="L973" s="75" t="s">
        <v>535</v>
      </c>
      <c r="M973" s="75" t="s">
        <v>509</v>
      </c>
      <c r="N973" s="75" t="s">
        <v>535</v>
      </c>
      <c r="O973" s="75" t="s">
        <v>1883</v>
      </c>
    </row>
    <row r="974" spans="1:15">
      <c r="A974" s="63" t="s">
        <v>849</v>
      </c>
      <c r="B974" s="14" t="str">
        <f>VLOOKUP(O974,'护理记录单文书字典(数据)'!B$4:C$99,2,0)</f>
        <v>64A4EE350CFAB211D0BA40A010B3FD05</v>
      </c>
      <c r="C974" s="75" t="s">
        <v>1884</v>
      </c>
      <c r="D974" s="75" t="s">
        <v>1885</v>
      </c>
      <c r="E974" s="92">
        <v>2</v>
      </c>
      <c r="F974" s="92">
        <v>2</v>
      </c>
      <c r="G974" s="75" t="s">
        <v>1887</v>
      </c>
      <c r="H974" s="75"/>
      <c r="I974" s="75"/>
      <c r="J974" s="75" t="s">
        <v>162</v>
      </c>
      <c r="K974" s="75" t="s">
        <v>509</v>
      </c>
      <c r="L974" s="75" t="s">
        <v>535</v>
      </c>
      <c r="M974" s="75" t="s">
        <v>509</v>
      </c>
      <c r="N974" s="75" t="s">
        <v>535</v>
      </c>
      <c r="O974" s="75" t="s">
        <v>1883</v>
      </c>
    </row>
    <row r="975" spans="1:15">
      <c r="A975" s="63" t="s">
        <v>849</v>
      </c>
      <c r="B975" s="14" t="str">
        <f>VLOOKUP(O975,'护理记录单文书字典(数据)'!B$4:C$99,2,0)</f>
        <v>64A4EE350CFAB211D0BA40A010B3FD05</v>
      </c>
      <c r="C975" s="75" t="s">
        <v>1884</v>
      </c>
      <c r="D975" s="75" t="s">
        <v>1885</v>
      </c>
      <c r="E975" s="92">
        <v>3</v>
      </c>
      <c r="F975" s="92">
        <v>3</v>
      </c>
      <c r="G975" s="75" t="s">
        <v>1888</v>
      </c>
      <c r="H975" s="75"/>
      <c r="I975" s="75"/>
      <c r="J975" s="75" t="s">
        <v>162</v>
      </c>
      <c r="K975" s="75" t="s">
        <v>509</v>
      </c>
      <c r="L975" s="75" t="s">
        <v>535</v>
      </c>
      <c r="M975" s="75" t="s">
        <v>509</v>
      </c>
      <c r="N975" s="75" t="s">
        <v>535</v>
      </c>
      <c r="O975" s="75" t="s">
        <v>1883</v>
      </c>
    </row>
    <row r="976" spans="1:15">
      <c r="A976" s="63" t="s">
        <v>849</v>
      </c>
      <c r="B976" s="14" t="str">
        <f>VLOOKUP(O976,'护理记录单文书字典(数据)'!B$4:C$99,2,0)</f>
        <v>64A4EE350CFAB211D0BA40A010B3FD05</v>
      </c>
      <c r="C976" s="75" t="s">
        <v>1889</v>
      </c>
      <c r="D976" s="75" t="s">
        <v>1890</v>
      </c>
      <c r="E976" s="92">
        <v>1</v>
      </c>
      <c r="F976" s="92">
        <v>1</v>
      </c>
      <c r="G976" s="75" t="s">
        <v>1891</v>
      </c>
      <c r="H976" s="75"/>
      <c r="I976" s="75"/>
      <c r="J976" s="75" t="s">
        <v>162</v>
      </c>
      <c r="K976" s="75" t="s">
        <v>509</v>
      </c>
      <c r="L976" s="75" t="s">
        <v>535</v>
      </c>
      <c r="M976" s="75" t="s">
        <v>509</v>
      </c>
      <c r="N976" s="75" t="s">
        <v>535</v>
      </c>
      <c r="O976" s="75" t="s">
        <v>1883</v>
      </c>
    </row>
    <row r="977" spans="1:15">
      <c r="A977" s="63" t="s">
        <v>849</v>
      </c>
      <c r="B977" s="14" t="str">
        <f>VLOOKUP(O977,'护理记录单文书字典(数据)'!B$4:C$99,2,0)</f>
        <v>64A4EE350CFAB211D0BA40A010B3FD05</v>
      </c>
      <c r="C977" s="75" t="s">
        <v>1889</v>
      </c>
      <c r="D977" s="75" t="s">
        <v>1890</v>
      </c>
      <c r="E977" s="92">
        <v>2</v>
      </c>
      <c r="F977" s="92">
        <v>2</v>
      </c>
      <c r="G977" s="75" t="s">
        <v>1892</v>
      </c>
      <c r="H977" s="75"/>
      <c r="I977" s="75"/>
      <c r="J977" s="75" t="s">
        <v>162</v>
      </c>
      <c r="K977" s="75" t="s">
        <v>509</v>
      </c>
      <c r="L977" s="75" t="s">
        <v>535</v>
      </c>
      <c r="M977" s="75" t="s">
        <v>509</v>
      </c>
      <c r="N977" s="75" t="s">
        <v>535</v>
      </c>
      <c r="O977" s="75" t="s">
        <v>1883</v>
      </c>
    </row>
    <row r="978" spans="1:15">
      <c r="A978" s="63" t="s">
        <v>849</v>
      </c>
      <c r="B978" s="14" t="str">
        <f>VLOOKUP(O978,'护理记录单文书字典(数据)'!B$4:C$99,2,0)</f>
        <v>64A4EE350CFAB211D0BA40A010B3FD05</v>
      </c>
      <c r="C978" s="75" t="s">
        <v>1893</v>
      </c>
      <c r="D978" s="75" t="s">
        <v>1894</v>
      </c>
      <c r="E978" s="92">
        <v>1</v>
      </c>
      <c r="F978" s="92">
        <v>1</v>
      </c>
      <c r="G978" s="75" t="s">
        <v>1895</v>
      </c>
      <c r="H978" s="75"/>
      <c r="I978" s="75"/>
      <c r="J978" s="75" t="s">
        <v>162</v>
      </c>
      <c r="K978" s="75" t="s">
        <v>509</v>
      </c>
      <c r="L978" s="75" t="s">
        <v>535</v>
      </c>
      <c r="M978" s="75" t="s">
        <v>509</v>
      </c>
      <c r="N978" s="75" t="s">
        <v>535</v>
      </c>
      <c r="O978" s="75" t="s">
        <v>1883</v>
      </c>
    </row>
    <row r="979" spans="1:15">
      <c r="A979" s="63" t="s">
        <v>849</v>
      </c>
      <c r="B979" s="14" t="str">
        <f>VLOOKUP(O979,'护理记录单文书字典(数据)'!B$4:C$99,2,0)</f>
        <v>64A4EE350CFAB211D0BA40A010B3FD05</v>
      </c>
      <c r="C979" s="75" t="s">
        <v>1893</v>
      </c>
      <c r="D979" s="75" t="s">
        <v>1894</v>
      </c>
      <c r="E979" s="92">
        <v>2</v>
      </c>
      <c r="F979" s="92">
        <v>2</v>
      </c>
      <c r="G979" s="75" t="s">
        <v>1112</v>
      </c>
      <c r="H979" s="75"/>
      <c r="I979" s="75"/>
      <c r="J979" s="75" t="s">
        <v>162</v>
      </c>
      <c r="K979" s="75" t="s">
        <v>509</v>
      </c>
      <c r="L979" s="75" t="s">
        <v>535</v>
      </c>
      <c r="M979" s="75" t="s">
        <v>509</v>
      </c>
      <c r="N979" s="75" t="s">
        <v>535</v>
      </c>
      <c r="O979" s="75" t="s">
        <v>1883</v>
      </c>
    </row>
    <row r="980" spans="1:15">
      <c r="A980" s="63" t="s">
        <v>849</v>
      </c>
      <c r="B980" s="14" t="str">
        <f>VLOOKUP(O980,'护理记录单文书字典(数据)'!B$4:C$99,2,0)</f>
        <v>64A4EE350CFAB211D0BA40A010B3FD05</v>
      </c>
      <c r="C980" s="75" t="s">
        <v>1893</v>
      </c>
      <c r="D980" s="75" t="s">
        <v>1894</v>
      </c>
      <c r="E980" s="92">
        <v>3</v>
      </c>
      <c r="F980" s="92">
        <v>3</v>
      </c>
      <c r="G980" s="75" t="s">
        <v>1896</v>
      </c>
      <c r="H980" s="75"/>
      <c r="I980" s="75"/>
      <c r="J980" s="75" t="s">
        <v>162</v>
      </c>
      <c r="K980" s="75" t="s">
        <v>509</v>
      </c>
      <c r="L980" s="75" t="s">
        <v>535</v>
      </c>
      <c r="M980" s="75" t="s">
        <v>509</v>
      </c>
      <c r="N980" s="75" t="s">
        <v>535</v>
      </c>
      <c r="O980" s="75" t="s">
        <v>1883</v>
      </c>
    </row>
    <row r="981" spans="1:15">
      <c r="A981" s="63" t="s">
        <v>849</v>
      </c>
      <c r="B981" s="14" t="str">
        <f>VLOOKUP(O981,'护理记录单文书字典(数据)'!B$4:C$99,2,0)</f>
        <v>64A4EE350CFAB211D0BA40A010B3FD05</v>
      </c>
      <c r="C981" s="170" t="s">
        <v>3448</v>
      </c>
      <c r="D981" s="170" t="s">
        <v>2751</v>
      </c>
      <c r="E981" s="171">
        <v>1</v>
      </c>
      <c r="F981" s="171">
        <v>0</v>
      </c>
      <c r="G981" s="170" t="s">
        <v>961</v>
      </c>
      <c r="H981" s="170"/>
      <c r="I981" s="170"/>
      <c r="J981" s="170" t="s">
        <v>162</v>
      </c>
      <c r="K981" s="170" t="s">
        <v>509</v>
      </c>
      <c r="L981" s="170" t="s">
        <v>535</v>
      </c>
      <c r="M981" s="170" t="s">
        <v>509</v>
      </c>
      <c r="N981" s="170" t="s">
        <v>535</v>
      </c>
      <c r="O981" s="170" t="s">
        <v>1883</v>
      </c>
    </row>
    <row r="982" spans="1:15">
      <c r="A982" s="63" t="s">
        <v>849</v>
      </c>
      <c r="B982" s="14" t="str">
        <f>VLOOKUP(O982,'护理记录单文书字典(数据)'!B$4:C$99,2,0)</f>
        <v>64A4EE350CFAB211D0BA40A010B3FD05</v>
      </c>
      <c r="C982" s="170" t="s">
        <v>2750</v>
      </c>
      <c r="D982" s="170" t="s">
        <v>2751</v>
      </c>
      <c r="E982" s="171">
        <v>2</v>
      </c>
      <c r="F982" s="171">
        <v>1</v>
      </c>
      <c r="G982" s="170" t="s">
        <v>962</v>
      </c>
      <c r="H982" s="170"/>
      <c r="I982" s="170"/>
      <c r="J982" s="170" t="s">
        <v>162</v>
      </c>
      <c r="K982" s="170" t="s">
        <v>509</v>
      </c>
      <c r="L982" s="170" t="s">
        <v>535</v>
      </c>
      <c r="M982" s="170" t="s">
        <v>509</v>
      </c>
      <c r="N982" s="170" t="s">
        <v>535</v>
      </c>
      <c r="O982" s="170" t="s">
        <v>1883</v>
      </c>
    </row>
    <row r="983" spans="1:15">
      <c r="A983" s="63" t="s">
        <v>849</v>
      </c>
      <c r="B983" s="14" t="str">
        <f>VLOOKUP(O983,'护理记录单文书字典(数据)'!B$4:C$99,2,0)</f>
        <v>64A4EE350CFAB211D0BA40A010B3FD05</v>
      </c>
      <c r="C983" s="170" t="s">
        <v>3450</v>
      </c>
      <c r="D983" s="170" t="s">
        <v>2752</v>
      </c>
      <c r="E983" s="171">
        <v>1</v>
      </c>
      <c r="F983" s="171">
        <v>1</v>
      </c>
      <c r="G983" s="170" t="s">
        <v>2753</v>
      </c>
      <c r="H983" s="170"/>
      <c r="I983" s="170"/>
      <c r="J983" s="170" t="s">
        <v>162</v>
      </c>
      <c r="K983" s="170" t="s">
        <v>509</v>
      </c>
      <c r="L983" s="170" t="s">
        <v>535</v>
      </c>
      <c r="M983" s="170" t="s">
        <v>509</v>
      </c>
      <c r="N983" s="170" t="s">
        <v>535</v>
      </c>
      <c r="O983" s="170" t="s">
        <v>1883</v>
      </c>
    </row>
    <row r="984" spans="1:15">
      <c r="A984" s="63" t="s">
        <v>849</v>
      </c>
      <c r="B984" s="14" t="str">
        <f>VLOOKUP(O984,'护理记录单文书字典(数据)'!B$4:C$99,2,0)</f>
        <v>64A4EE350CFAB211D0BA40A010B3FD05</v>
      </c>
      <c r="C984" s="170" t="s">
        <v>3449</v>
      </c>
      <c r="D984" s="170" t="s">
        <v>2752</v>
      </c>
      <c r="E984" s="171">
        <v>2</v>
      </c>
      <c r="F984" s="171">
        <v>2</v>
      </c>
      <c r="G984" s="170" t="s">
        <v>2754</v>
      </c>
      <c r="H984" s="170"/>
      <c r="I984" s="170"/>
      <c r="J984" s="170" t="s">
        <v>160</v>
      </c>
      <c r="K984" s="170" t="s">
        <v>509</v>
      </c>
      <c r="L984" s="170" t="s">
        <v>2755</v>
      </c>
      <c r="M984" s="170" t="s">
        <v>509</v>
      </c>
      <c r="N984" s="170" t="s">
        <v>2755</v>
      </c>
      <c r="O984" s="170" t="s">
        <v>1883</v>
      </c>
    </row>
    <row r="985" spans="1:15">
      <c r="A985" s="63" t="s">
        <v>849</v>
      </c>
      <c r="B985" s="14" t="str">
        <f>VLOOKUP(O985,'护理记录单文书字典(数据)'!B$4:C$99,2,0)</f>
        <v>64A4EE350CFAB211D0BA40A010B3FD05</v>
      </c>
      <c r="C985" s="170" t="s">
        <v>3449</v>
      </c>
      <c r="D985" s="170" t="s">
        <v>2752</v>
      </c>
      <c r="E985" s="171">
        <v>3</v>
      </c>
      <c r="F985" s="171">
        <v>3</v>
      </c>
      <c r="G985" s="170" t="s">
        <v>2756</v>
      </c>
      <c r="H985" s="170"/>
      <c r="I985" s="170"/>
      <c r="J985" s="170" t="s">
        <v>161</v>
      </c>
      <c r="K985" s="170" t="s">
        <v>509</v>
      </c>
      <c r="L985" s="170" t="s">
        <v>2757</v>
      </c>
      <c r="M985" s="170" t="s">
        <v>509</v>
      </c>
      <c r="N985" s="170" t="s">
        <v>2757</v>
      </c>
      <c r="O985" s="170" t="s">
        <v>1883</v>
      </c>
    </row>
    <row r="986" spans="1:15">
      <c r="A986" s="63" t="s">
        <v>849</v>
      </c>
      <c r="B986" s="14" t="str">
        <f>VLOOKUP(O986,'护理记录单文书字典(数据)'!B$4:C$99,2,0)</f>
        <v>64A4EE350CFAB211D0BA40A010B3FD05</v>
      </c>
      <c r="C986" s="170" t="s">
        <v>3449</v>
      </c>
      <c r="D986" s="170" t="s">
        <v>2752</v>
      </c>
      <c r="E986" s="171">
        <v>4</v>
      </c>
      <c r="F986" s="171">
        <v>4</v>
      </c>
      <c r="G986" s="170" t="s">
        <v>1093</v>
      </c>
      <c r="H986" s="170"/>
      <c r="I986" s="170"/>
      <c r="J986" s="170" t="s">
        <v>2758</v>
      </c>
      <c r="K986" s="170" t="s">
        <v>509</v>
      </c>
      <c r="L986" s="170" t="s">
        <v>2759</v>
      </c>
      <c r="M986" s="170" t="s">
        <v>509</v>
      </c>
      <c r="N986" s="170" t="s">
        <v>2759</v>
      </c>
      <c r="O986" s="170" t="s">
        <v>1883</v>
      </c>
    </row>
    <row r="987" spans="1:15">
      <c r="A987" s="63" t="s">
        <v>849</v>
      </c>
      <c r="B987" s="14" t="str">
        <f>VLOOKUP(O987,'护理记录单文书字典(数据)'!B$4:C$99,2,0)</f>
        <v>64A4EE350CFAB211D0BA40A010B3FD05</v>
      </c>
      <c r="C987" s="170" t="s">
        <v>2760</v>
      </c>
      <c r="D987" s="170" t="s">
        <v>2761</v>
      </c>
      <c r="E987" s="171">
        <v>1</v>
      </c>
      <c r="F987" s="171">
        <v>1</v>
      </c>
      <c r="G987" s="170" t="s">
        <v>2762</v>
      </c>
      <c r="H987" s="170"/>
      <c r="I987" s="170"/>
      <c r="J987" s="170" t="s">
        <v>2763</v>
      </c>
      <c r="K987" s="170" t="s">
        <v>509</v>
      </c>
      <c r="L987" s="170" t="s">
        <v>2764</v>
      </c>
      <c r="M987" s="170" t="s">
        <v>509</v>
      </c>
      <c r="N987" s="170" t="s">
        <v>2764</v>
      </c>
      <c r="O987" s="170" t="s">
        <v>1883</v>
      </c>
    </row>
    <row r="988" spans="1:15">
      <c r="A988" s="63" t="s">
        <v>849</v>
      </c>
      <c r="B988" s="14" t="str">
        <f>VLOOKUP(O988,'护理记录单文书字典(数据)'!B$4:C$99,2,0)</f>
        <v>64A4EE350CFAB211D0BA40A010B3FD05</v>
      </c>
      <c r="C988" s="170" t="s">
        <v>2760</v>
      </c>
      <c r="D988" s="170" t="s">
        <v>2761</v>
      </c>
      <c r="E988" s="171">
        <v>2</v>
      </c>
      <c r="F988" s="171">
        <v>2</v>
      </c>
      <c r="G988" s="170" t="s">
        <v>995</v>
      </c>
      <c r="H988" s="170"/>
      <c r="I988" s="170"/>
      <c r="J988" s="170" t="s">
        <v>2765</v>
      </c>
      <c r="K988" s="170" t="s">
        <v>509</v>
      </c>
      <c r="L988" s="170" t="s">
        <v>2766</v>
      </c>
      <c r="M988" s="170" t="s">
        <v>509</v>
      </c>
      <c r="N988" s="170" t="s">
        <v>2766</v>
      </c>
      <c r="O988" s="170" t="s">
        <v>1883</v>
      </c>
    </row>
    <row r="989" spans="1:15">
      <c r="A989" s="63" t="s">
        <v>849</v>
      </c>
      <c r="B989" s="14" t="str">
        <f>VLOOKUP(O989,'护理记录单文书字典(数据)'!B$4:C$99,2,0)</f>
        <v>64A4EE350CFAB211D0BA40A010B3FD05</v>
      </c>
      <c r="C989" s="170" t="s">
        <v>2767</v>
      </c>
      <c r="D989" s="170" t="s">
        <v>2768</v>
      </c>
      <c r="E989" s="171">
        <v>1</v>
      </c>
      <c r="F989" s="171">
        <v>1</v>
      </c>
      <c r="G989" s="170" t="s">
        <v>2769</v>
      </c>
      <c r="H989" s="170"/>
      <c r="I989" s="170"/>
      <c r="J989" s="170" t="s">
        <v>2770</v>
      </c>
      <c r="K989" s="170" t="s">
        <v>509</v>
      </c>
      <c r="L989" s="170" t="s">
        <v>2771</v>
      </c>
      <c r="M989" s="170" t="s">
        <v>509</v>
      </c>
      <c r="N989" s="170" t="s">
        <v>2771</v>
      </c>
      <c r="O989" s="170" t="s">
        <v>1883</v>
      </c>
    </row>
    <row r="990" spans="1:15">
      <c r="A990" s="63" t="s">
        <v>849</v>
      </c>
      <c r="B990" s="14" t="str">
        <f>VLOOKUP(O990,'护理记录单文书字典(数据)'!B$4:C$99,2,0)</f>
        <v>64A4EE350CFAB211D0BA40A010B3FD05</v>
      </c>
      <c r="C990" s="170" t="s">
        <v>2767</v>
      </c>
      <c r="D990" s="170" t="s">
        <v>2768</v>
      </c>
      <c r="E990" s="171">
        <v>2</v>
      </c>
      <c r="F990" s="171">
        <v>2</v>
      </c>
      <c r="G990" s="170" t="s">
        <v>2772</v>
      </c>
      <c r="H990" s="170"/>
      <c r="I990" s="170"/>
      <c r="J990" s="170" t="s">
        <v>2773</v>
      </c>
      <c r="K990" s="170" t="s">
        <v>509</v>
      </c>
      <c r="L990" s="170" t="s">
        <v>2774</v>
      </c>
      <c r="M990" s="170" t="s">
        <v>509</v>
      </c>
      <c r="N990" s="170" t="s">
        <v>2774</v>
      </c>
      <c r="O990" s="170" t="s">
        <v>1883</v>
      </c>
    </row>
    <row r="991" spans="1:15">
      <c r="A991" s="63" t="s">
        <v>849</v>
      </c>
      <c r="B991" s="14" t="str">
        <f>VLOOKUP(O991,'护理记录单文书字典(数据)'!B$4:C$99,2,0)</f>
        <v>64A4EE350CFAB211D0BA40A010B3FD05</v>
      </c>
      <c r="C991" s="170" t="s">
        <v>2767</v>
      </c>
      <c r="D991" s="170" t="s">
        <v>2768</v>
      </c>
      <c r="E991" s="171">
        <v>3</v>
      </c>
      <c r="F991" s="171">
        <v>3</v>
      </c>
      <c r="G991" s="170" t="s">
        <v>2775</v>
      </c>
      <c r="H991" s="170"/>
      <c r="I991" s="170"/>
      <c r="J991" s="170" t="s">
        <v>2776</v>
      </c>
      <c r="K991" s="170" t="s">
        <v>509</v>
      </c>
      <c r="L991" s="170" t="s">
        <v>2777</v>
      </c>
      <c r="M991" s="170" t="s">
        <v>509</v>
      </c>
      <c r="N991" s="170" t="s">
        <v>2777</v>
      </c>
      <c r="O991" s="170" t="s">
        <v>1883</v>
      </c>
    </row>
    <row r="992" spans="1:15">
      <c r="A992" s="63" t="s">
        <v>849</v>
      </c>
      <c r="B992" s="14" t="str">
        <f>VLOOKUP(O992,'护理记录单文书字典(数据)'!B$4:C$99,2,0)</f>
        <v>64A4EE350CFAB211D0BA40A010B3FD05</v>
      </c>
      <c r="C992" s="170" t="s">
        <v>2767</v>
      </c>
      <c r="D992" s="170" t="s">
        <v>2768</v>
      </c>
      <c r="E992" s="171">
        <v>4</v>
      </c>
      <c r="F992" s="171">
        <v>4</v>
      </c>
      <c r="G992" s="170" t="s">
        <v>1093</v>
      </c>
      <c r="H992" s="170"/>
      <c r="I992" s="170"/>
      <c r="J992" s="170" t="s">
        <v>2778</v>
      </c>
      <c r="K992" s="170" t="s">
        <v>509</v>
      </c>
      <c r="L992" s="170" t="s">
        <v>2779</v>
      </c>
      <c r="M992" s="170" t="s">
        <v>509</v>
      </c>
      <c r="N992" s="170" t="s">
        <v>2779</v>
      </c>
      <c r="O992" s="170" t="s">
        <v>1883</v>
      </c>
    </row>
    <row r="993" spans="1:15">
      <c r="A993" s="63" t="s">
        <v>849</v>
      </c>
      <c r="B993" s="14" t="str">
        <f>VLOOKUP(O993,'护理记录单文书字典(数据)'!B$4:C$99,2,0)</f>
        <v>64A4EE350CFAB211D0BA40A010B3FD05</v>
      </c>
      <c r="C993" s="170" t="s">
        <v>2780</v>
      </c>
      <c r="D993" s="170" t="s">
        <v>2781</v>
      </c>
      <c r="E993" s="171">
        <v>1</v>
      </c>
      <c r="F993" s="171">
        <v>1</v>
      </c>
      <c r="G993" s="170" t="s">
        <v>2782</v>
      </c>
      <c r="H993" s="170"/>
      <c r="I993" s="170"/>
      <c r="J993" s="170" t="s">
        <v>2783</v>
      </c>
      <c r="K993" s="170" t="s">
        <v>509</v>
      </c>
      <c r="L993" s="170" t="s">
        <v>2784</v>
      </c>
      <c r="M993" s="170" t="s">
        <v>509</v>
      </c>
      <c r="N993" s="170" t="s">
        <v>2784</v>
      </c>
      <c r="O993" s="170" t="s">
        <v>1883</v>
      </c>
    </row>
    <row r="994" spans="1:15">
      <c r="A994" s="63" t="s">
        <v>849</v>
      </c>
      <c r="B994" s="14" t="str">
        <f>VLOOKUP(O994,'护理记录单文书字典(数据)'!B$4:C$99,2,0)</f>
        <v>64A4EE350CFAB211D0BA40A010B3FD05</v>
      </c>
      <c r="C994" s="170" t="s">
        <v>2780</v>
      </c>
      <c r="D994" s="170" t="s">
        <v>2781</v>
      </c>
      <c r="E994" s="171">
        <v>2</v>
      </c>
      <c r="F994" s="171">
        <v>2</v>
      </c>
      <c r="G994" s="170" t="s">
        <v>2785</v>
      </c>
      <c r="H994" s="170"/>
      <c r="I994" s="170"/>
      <c r="J994" s="170" t="s">
        <v>2786</v>
      </c>
      <c r="K994" s="170" t="s">
        <v>509</v>
      </c>
      <c r="L994" s="170" t="s">
        <v>2787</v>
      </c>
      <c r="M994" s="170" t="s">
        <v>509</v>
      </c>
      <c r="N994" s="170" t="s">
        <v>2787</v>
      </c>
      <c r="O994" s="170" t="s">
        <v>1883</v>
      </c>
    </row>
    <row r="995" spans="1:15">
      <c r="A995" s="63" t="s">
        <v>849</v>
      </c>
      <c r="B995" s="14" t="str">
        <f>VLOOKUP(O995,'护理记录单文书字典(数据)'!B$4:C$99,2,0)</f>
        <v>64A4EE350CFAB211D0BA40A010B3FD05</v>
      </c>
      <c r="C995" s="170" t="s">
        <v>2780</v>
      </c>
      <c r="D995" s="170" t="s">
        <v>2781</v>
      </c>
      <c r="E995" s="171">
        <v>3</v>
      </c>
      <c r="F995" s="171">
        <v>3</v>
      </c>
      <c r="G995" s="170" t="s">
        <v>1093</v>
      </c>
      <c r="H995" s="170"/>
      <c r="I995" s="170"/>
      <c r="J995" s="170" t="s">
        <v>2788</v>
      </c>
      <c r="K995" s="170" t="s">
        <v>509</v>
      </c>
      <c r="L995" s="170" t="s">
        <v>2789</v>
      </c>
      <c r="M995" s="170" t="s">
        <v>509</v>
      </c>
      <c r="N995" s="170" t="s">
        <v>2789</v>
      </c>
      <c r="O995" s="170" t="s">
        <v>1883</v>
      </c>
    </row>
    <row r="996" spans="1:15">
      <c r="A996" s="63" t="s">
        <v>849</v>
      </c>
      <c r="B996" s="14" t="str">
        <f>VLOOKUP(O996,'护理记录单文书字典(数据)'!B$4:C$99,2,0)</f>
        <v>64A4EE350CFAB211D0BA40A010B3FD05</v>
      </c>
      <c r="C996" s="170" t="s">
        <v>2790</v>
      </c>
      <c r="D996" s="170" t="s">
        <v>2791</v>
      </c>
      <c r="E996" s="171">
        <v>1</v>
      </c>
      <c r="F996" s="171">
        <v>1</v>
      </c>
      <c r="G996" s="170" t="s">
        <v>2792</v>
      </c>
      <c r="H996" s="170"/>
      <c r="I996" s="170"/>
      <c r="J996" s="170" t="s">
        <v>2793</v>
      </c>
      <c r="K996" s="170" t="s">
        <v>509</v>
      </c>
      <c r="L996" s="170" t="s">
        <v>2794</v>
      </c>
      <c r="M996" s="170" t="s">
        <v>509</v>
      </c>
      <c r="N996" s="170" t="s">
        <v>2794</v>
      </c>
      <c r="O996" s="170" t="s">
        <v>1883</v>
      </c>
    </row>
    <row r="997" spans="1:15">
      <c r="A997" s="63" t="s">
        <v>849</v>
      </c>
      <c r="B997" s="14" t="str">
        <f>VLOOKUP(O997,'护理记录单文书字典(数据)'!B$4:C$99,2,0)</f>
        <v>64A4EE350CFAB211D0BA40A010B3FD05</v>
      </c>
      <c r="C997" s="170" t="s">
        <v>2790</v>
      </c>
      <c r="D997" s="170" t="s">
        <v>2791</v>
      </c>
      <c r="E997" s="171">
        <v>2</v>
      </c>
      <c r="F997" s="171">
        <v>2</v>
      </c>
      <c r="G997" s="170" t="s">
        <v>2795</v>
      </c>
      <c r="H997" s="170"/>
      <c r="I997" s="170"/>
      <c r="J997" s="170" t="s">
        <v>2796</v>
      </c>
      <c r="K997" s="170" t="s">
        <v>509</v>
      </c>
      <c r="L997" s="170" t="s">
        <v>2797</v>
      </c>
      <c r="M997" s="170" t="s">
        <v>509</v>
      </c>
      <c r="N997" s="170" t="s">
        <v>2797</v>
      </c>
      <c r="O997" s="170" t="s">
        <v>1883</v>
      </c>
    </row>
    <row r="998" spans="1:15">
      <c r="A998" s="63" t="s">
        <v>849</v>
      </c>
      <c r="B998" s="14" t="str">
        <f>VLOOKUP(O998,'护理记录单文书字典(数据)'!B$4:C$99,2,0)</f>
        <v>64A4EE350CFAB211D0BA40A010B3FD05</v>
      </c>
      <c r="C998" s="170" t="s">
        <v>2790</v>
      </c>
      <c r="D998" s="170" t="s">
        <v>2791</v>
      </c>
      <c r="E998" s="171">
        <v>3</v>
      </c>
      <c r="F998" s="171">
        <v>3</v>
      </c>
      <c r="G998" s="170" t="s">
        <v>2798</v>
      </c>
      <c r="H998" s="170"/>
      <c r="I998" s="170"/>
      <c r="J998" s="170" t="s">
        <v>2799</v>
      </c>
      <c r="K998" s="170" t="s">
        <v>509</v>
      </c>
      <c r="L998" s="170" t="s">
        <v>2800</v>
      </c>
      <c r="M998" s="170" t="s">
        <v>509</v>
      </c>
      <c r="N998" s="170" t="s">
        <v>2800</v>
      </c>
      <c r="O998" s="170" t="s">
        <v>2801</v>
      </c>
    </row>
    <row r="999" spans="1:15">
      <c r="A999" s="63" t="s">
        <v>849</v>
      </c>
      <c r="B999" s="14" t="str">
        <f>VLOOKUP(O999,'护理记录单文书字典(数据)'!B$4:C$99,2,0)</f>
        <v>64A4EE350CFAB211D0BA40A010B3FD05</v>
      </c>
      <c r="C999" s="170" t="s">
        <v>2802</v>
      </c>
      <c r="D999" s="170" t="s">
        <v>2803</v>
      </c>
      <c r="E999" s="171">
        <v>1</v>
      </c>
      <c r="F999" s="171">
        <v>1</v>
      </c>
      <c r="G999" s="170" t="s">
        <v>2804</v>
      </c>
      <c r="H999" s="170"/>
      <c r="I999" s="170"/>
      <c r="J999" s="170" t="s">
        <v>2805</v>
      </c>
      <c r="K999" s="170" t="s">
        <v>509</v>
      </c>
      <c r="L999" s="170" t="s">
        <v>2806</v>
      </c>
      <c r="M999" s="170" t="s">
        <v>509</v>
      </c>
      <c r="N999" s="170" t="s">
        <v>2806</v>
      </c>
      <c r="O999" s="170" t="s">
        <v>1883</v>
      </c>
    </row>
    <row r="1000" spans="1:15">
      <c r="A1000" s="63" t="s">
        <v>849</v>
      </c>
      <c r="B1000" s="14" t="str">
        <f>VLOOKUP(O1000,'护理记录单文书字典(数据)'!B$4:C$99,2,0)</f>
        <v>64A4EE350CFAB211D0BA40A010B3FD05</v>
      </c>
      <c r="C1000" s="170" t="s">
        <v>2802</v>
      </c>
      <c r="D1000" s="170" t="s">
        <v>2803</v>
      </c>
      <c r="E1000" s="171">
        <v>2</v>
      </c>
      <c r="F1000" s="171">
        <v>2</v>
      </c>
      <c r="G1000" s="170" t="s">
        <v>2807</v>
      </c>
      <c r="H1000" s="170"/>
      <c r="I1000" s="170"/>
      <c r="J1000" s="170" t="s">
        <v>2808</v>
      </c>
      <c r="K1000" s="170" t="s">
        <v>509</v>
      </c>
      <c r="L1000" s="170" t="s">
        <v>2809</v>
      </c>
      <c r="M1000" s="170" t="s">
        <v>509</v>
      </c>
      <c r="N1000" s="170" t="s">
        <v>2809</v>
      </c>
      <c r="O1000" s="170" t="s">
        <v>1883</v>
      </c>
    </row>
    <row r="1001" spans="1:15">
      <c r="A1001" s="63" t="s">
        <v>849</v>
      </c>
      <c r="B1001" s="14" t="str">
        <f>VLOOKUP(O1001,'护理记录单文书字典(数据)'!B$4:C$99,2,0)</f>
        <v>64A4EE350CFAB211D0BA40A010B3FD05</v>
      </c>
      <c r="C1001" s="170" t="s">
        <v>2802</v>
      </c>
      <c r="D1001" s="170" t="s">
        <v>2803</v>
      </c>
      <c r="E1001" s="171">
        <v>3</v>
      </c>
      <c r="F1001" s="171">
        <v>3</v>
      </c>
      <c r="G1001" s="170" t="s">
        <v>1093</v>
      </c>
      <c r="H1001" s="170"/>
      <c r="I1001" s="170"/>
      <c r="J1001" s="170" t="s">
        <v>2810</v>
      </c>
      <c r="K1001" s="170" t="s">
        <v>509</v>
      </c>
      <c r="L1001" s="170" t="s">
        <v>2811</v>
      </c>
      <c r="M1001" s="170" t="s">
        <v>509</v>
      </c>
      <c r="N1001" s="170" t="s">
        <v>2811</v>
      </c>
      <c r="O1001" s="170" t="s">
        <v>1883</v>
      </c>
    </row>
    <row r="1002" spans="1:15">
      <c r="A1002" s="63" t="s">
        <v>849</v>
      </c>
      <c r="B1002" s="14" t="str">
        <f>VLOOKUP(O1002,'护理记录单文书字典(数据)'!B$4:C$99,2,0)</f>
        <v>2EDFFD350CFAB211D8B7EBE7200C5C59</v>
      </c>
      <c r="C1002" s="75" t="s">
        <v>1897</v>
      </c>
      <c r="D1002" s="75" t="s">
        <v>1898</v>
      </c>
      <c r="E1002" s="92">
        <v>1</v>
      </c>
      <c r="F1002" s="92">
        <v>1</v>
      </c>
      <c r="G1002" s="75" t="s">
        <v>1096</v>
      </c>
      <c r="H1002" s="75"/>
      <c r="I1002" s="75"/>
      <c r="J1002" s="75" t="s">
        <v>162</v>
      </c>
      <c r="K1002" s="75" t="s">
        <v>509</v>
      </c>
      <c r="L1002" s="75" t="s">
        <v>535</v>
      </c>
      <c r="M1002" s="75" t="s">
        <v>509</v>
      </c>
      <c r="N1002" s="75" t="s">
        <v>535</v>
      </c>
      <c r="O1002" s="75" t="s">
        <v>1899</v>
      </c>
    </row>
    <row r="1003" spans="1:15">
      <c r="A1003" s="63" t="s">
        <v>849</v>
      </c>
      <c r="B1003" s="14" t="str">
        <f>VLOOKUP(O1003,'护理记录单文书字典(数据)'!B$4:C$99,2,0)</f>
        <v>2EDFFD350CFAB211D8B7EBE7200C5C59</v>
      </c>
      <c r="C1003" s="75" t="s">
        <v>1897</v>
      </c>
      <c r="D1003" s="75" t="s">
        <v>1898</v>
      </c>
      <c r="E1003" s="92">
        <v>2</v>
      </c>
      <c r="F1003" s="92">
        <v>2</v>
      </c>
      <c r="G1003" s="75" t="s">
        <v>1097</v>
      </c>
      <c r="H1003" s="75"/>
      <c r="I1003" s="75"/>
      <c r="J1003" s="75" t="s">
        <v>162</v>
      </c>
      <c r="K1003" s="75" t="s">
        <v>509</v>
      </c>
      <c r="L1003" s="75" t="s">
        <v>535</v>
      </c>
      <c r="M1003" s="75" t="s">
        <v>509</v>
      </c>
      <c r="N1003" s="75" t="s">
        <v>535</v>
      </c>
      <c r="O1003" s="75" t="s">
        <v>1899</v>
      </c>
    </row>
    <row r="1004" spans="1:15">
      <c r="A1004" s="63" t="s">
        <v>849</v>
      </c>
      <c r="B1004" s="14" t="str">
        <f>VLOOKUP(O1004,'护理记录单文书字典(数据)'!B$4:C$99,2,0)</f>
        <v>2EDFFD350CFAB211D8B7EBE7200C5C59</v>
      </c>
      <c r="C1004" s="75" t="s">
        <v>1897</v>
      </c>
      <c r="D1004" s="75" t="s">
        <v>1898</v>
      </c>
      <c r="E1004" s="92">
        <v>3</v>
      </c>
      <c r="F1004" s="92">
        <v>3</v>
      </c>
      <c r="G1004" s="75" t="s">
        <v>1900</v>
      </c>
      <c r="H1004" s="75"/>
      <c r="I1004" s="75"/>
      <c r="J1004" s="75" t="s">
        <v>162</v>
      </c>
      <c r="K1004" s="75" t="s">
        <v>509</v>
      </c>
      <c r="L1004" s="75" t="s">
        <v>535</v>
      </c>
      <c r="M1004" s="75" t="s">
        <v>509</v>
      </c>
      <c r="N1004" s="75" t="s">
        <v>535</v>
      </c>
      <c r="O1004" s="75" t="s">
        <v>1899</v>
      </c>
    </row>
    <row r="1005" spans="1:15">
      <c r="A1005" s="63" t="s">
        <v>849</v>
      </c>
      <c r="B1005" s="14" t="str">
        <f>VLOOKUP(O1005,'护理记录单文书字典(数据)'!B$4:C$99,2,0)</f>
        <v>2EDFFD350CFAB211D8B7EBE7200C5C59</v>
      </c>
      <c r="C1005" s="75" t="s">
        <v>1897</v>
      </c>
      <c r="D1005" s="75" t="s">
        <v>1898</v>
      </c>
      <c r="E1005" s="92">
        <v>4</v>
      </c>
      <c r="F1005" s="92">
        <v>4</v>
      </c>
      <c r="G1005" s="75" t="s">
        <v>1322</v>
      </c>
      <c r="H1005" s="75"/>
      <c r="I1005" s="75"/>
      <c r="J1005" s="75" t="s">
        <v>162</v>
      </c>
      <c r="K1005" s="75" t="s">
        <v>509</v>
      </c>
      <c r="L1005" s="75" t="s">
        <v>535</v>
      </c>
      <c r="M1005" s="75" t="s">
        <v>509</v>
      </c>
      <c r="N1005" s="75" t="s">
        <v>535</v>
      </c>
      <c r="O1005" s="75" t="s">
        <v>1899</v>
      </c>
    </row>
    <row r="1006" spans="1:15">
      <c r="A1006" s="63" t="s">
        <v>849</v>
      </c>
      <c r="B1006" s="14" t="str">
        <f>VLOOKUP(O1006,'护理记录单文书字典(数据)'!B$4:C$99,2,0)</f>
        <v>2EDFFD350CFAB211D8B7EBE7200C5C59</v>
      </c>
      <c r="C1006" s="75" t="s">
        <v>1212</v>
      </c>
      <c r="D1006" s="75" t="s">
        <v>1901</v>
      </c>
      <c r="E1006" s="92">
        <v>1</v>
      </c>
      <c r="F1006" s="92">
        <v>1</v>
      </c>
      <c r="G1006" s="75" t="s">
        <v>1096</v>
      </c>
      <c r="H1006" s="75"/>
      <c r="I1006" s="75"/>
      <c r="J1006" s="75" t="s">
        <v>162</v>
      </c>
      <c r="K1006" s="75" t="s">
        <v>509</v>
      </c>
      <c r="L1006" s="75" t="s">
        <v>535</v>
      </c>
      <c r="M1006" s="75" t="s">
        <v>509</v>
      </c>
      <c r="N1006" s="75" t="s">
        <v>535</v>
      </c>
      <c r="O1006" s="75" t="s">
        <v>1899</v>
      </c>
    </row>
    <row r="1007" spans="1:15">
      <c r="A1007" s="63" t="s">
        <v>849</v>
      </c>
      <c r="B1007" s="14" t="str">
        <f>VLOOKUP(O1007,'护理记录单文书字典(数据)'!B$4:C$99,2,0)</f>
        <v>2EDFFD350CFAB211D8B7EBE7200C5C59</v>
      </c>
      <c r="C1007" s="75" t="s">
        <v>1212</v>
      </c>
      <c r="D1007" s="75" t="s">
        <v>1901</v>
      </c>
      <c r="E1007" s="92">
        <v>2</v>
      </c>
      <c r="F1007" s="92">
        <v>2</v>
      </c>
      <c r="G1007" s="75" t="s">
        <v>1902</v>
      </c>
      <c r="H1007" s="75"/>
      <c r="I1007" s="75"/>
      <c r="J1007" s="75" t="s">
        <v>162</v>
      </c>
      <c r="K1007" s="75" t="s">
        <v>509</v>
      </c>
      <c r="L1007" s="75" t="s">
        <v>535</v>
      </c>
      <c r="M1007" s="75" t="s">
        <v>509</v>
      </c>
      <c r="N1007" s="75" t="s">
        <v>535</v>
      </c>
      <c r="O1007" s="75" t="s">
        <v>1899</v>
      </c>
    </row>
    <row r="1008" spans="1:15">
      <c r="A1008" s="63" t="s">
        <v>849</v>
      </c>
      <c r="B1008" s="14" t="str">
        <f>VLOOKUP(O1008,'护理记录单文书字典(数据)'!B$4:C$99,2,0)</f>
        <v>2EDFFD350CFAB211D8B7EBE7200C5C59</v>
      </c>
      <c r="C1008" s="75" t="s">
        <v>1212</v>
      </c>
      <c r="D1008" s="75" t="s">
        <v>1901</v>
      </c>
      <c r="E1008" s="92">
        <v>3</v>
      </c>
      <c r="F1008" s="92">
        <v>3</v>
      </c>
      <c r="G1008" s="75" t="s">
        <v>1903</v>
      </c>
      <c r="H1008" s="75"/>
      <c r="I1008" s="75"/>
      <c r="J1008" s="75" t="s">
        <v>162</v>
      </c>
      <c r="K1008" s="75" t="s">
        <v>509</v>
      </c>
      <c r="L1008" s="75" t="s">
        <v>535</v>
      </c>
      <c r="M1008" s="75" t="s">
        <v>509</v>
      </c>
      <c r="N1008" s="75" t="s">
        <v>535</v>
      </c>
      <c r="O1008" s="75" t="s">
        <v>1899</v>
      </c>
    </row>
    <row r="1009" spans="1:15">
      <c r="A1009" s="63" t="s">
        <v>849</v>
      </c>
      <c r="B1009" s="14" t="str">
        <f>VLOOKUP(O1009,'护理记录单文书字典(数据)'!B$4:C$99,2,0)</f>
        <v>2EDFFD350CFAB211D8B7EBE7200C5C59</v>
      </c>
      <c r="C1009" s="75" t="s">
        <v>1212</v>
      </c>
      <c r="D1009" s="75" t="s">
        <v>1901</v>
      </c>
      <c r="E1009" s="92">
        <v>4</v>
      </c>
      <c r="F1009" s="92">
        <v>4</v>
      </c>
      <c r="G1009" s="75" t="s">
        <v>1808</v>
      </c>
      <c r="H1009" s="75"/>
      <c r="I1009" s="75"/>
      <c r="J1009" s="75" t="s">
        <v>162</v>
      </c>
      <c r="K1009" s="75" t="s">
        <v>509</v>
      </c>
      <c r="L1009" s="75" t="s">
        <v>535</v>
      </c>
      <c r="M1009" s="75" t="s">
        <v>509</v>
      </c>
      <c r="N1009" s="75" t="s">
        <v>535</v>
      </c>
      <c r="O1009" s="75" t="s">
        <v>1899</v>
      </c>
    </row>
    <row r="1010" spans="1:15">
      <c r="A1010" s="63" t="s">
        <v>849</v>
      </c>
      <c r="B1010" s="14" t="str">
        <f>VLOOKUP(O1010,'护理记录单文书字典(数据)'!B$4:C$99,2,0)</f>
        <v>2EDFFD350CFAB211D8B7EBE7200C5C59</v>
      </c>
      <c r="C1010" s="75" t="s">
        <v>1904</v>
      </c>
      <c r="D1010" s="161" t="s">
        <v>1905</v>
      </c>
      <c r="E1010" s="92">
        <v>1</v>
      </c>
      <c r="F1010" s="92">
        <v>1</v>
      </c>
      <c r="G1010" s="75" t="s">
        <v>1906</v>
      </c>
      <c r="H1010" s="75"/>
      <c r="I1010" s="75"/>
      <c r="J1010" s="75" t="s">
        <v>162</v>
      </c>
      <c r="K1010" s="75" t="s">
        <v>509</v>
      </c>
      <c r="L1010" s="75" t="s">
        <v>535</v>
      </c>
      <c r="M1010" s="75" t="s">
        <v>509</v>
      </c>
      <c r="N1010" s="75" t="s">
        <v>535</v>
      </c>
      <c r="O1010" s="75" t="s">
        <v>1899</v>
      </c>
    </row>
    <row r="1011" spans="1:15">
      <c r="A1011" s="63" t="s">
        <v>849</v>
      </c>
      <c r="B1011" s="14" t="str">
        <f>VLOOKUP(O1011,'护理记录单文书字典(数据)'!B$4:C$99,2,0)</f>
        <v>2EDFFD350CFAB211D8B7EBE7200C5C59</v>
      </c>
      <c r="C1011" s="75" t="s">
        <v>1904</v>
      </c>
      <c r="D1011" s="161" t="s">
        <v>1905</v>
      </c>
      <c r="E1011" s="92">
        <v>2</v>
      </c>
      <c r="F1011" s="92">
        <v>2</v>
      </c>
      <c r="G1011" s="75" t="s">
        <v>1907</v>
      </c>
      <c r="H1011" s="75"/>
      <c r="I1011" s="75"/>
      <c r="J1011" s="75" t="s">
        <v>162</v>
      </c>
      <c r="K1011" s="75" t="s">
        <v>509</v>
      </c>
      <c r="L1011" s="75" t="s">
        <v>535</v>
      </c>
      <c r="M1011" s="75" t="s">
        <v>509</v>
      </c>
      <c r="N1011" s="75" t="s">
        <v>535</v>
      </c>
      <c r="O1011" s="75" t="s">
        <v>1899</v>
      </c>
    </row>
    <row r="1012" spans="1:15">
      <c r="A1012" s="63" t="s">
        <v>849</v>
      </c>
      <c r="B1012" s="14" t="str">
        <f>VLOOKUP(O1012,'护理记录单文书字典(数据)'!B$4:C$99,2,0)</f>
        <v>2EDFFD350CFAB211D8B7EBE7200C5C59</v>
      </c>
      <c r="C1012" s="75" t="s">
        <v>1904</v>
      </c>
      <c r="D1012" s="161" t="s">
        <v>1905</v>
      </c>
      <c r="E1012" s="92">
        <v>3</v>
      </c>
      <c r="F1012" s="92">
        <v>3</v>
      </c>
      <c r="G1012" s="75" t="s">
        <v>975</v>
      </c>
      <c r="H1012" s="75"/>
      <c r="I1012" s="75"/>
      <c r="J1012" s="75" t="s">
        <v>162</v>
      </c>
      <c r="K1012" s="75" t="s">
        <v>509</v>
      </c>
      <c r="L1012" s="75" t="s">
        <v>535</v>
      </c>
      <c r="M1012" s="75" t="s">
        <v>509</v>
      </c>
      <c r="N1012" s="75" t="s">
        <v>535</v>
      </c>
      <c r="O1012" s="75" t="s">
        <v>1899</v>
      </c>
    </row>
    <row r="1013" spans="1:15">
      <c r="A1013" s="63" t="s">
        <v>849</v>
      </c>
      <c r="B1013" s="14" t="str">
        <f>VLOOKUP(O1013,'护理记录单文书字典(数据)'!B$4:C$99,2,0)</f>
        <v>2EDFFD350CFAB211D8B7EBE7200C5C59</v>
      </c>
      <c r="C1013" s="75" t="s">
        <v>1904</v>
      </c>
      <c r="D1013" s="161" t="s">
        <v>1905</v>
      </c>
      <c r="E1013" s="92">
        <v>4</v>
      </c>
      <c r="F1013" s="92">
        <v>4</v>
      </c>
      <c r="G1013" s="75" t="s">
        <v>1093</v>
      </c>
      <c r="H1013" s="75"/>
      <c r="I1013" s="75"/>
      <c r="J1013" s="75" t="s">
        <v>162</v>
      </c>
      <c r="K1013" s="75" t="s">
        <v>509</v>
      </c>
      <c r="L1013" s="75" t="s">
        <v>535</v>
      </c>
      <c r="M1013" s="75" t="s">
        <v>509</v>
      </c>
      <c r="N1013" s="75" t="s">
        <v>535</v>
      </c>
      <c r="O1013" s="75" t="s">
        <v>1899</v>
      </c>
    </row>
    <row r="1014" spans="1:15">
      <c r="A1014" s="63" t="s">
        <v>849</v>
      </c>
      <c r="B1014" s="14" t="str">
        <f>VLOOKUP(O1014,'护理记录单文书字典(数据)'!B$4:C$99,2,0)</f>
        <v>2EDFFD350CFAB211D8B7EBE7200C5C59</v>
      </c>
      <c r="C1014" s="75" t="s">
        <v>1908</v>
      </c>
      <c r="D1014" s="75" t="s">
        <v>1909</v>
      </c>
      <c r="E1014" s="92">
        <v>1</v>
      </c>
      <c r="F1014" s="92">
        <v>1</v>
      </c>
      <c r="G1014" s="75" t="s">
        <v>1910</v>
      </c>
      <c r="H1014" s="75"/>
      <c r="I1014" s="75"/>
      <c r="J1014" s="75" t="s">
        <v>162</v>
      </c>
      <c r="K1014" s="75" t="s">
        <v>509</v>
      </c>
      <c r="L1014" s="75" t="s">
        <v>535</v>
      </c>
      <c r="M1014" s="75" t="s">
        <v>509</v>
      </c>
      <c r="N1014" s="75" t="s">
        <v>535</v>
      </c>
      <c r="O1014" s="75" t="s">
        <v>1899</v>
      </c>
    </row>
    <row r="1015" spans="1:15">
      <c r="A1015" s="63" t="s">
        <v>849</v>
      </c>
      <c r="B1015" s="14" t="str">
        <f>VLOOKUP(O1015,'护理记录单文书字典(数据)'!B$4:C$99,2,0)</f>
        <v>2EDFFD350CFAB211D8B7EBE7200C5C59</v>
      </c>
      <c r="C1015" s="75" t="s">
        <v>1908</v>
      </c>
      <c r="D1015" s="75" t="s">
        <v>1909</v>
      </c>
      <c r="E1015" s="92">
        <v>2</v>
      </c>
      <c r="F1015" s="92">
        <v>2</v>
      </c>
      <c r="G1015" s="75" t="s">
        <v>1911</v>
      </c>
      <c r="H1015" s="75"/>
      <c r="I1015" s="75"/>
      <c r="J1015" s="75" t="s">
        <v>162</v>
      </c>
      <c r="K1015" s="75" t="s">
        <v>509</v>
      </c>
      <c r="L1015" s="75" t="s">
        <v>535</v>
      </c>
      <c r="M1015" s="75" t="s">
        <v>509</v>
      </c>
      <c r="N1015" s="75" t="s">
        <v>535</v>
      </c>
      <c r="O1015" s="75" t="s">
        <v>1899</v>
      </c>
    </row>
    <row r="1016" spans="1:15">
      <c r="A1016" s="63" t="s">
        <v>849</v>
      </c>
      <c r="B1016" s="14" t="str">
        <f>VLOOKUP(O1016,'护理记录单文书字典(数据)'!B$4:C$99,2,0)</f>
        <v>2EDFFD350CFAB211D8B7EBE7200C5C59</v>
      </c>
      <c r="C1016" s="75" t="s">
        <v>1908</v>
      </c>
      <c r="D1016" s="75" t="s">
        <v>1909</v>
      </c>
      <c r="E1016" s="92">
        <v>3</v>
      </c>
      <c r="F1016" s="92">
        <v>3</v>
      </c>
      <c r="G1016" s="75" t="s">
        <v>1912</v>
      </c>
      <c r="H1016" s="75"/>
      <c r="I1016" s="75"/>
      <c r="J1016" s="75" t="s">
        <v>162</v>
      </c>
      <c r="K1016" s="75" t="s">
        <v>509</v>
      </c>
      <c r="L1016" s="75" t="s">
        <v>535</v>
      </c>
      <c r="M1016" s="75" t="s">
        <v>509</v>
      </c>
      <c r="N1016" s="75" t="s">
        <v>535</v>
      </c>
      <c r="O1016" s="75" t="s">
        <v>1899</v>
      </c>
    </row>
    <row r="1017" spans="1:15">
      <c r="A1017" s="63" t="s">
        <v>849</v>
      </c>
      <c r="B1017" s="14" t="str">
        <f>VLOOKUP(O1017,'护理记录单文书字典(数据)'!B$4:C$99,2,0)</f>
        <v>2EDFFD350CFAB211D8B7EBE7200C5C59</v>
      </c>
      <c r="C1017" s="75" t="s">
        <v>1913</v>
      </c>
      <c r="D1017" s="75" t="s">
        <v>1914</v>
      </c>
      <c r="E1017" s="92">
        <v>1</v>
      </c>
      <c r="F1017" s="92">
        <v>1</v>
      </c>
      <c r="G1017" s="75" t="s">
        <v>1915</v>
      </c>
      <c r="H1017" s="75"/>
      <c r="I1017" s="75"/>
      <c r="J1017" s="75" t="s">
        <v>162</v>
      </c>
      <c r="K1017" s="75" t="s">
        <v>509</v>
      </c>
      <c r="L1017" s="75" t="s">
        <v>535</v>
      </c>
      <c r="M1017" s="75" t="s">
        <v>509</v>
      </c>
      <c r="N1017" s="75" t="s">
        <v>535</v>
      </c>
      <c r="O1017" s="75" t="s">
        <v>1899</v>
      </c>
    </row>
    <row r="1018" spans="1:15">
      <c r="A1018" s="63" t="s">
        <v>849</v>
      </c>
      <c r="B1018" s="14" t="str">
        <f>VLOOKUP(O1018,'护理记录单文书字典(数据)'!B$4:C$99,2,0)</f>
        <v>2EDFFD350CFAB211D8B7EBE7200C5C59</v>
      </c>
      <c r="C1018" s="75" t="s">
        <v>1913</v>
      </c>
      <c r="D1018" s="75" t="s">
        <v>1914</v>
      </c>
      <c r="E1018" s="92">
        <v>2</v>
      </c>
      <c r="F1018" s="92">
        <v>2</v>
      </c>
      <c r="G1018" s="75" t="s">
        <v>1916</v>
      </c>
      <c r="H1018" s="75"/>
      <c r="I1018" s="75"/>
      <c r="J1018" s="75" t="s">
        <v>162</v>
      </c>
      <c r="K1018" s="75" t="s">
        <v>509</v>
      </c>
      <c r="L1018" s="75" t="s">
        <v>535</v>
      </c>
      <c r="M1018" s="75" t="s">
        <v>509</v>
      </c>
      <c r="N1018" s="75" t="s">
        <v>535</v>
      </c>
      <c r="O1018" s="75" t="s">
        <v>1899</v>
      </c>
    </row>
    <row r="1019" spans="1:15">
      <c r="A1019" s="63" t="s">
        <v>849</v>
      </c>
      <c r="B1019" s="14" t="str">
        <f>VLOOKUP(O1019,'护理记录单文书字典(数据)'!B$4:C$99,2,0)</f>
        <v>2EDFFD350CFAB211D8B7EBE7200C5C59</v>
      </c>
      <c r="C1019" s="75" t="s">
        <v>1913</v>
      </c>
      <c r="D1019" s="75" t="s">
        <v>1914</v>
      </c>
      <c r="E1019" s="92">
        <v>3</v>
      </c>
      <c r="F1019" s="92">
        <v>3</v>
      </c>
      <c r="G1019" s="75" t="s">
        <v>1917</v>
      </c>
      <c r="H1019" s="75"/>
      <c r="I1019" s="75"/>
      <c r="J1019" s="75" t="s">
        <v>162</v>
      </c>
      <c r="K1019" s="75" t="s">
        <v>509</v>
      </c>
      <c r="L1019" s="75" t="s">
        <v>535</v>
      </c>
      <c r="M1019" s="75" t="s">
        <v>509</v>
      </c>
      <c r="N1019" s="75" t="s">
        <v>535</v>
      </c>
      <c r="O1019" s="75" t="s">
        <v>1899</v>
      </c>
    </row>
    <row r="1020" spans="1:15">
      <c r="A1020" s="63" t="s">
        <v>849</v>
      </c>
      <c r="B1020" s="14" t="str">
        <f>VLOOKUP(O1020,'护理记录单文书字典(数据)'!B$4:C$99,2,0)</f>
        <v>2EDFFD350CFAB211D8B7EBE7200C5C59</v>
      </c>
      <c r="C1020" s="75" t="s">
        <v>1918</v>
      </c>
      <c r="D1020" s="75" t="s">
        <v>1919</v>
      </c>
      <c r="E1020" s="92">
        <v>1</v>
      </c>
      <c r="F1020" s="92">
        <v>1</v>
      </c>
      <c r="G1020" s="75" t="s">
        <v>1920</v>
      </c>
      <c r="H1020" s="75"/>
      <c r="I1020" s="75"/>
      <c r="J1020" s="75" t="s">
        <v>162</v>
      </c>
      <c r="K1020" s="75" t="s">
        <v>509</v>
      </c>
      <c r="L1020" s="75" t="s">
        <v>535</v>
      </c>
      <c r="M1020" s="75" t="s">
        <v>509</v>
      </c>
      <c r="N1020" s="75" t="s">
        <v>535</v>
      </c>
      <c r="O1020" s="75" t="s">
        <v>1899</v>
      </c>
    </row>
    <row r="1021" spans="1:15">
      <c r="A1021" s="63" t="s">
        <v>849</v>
      </c>
      <c r="B1021" s="14" t="str">
        <f>VLOOKUP(O1021,'护理记录单文书字典(数据)'!B$4:C$99,2,0)</f>
        <v>2EDFFD350CFAB211D8B7EBE7200C5C59</v>
      </c>
      <c r="C1021" s="75" t="s">
        <v>1918</v>
      </c>
      <c r="D1021" s="75" t="s">
        <v>1919</v>
      </c>
      <c r="E1021" s="92">
        <v>2</v>
      </c>
      <c r="F1021" s="92">
        <v>2</v>
      </c>
      <c r="G1021" s="75" t="s">
        <v>982</v>
      </c>
      <c r="H1021" s="75"/>
      <c r="I1021" s="75"/>
      <c r="J1021" s="75" t="s">
        <v>162</v>
      </c>
      <c r="K1021" s="75" t="s">
        <v>509</v>
      </c>
      <c r="L1021" s="75" t="s">
        <v>535</v>
      </c>
      <c r="M1021" s="75" t="s">
        <v>509</v>
      </c>
      <c r="N1021" s="75" t="s">
        <v>535</v>
      </c>
      <c r="O1021" s="75" t="s">
        <v>1899</v>
      </c>
    </row>
    <row r="1022" spans="1:15">
      <c r="A1022" s="63" t="s">
        <v>849</v>
      </c>
      <c r="B1022" s="14" t="str">
        <f>VLOOKUP(O1022,'护理记录单文书字典(数据)'!B$4:C$99,2,0)</f>
        <v>2EDFFD350CFAB211D8B7EBE7200C5C59</v>
      </c>
      <c r="C1022" s="75" t="s">
        <v>1918</v>
      </c>
      <c r="D1022" s="75" t="s">
        <v>1919</v>
      </c>
      <c r="E1022" s="92">
        <v>3</v>
      </c>
      <c r="F1022" s="92">
        <v>3</v>
      </c>
      <c r="G1022" s="75" t="s">
        <v>983</v>
      </c>
      <c r="H1022" s="75"/>
      <c r="I1022" s="75"/>
      <c r="J1022" s="75" t="s">
        <v>162</v>
      </c>
      <c r="K1022" s="75" t="s">
        <v>509</v>
      </c>
      <c r="L1022" s="75" t="s">
        <v>535</v>
      </c>
      <c r="M1022" s="75" t="s">
        <v>509</v>
      </c>
      <c r="N1022" s="75" t="s">
        <v>535</v>
      </c>
      <c r="O1022" s="75" t="s">
        <v>1899</v>
      </c>
    </row>
    <row r="1023" spans="1:15">
      <c r="A1023" s="63" t="s">
        <v>849</v>
      </c>
      <c r="B1023" s="14" t="str">
        <f>VLOOKUP(O1023,'护理记录单文书字典(数据)'!B$4:C$99,2,0)</f>
        <v>2EDFFD350CFAB211D8B7EBE7200C5C59</v>
      </c>
      <c r="C1023" s="75" t="s">
        <v>1921</v>
      </c>
      <c r="D1023" s="75" t="s">
        <v>1922</v>
      </c>
      <c r="E1023" s="92">
        <v>1</v>
      </c>
      <c r="F1023" s="92">
        <v>1</v>
      </c>
      <c r="G1023" s="75" t="s">
        <v>1923</v>
      </c>
      <c r="H1023" s="75"/>
      <c r="I1023" s="75"/>
      <c r="J1023" s="75" t="s">
        <v>162</v>
      </c>
      <c r="K1023" s="75" t="s">
        <v>509</v>
      </c>
      <c r="L1023" s="75" t="s">
        <v>535</v>
      </c>
      <c r="M1023" s="75" t="s">
        <v>509</v>
      </c>
      <c r="N1023" s="75" t="s">
        <v>535</v>
      </c>
      <c r="O1023" s="75" t="s">
        <v>1899</v>
      </c>
    </row>
    <row r="1024" spans="1:15">
      <c r="A1024" s="63" t="s">
        <v>849</v>
      </c>
      <c r="B1024" s="14" t="str">
        <f>VLOOKUP(O1024,'护理记录单文书字典(数据)'!B$4:C$99,2,0)</f>
        <v>2EDFFD350CFAB211D8B7EBE7200C5C59</v>
      </c>
      <c r="C1024" s="75" t="s">
        <v>1921</v>
      </c>
      <c r="D1024" s="75" t="s">
        <v>1922</v>
      </c>
      <c r="E1024" s="92">
        <v>2</v>
      </c>
      <c r="F1024" s="92">
        <v>2</v>
      </c>
      <c r="G1024" s="75" t="s">
        <v>1924</v>
      </c>
      <c r="H1024" s="75"/>
      <c r="I1024" s="75"/>
      <c r="J1024" s="75" t="s">
        <v>162</v>
      </c>
      <c r="K1024" s="75" t="s">
        <v>509</v>
      </c>
      <c r="L1024" s="75" t="s">
        <v>535</v>
      </c>
      <c r="M1024" s="75" t="s">
        <v>509</v>
      </c>
      <c r="N1024" s="75" t="s">
        <v>535</v>
      </c>
      <c r="O1024" s="75" t="s">
        <v>1899</v>
      </c>
    </row>
    <row r="1025" spans="1:15">
      <c r="A1025" s="63" t="s">
        <v>849</v>
      </c>
      <c r="B1025" s="14" t="str">
        <f>VLOOKUP(O1025,'护理记录单文书字典(数据)'!B$4:C$99,2,0)</f>
        <v>2EDFFD350CFAB211D8B7EBE7200C5C59</v>
      </c>
      <c r="C1025" s="75" t="s">
        <v>1925</v>
      </c>
      <c r="D1025" s="75" t="s">
        <v>1926</v>
      </c>
      <c r="E1025" s="92">
        <v>1</v>
      </c>
      <c r="F1025" s="92">
        <v>1</v>
      </c>
      <c r="G1025" s="75" t="s">
        <v>1927</v>
      </c>
      <c r="H1025" s="75"/>
      <c r="I1025" s="75"/>
      <c r="J1025" s="75" t="s">
        <v>162</v>
      </c>
      <c r="K1025" s="75" t="s">
        <v>509</v>
      </c>
      <c r="L1025" s="75" t="s">
        <v>535</v>
      </c>
      <c r="M1025" s="75" t="s">
        <v>509</v>
      </c>
      <c r="N1025" s="75" t="s">
        <v>535</v>
      </c>
      <c r="O1025" s="75" t="s">
        <v>1899</v>
      </c>
    </row>
    <row r="1026" spans="1:15">
      <c r="A1026" s="63" t="s">
        <v>849</v>
      </c>
      <c r="B1026" s="14" t="str">
        <f>VLOOKUP(O1026,'护理记录单文书字典(数据)'!B$4:C$99,2,0)</f>
        <v>2EDFFD350CFAB211D8B7EBE7200C5C59</v>
      </c>
      <c r="C1026" s="75" t="s">
        <v>1925</v>
      </c>
      <c r="D1026" s="75" t="s">
        <v>1926</v>
      </c>
      <c r="E1026" s="92">
        <v>2</v>
      </c>
      <c r="F1026" s="92">
        <v>2</v>
      </c>
      <c r="G1026" s="75" t="s">
        <v>982</v>
      </c>
      <c r="H1026" s="75"/>
      <c r="I1026" s="75"/>
      <c r="J1026" s="75" t="s">
        <v>162</v>
      </c>
      <c r="K1026" s="75" t="s">
        <v>509</v>
      </c>
      <c r="L1026" s="75" t="s">
        <v>535</v>
      </c>
      <c r="M1026" s="75" t="s">
        <v>509</v>
      </c>
      <c r="N1026" s="75" t="s">
        <v>535</v>
      </c>
      <c r="O1026" s="75" t="s">
        <v>1899</v>
      </c>
    </row>
    <row r="1027" spans="1:15">
      <c r="A1027" s="63" t="s">
        <v>849</v>
      </c>
      <c r="B1027" s="14" t="str">
        <f>VLOOKUP(O1027,'护理记录单文书字典(数据)'!B$4:C$99,2,0)</f>
        <v>2EDFFD350CFAB211D8B7EBE7200C5C59</v>
      </c>
      <c r="C1027" s="75" t="s">
        <v>1925</v>
      </c>
      <c r="D1027" s="75" t="s">
        <v>1926</v>
      </c>
      <c r="E1027" s="92">
        <v>3</v>
      </c>
      <c r="F1027" s="92">
        <v>3</v>
      </c>
      <c r="G1027" s="75" t="s">
        <v>1928</v>
      </c>
      <c r="H1027" s="75"/>
      <c r="I1027" s="75"/>
      <c r="J1027" s="75" t="s">
        <v>162</v>
      </c>
      <c r="K1027" s="75" t="s">
        <v>509</v>
      </c>
      <c r="L1027" s="75" t="s">
        <v>535</v>
      </c>
      <c r="M1027" s="75" t="s">
        <v>509</v>
      </c>
      <c r="N1027" s="75" t="s">
        <v>535</v>
      </c>
      <c r="O1027" s="75" t="s">
        <v>1899</v>
      </c>
    </row>
    <row r="1028" spans="1:15">
      <c r="A1028" s="63" t="s">
        <v>849</v>
      </c>
      <c r="B1028" s="14" t="str">
        <f>VLOOKUP(O1028,'护理记录单文书字典(数据)'!B$4:C$99,2,0)</f>
        <v>2EDFFD350CFAB211D8B7EBE7200C5C59</v>
      </c>
      <c r="C1028" s="75" t="s">
        <v>1929</v>
      </c>
      <c r="D1028" s="75" t="s">
        <v>1930</v>
      </c>
      <c r="E1028" s="92">
        <v>1</v>
      </c>
      <c r="F1028" s="92">
        <v>1</v>
      </c>
      <c r="G1028" s="75" t="s">
        <v>192</v>
      </c>
      <c r="H1028" s="75"/>
      <c r="I1028" s="75"/>
      <c r="J1028" s="75" t="s">
        <v>162</v>
      </c>
      <c r="K1028" s="75" t="s">
        <v>509</v>
      </c>
      <c r="L1028" s="75" t="s">
        <v>535</v>
      </c>
      <c r="M1028" s="75" t="s">
        <v>509</v>
      </c>
      <c r="N1028" s="75" t="s">
        <v>535</v>
      </c>
      <c r="O1028" s="75" t="s">
        <v>1899</v>
      </c>
    </row>
    <row r="1029" spans="1:15">
      <c r="A1029" s="63" t="s">
        <v>849</v>
      </c>
      <c r="B1029" s="14" t="str">
        <f>VLOOKUP(O1029,'护理记录单文书字典(数据)'!B$4:C$99,2,0)</f>
        <v>2EDFFD350CFAB211D8B7EBE7200C5C59</v>
      </c>
      <c r="C1029" s="75" t="s">
        <v>1929</v>
      </c>
      <c r="D1029" s="75" t="s">
        <v>1930</v>
      </c>
      <c r="E1029" s="92">
        <v>2</v>
      </c>
      <c r="F1029" s="92">
        <v>2</v>
      </c>
      <c r="G1029" s="75" t="s">
        <v>191</v>
      </c>
      <c r="H1029" s="75"/>
      <c r="I1029" s="75"/>
      <c r="J1029" s="75" t="s">
        <v>162</v>
      </c>
      <c r="K1029" s="75" t="s">
        <v>509</v>
      </c>
      <c r="L1029" s="75" t="s">
        <v>535</v>
      </c>
      <c r="M1029" s="75" t="s">
        <v>509</v>
      </c>
      <c r="N1029" s="75" t="s">
        <v>535</v>
      </c>
      <c r="O1029" s="75" t="s">
        <v>1899</v>
      </c>
    </row>
    <row r="1030" spans="1:15">
      <c r="A1030" s="63" t="s">
        <v>849</v>
      </c>
      <c r="B1030" s="14" t="str">
        <f>VLOOKUP(O1030,'护理记录单文书字典(数据)'!B$4:C$99,2,0)</f>
        <v>2EDFFD350CFAB211D8B7EBE7200C5C59</v>
      </c>
      <c r="C1030" s="75" t="s">
        <v>1931</v>
      </c>
      <c r="D1030" s="75" t="s">
        <v>1932</v>
      </c>
      <c r="E1030" s="92">
        <v>1</v>
      </c>
      <c r="F1030" s="92">
        <v>1</v>
      </c>
      <c r="G1030" s="75" t="s">
        <v>1933</v>
      </c>
      <c r="H1030" s="75"/>
      <c r="I1030" s="75"/>
      <c r="J1030" s="75" t="s">
        <v>162</v>
      </c>
      <c r="K1030" s="75" t="s">
        <v>509</v>
      </c>
      <c r="L1030" s="75" t="s">
        <v>535</v>
      </c>
      <c r="M1030" s="75" t="s">
        <v>509</v>
      </c>
      <c r="N1030" s="75" t="s">
        <v>535</v>
      </c>
      <c r="O1030" s="75" t="s">
        <v>1899</v>
      </c>
    </row>
    <row r="1031" spans="1:15">
      <c r="A1031" s="63" t="s">
        <v>849</v>
      </c>
      <c r="B1031" s="14" t="str">
        <f>VLOOKUP(O1031,'护理记录单文书字典(数据)'!B$4:C$99,2,0)</f>
        <v>2EDFFD350CFAB211D8B7EBE7200C5C59</v>
      </c>
      <c r="C1031" s="75" t="s">
        <v>1931</v>
      </c>
      <c r="D1031" s="75" t="s">
        <v>1932</v>
      </c>
      <c r="E1031" s="92">
        <v>2</v>
      </c>
      <c r="F1031" s="92">
        <v>2</v>
      </c>
      <c r="G1031" s="75" t="s">
        <v>1934</v>
      </c>
      <c r="H1031" s="75"/>
      <c r="I1031" s="75"/>
      <c r="J1031" s="75" t="s">
        <v>162</v>
      </c>
      <c r="K1031" s="75" t="s">
        <v>509</v>
      </c>
      <c r="L1031" s="75" t="s">
        <v>535</v>
      </c>
      <c r="M1031" s="75" t="s">
        <v>509</v>
      </c>
      <c r="N1031" s="75" t="s">
        <v>535</v>
      </c>
      <c r="O1031" s="75" t="s">
        <v>1899</v>
      </c>
    </row>
    <row r="1032" spans="1:15">
      <c r="A1032" s="63" t="s">
        <v>849</v>
      </c>
      <c r="B1032" s="14" t="str">
        <f>VLOOKUP(O1032,'护理记录单文书字典(数据)'!B$4:C$99,2,0)</f>
        <v>2EDFFD350CFAB211D8B7EBE7200C5C59</v>
      </c>
      <c r="C1032" s="75" t="s">
        <v>1931</v>
      </c>
      <c r="D1032" s="75" t="s">
        <v>1932</v>
      </c>
      <c r="E1032" s="92">
        <v>3</v>
      </c>
      <c r="F1032" s="92">
        <v>3</v>
      </c>
      <c r="G1032" s="75" t="s">
        <v>1935</v>
      </c>
      <c r="H1032" s="75"/>
      <c r="I1032" s="75"/>
      <c r="J1032" s="75" t="s">
        <v>162</v>
      </c>
      <c r="K1032" s="75" t="s">
        <v>509</v>
      </c>
      <c r="L1032" s="75" t="s">
        <v>535</v>
      </c>
      <c r="M1032" s="75" t="s">
        <v>509</v>
      </c>
      <c r="N1032" s="75" t="s">
        <v>535</v>
      </c>
      <c r="O1032" s="75" t="s">
        <v>1899</v>
      </c>
    </row>
    <row r="1033" spans="1:15">
      <c r="A1033" s="63" t="s">
        <v>849</v>
      </c>
      <c r="B1033" s="14" t="str">
        <f>VLOOKUP(O1033,'护理记录单文书字典(数据)'!B$4:C$99,2,0)</f>
        <v>2EDFFD350CFAB211D8B7EBE7200C5C59</v>
      </c>
      <c r="C1033" s="75" t="s">
        <v>1931</v>
      </c>
      <c r="D1033" s="75" t="s">
        <v>1932</v>
      </c>
      <c r="E1033" s="92">
        <v>4</v>
      </c>
      <c r="F1033" s="92">
        <v>4</v>
      </c>
      <c r="G1033" s="75" t="s">
        <v>1093</v>
      </c>
      <c r="H1033" s="75"/>
      <c r="I1033" s="75"/>
      <c r="J1033" s="75" t="s">
        <v>162</v>
      </c>
      <c r="K1033" s="75" t="s">
        <v>509</v>
      </c>
      <c r="L1033" s="75" t="s">
        <v>535</v>
      </c>
      <c r="M1033" s="75" t="s">
        <v>509</v>
      </c>
      <c r="N1033" s="75" t="s">
        <v>535</v>
      </c>
      <c r="O1033" s="75" t="s">
        <v>1899</v>
      </c>
    </row>
    <row r="1034" spans="1:15">
      <c r="A1034" s="63" t="s">
        <v>849</v>
      </c>
      <c r="B1034" s="14" t="str">
        <f>VLOOKUP(O1034,'护理记录单文书字典(数据)'!B$4:C$99,2,0)</f>
        <v>2EDFFD350CFAB211D8B7EBE7200C5C59</v>
      </c>
      <c r="C1034" s="75" t="s">
        <v>1936</v>
      </c>
      <c r="D1034" s="75" t="s">
        <v>1937</v>
      </c>
      <c r="E1034" s="92">
        <v>1</v>
      </c>
      <c r="F1034" s="92">
        <v>1</v>
      </c>
      <c r="G1034" s="75" t="s">
        <v>1895</v>
      </c>
      <c r="H1034" s="75"/>
      <c r="I1034" s="75"/>
      <c r="J1034" s="75" t="s">
        <v>162</v>
      </c>
      <c r="K1034" s="75" t="s">
        <v>509</v>
      </c>
      <c r="L1034" s="75" t="s">
        <v>535</v>
      </c>
      <c r="M1034" s="75" t="s">
        <v>509</v>
      </c>
      <c r="N1034" s="75" t="s">
        <v>535</v>
      </c>
      <c r="O1034" s="75" t="s">
        <v>1899</v>
      </c>
    </row>
    <row r="1035" spans="1:15">
      <c r="A1035" s="63" t="s">
        <v>849</v>
      </c>
      <c r="B1035" s="14" t="str">
        <f>VLOOKUP(O1035,'护理记录单文书字典(数据)'!B$4:C$99,2,0)</f>
        <v>2EDFFD350CFAB211D8B7EBE7200C5C59</v>
      </c>
      <c r="C1035" s="75" t="s">
        <v>1936</v>
      </c>
      <c r="D1035" s="75" t="s">
        <v>1937</v>
      </c>
      <c r="E1035" s="92">
        <v>2</v>
      </c>
      <c r="F1035" s="92">
        <v>2</v>
      </c>
      <c r="G1035" s="75" t="s">
        <v>1112</v>
      </c>
      <c r="H1035" s="75"/>
      <c r="I1035" s="75"/>
      <c r="J1035" s="75" t="s">
        <v>162</v>
      </c>
      <c r="K1035" s="75" t="s">
        <v>509</v>
      </c>
      <c r="L1035" s="75" t="s">
        <v>535</v>
      </c>
      <c r="M1035" s="75" t="s">
        <v>509</v>
      </c>
      <c r="N1035" s="75" t="s">
        <v>535</v>
      </c>
      <c r="O1035" s="75" t="s">
        <v>1899</v>
      </c>
    </row>
    <row r="1036" spans="1:15">
      <c r="A1036" s="63" t="s">
        <v>849</v>
      </c>
      <c r="B1036" s="14" t="str">
        <f>VLOOKUP(O1036,'护理记录单文书字典(数据)'!B$4:C$99,2,0)</f>
        <v>2EDFFD350CFAB211D8B7EBE7200C5C59</v>
      </c>
      <c r="C1036" s="75" t="s">
        <v>1936</v>
      </c>
      <c r="D1036" s="75" t="s">
        <v>1937</v>
      </c>
      <c r="E1036" s="92">
        <v>3</v>
      </c>
      <c r="F1036" s="92">
        <v>3</v>
      </c>
      <c r="G1036" s="75" t="s">
        <v>1896</v>
      </c>
      <c r="H1036" s="75"/>
      <c r="I1036" s="75"/>
      <c r="J1036" s="75" t="s">
        <v>162</v>
      </c>
      <c r="K1036" s="75" t="s">
        <v>509</v>
      </c>
      <c r="L1036" s="75" t="s">
        <v>535</v>
      </c>
      <c r="M1036" s="75" t="s">
        <v>509</v>
      </c>
      <c r="N1036" s="75" t="s">
        <v>535</v>
      </c>
      <c r="O1036" s="75" t="s">
        <v>1899</v>
      </c>
    </row>
    <row r="1037" spans="1:15">
      <c r="A1037" s="63" t="s">
        <v>849</v>
      </c>
      <c r="B1037" s="14" t="str">
        <f>VLOOKUP(O1037,'护理记录单文书字典(数据)'!B$4:C$99,2,0)</f>
        <v>2EDFFD350CFAB211D8B7EBE7200C5C59</v>
      </c>
      <c r="C1037" s="75" t="s">
        <v>1938</v>
      </c>
      <c r="D1037" s="75" t="s">
        <v>1939</v>
      </c>
      <c r="E1037" s="92">
        <v>1</v>
      </c>
      <c r="F1037" s="92">
        <v>1</v>
      </c>
      <c r="G1037" s="75" t="s">
        <v>1940</v>
      </c>
      <c r="H1037" s="75"/>
      <c r="I1037" s="75"/>
      <c r="J1037" s="75" t="s">
        <v>162</v>
      </c>
      <c r="K1037" s="75" t="s">
        <v>509</v>
      </c>
      <c r="L1037" s="75" t="s">
        <v>535</v>
      </c>
      <c r="M1037" s="75" t="s">
        <v>509</v>
      </c>
      <c r="N1037" s="75" t="s">
        <v>535</v>
      </c>
      <c r="O1037" s="75" t="s">
        <v>1899</v>
      </c>
    </row>
    <row r="1038" spans="1:15">
      <c r="A1038" s="63" t="s">
        <v>849</v>
      </c>
      <c r="B1038" s="14" t="str">
        <f>VLOOKUP(O1038,'护理记录单文书字典(数据)'!B$4:C$99,2,0)</f>
        <v>2EDFFD350CFAB211D8B7EBE7200C5C59</v>
      </c>
      <c r="C1038" s="75" t="s">
        <v>1938</v>
      </c>
      <c r="D1038" s="75" t="s">
        <v>1939</v>
      </c>
      <c r="E1038" s="92">
        <v>2</v>
      </c>
      <c r="F1038" s="92">
        <v>2</v>
      </c>
      <c r="G1038" s="75" t="s">
        <v>1941</v>
      </c>
      <c r="H1038" s="75"/>
      <c r="I1038" s="75"/>
      <c r="J1038" s="75" t="s">
        <v>162</v>
      </c>
      <c r="K1038" s="75" t="s">
        <v>509</v>
      </c>
      <c r="L1038" s="75" t="s">
        <v>535</v>
      </c>
      <c r="M1038" s="75" t="s">
        <v>509</v>
      </c>
      <c r="N1038" s="75" t="s">
        <v>535</v>
      </c>
      <c r="O1038" s="75" t="s">
        <v>1899</v>
      </c>
    </row>
    <row r="1039" spans="1:15">
      <c r="A1039" s="63" t="s">
        <v>849</v>
      </c>
      <c r="B1039" s="14" t="str">
        <f>VLOOKUP(O1039,'护理记录单文书字典(数据)'!B$4:C$99,2,0)</f>
        <v>2EDFFD350CFAB211D8B7EBE7200C5C59</v>
      </c>
      <c r="C1039" s="75" t="s">
        <v>1938</v>
      </c>
      <c r="D1039" s="75" t="s">
        <v>1939</v>
      </c>
      <c r="E1039" s="92">
        <v>3</v>
      </c>
      <c r="F1039" s="92">
        <v>3</v>
      </c>
      <c r="G1039" s="75" t="s">
        <v>1942</v>
      </c>
      <c r="H1039" s="75"/>
      <c r="I1039" s="75"/>
      <c r="J1039" s="75" t="s">
        <v>162</v>
      </c>
      <c r="K1039" s="75" t="s">
        <v>509</v>
      </c>
      <c r="L1039" s="75" t="s">
        <v>535</v>
      </c>
      <c r="M1039" s="75" t="s">
        <v>509</v>
      </c>
      <c r="N1039" s="75" t="s">
        <v>535</v>
      </c>
      <c r="O1039" s="75" t="s">
        <v>1899</v>
      </c>
    </row>
    <row r="1040" spans="1:15">
      <c r="A1040" s="63" t="s">
        <v>849</v>
      </c>
      <c r="B1040" s="14" t="str">
        <f>VLOOKUP(O1040,'护理记录单文书字典(数据)'!B$4:C$99,2,0)</f>
        <v>7DD6F5350CFAB211FEB4D8A80F3F0F36</v>
      </c>
      <c r="C1040" s="75" t="s">
        <v>1897</v>
      </c>
      <c r="D1040" s="75" t="s">
        <v>1898</v>
      </c>
      <c r="E1040" s="92">
        <v>1</v>
      </c>
      <c r="F1040" s="92">
        <v>1</v>
      </c>
      <c r="G1040" s="75" t="s">
        <v>1096</v>
      </c>
      <c r="H1040" s="75"/>
      <c r="I1040" s="75"/>
      <c r="J1040" s="75" t="s">
        <v>162</v>
      </c>
      <c r="K1040" s="75" t="s">
        <v>509</v>
      </c>
      <c r="L1040" s="75" t="s">
        <v>535</v>
      </c>
      <c r="M1040" s="75" t="s">
        <v>509</v>
      </c>
      <c r="N1040" s="75" t="s">
        <v>535</v>
      </c>
      <c r="O1040" s="75" t="s">
        <v>1943</v>
      </c>
    </row>
    <row r="1041" spans="1:15">
      <c r="A1041" s="63" t="s">
        <v>849</v>
      </c>
      <c r="B1041" s="14" t="str">
        <f>VLOOKUP(O1041,'护理记录单文书字典(数据)'!B$4:C$99,2,0)</f>
        <v>7DD6F5350CFAB211FEB4D8A80F3F0F36</v>
      </c>
      <c r="C1041" s="75" t="s">
        <v>1897</v>
      </c>
      <c r="D1041" s="75" t="s">
        <v>1898</v>
      </c>
      <c r="E1041" s="92">
        <v>2</v>
      </c>
      <c r="F1041" s="92">
        <v>2</v>
      </c>
      <c r="G1041" s="75" t="s">
        <v>1097</v>
      </c>
      <c r="H1041" s="75"/>
      <c r="I1041" s="75"/>
      <c r="J1041" s="75" t="s">
        <v>162</v>
      </c>
      <c r="K1041" s="75" t="s">
        <v>509</v>
      </c>
      <c r="L1041" s="75" t="s">
        <v>535</v>
      </c>
      <c r="M1041" s="75" t="s">
        <v>509</v>
      </c>
      <c r="N1041" s="75" t="s">
        <v>535</v>
      </c>
      <c r="O1041" s="75" t="s">
        <v>1943</v>
      </c>
    </row>
    <row r="1042" spans="1:15">
      <c r="A1042" s="63" t="s">
        <v>849</v>
      </c>
      <c r="B1042" s="14" t="str">
        <f>VLOOKUP(O1042,'护理记录单文书字典(数据)'!B$4:C$99,2,0)</f>
        <v>7DD6F5350CFAB211FEB4D8A80F3F0F36</v>
      </c>
      <c r="C1042" s="75" t="s">
        <v>1897</v>
      </c>
      <c r="D1042" s="75" t="s">
        <v>1898</v>
      </c>
      <c r="E1042" s="92">
        <v>3</v>
      </c>
      <c r="F1042" s="92">
        <v>3</v>
      </c>
      <c r="G1042" s="75" t="s">
        <v>1900</v>
      </c>
      <c r="H1042" s="75"/>
      <c r="I1042" s="75"/>
      <c r="J1042" s="75" t="s">
        <v>162</v>
      </c>
      <c r="K1042" s="75" t="s">
        <v>509</v>
      </c>
      <c r="L1042" s="75" t="s">
        <v>535</v>
      </c>
      <c r="M1042" s="75" t="s">
        <v>509</v>
      </c>
      <c r="N1042" s="75" t="s">
        <v>535</v>
      </c>
      <c r="O1042" s="75" t="s">
        <v>1943</v>
      </c>
    </row>
    <row r="1043" spans="1:15">
      <c r="A1043" s="63" t="s">
        <v>849</v>
      </c>
      <c r="B1043" s="14" t="str">
        <f>VLOOKUP(O1043,'护理记录单文书字典(数据)'!B$4:C$99,2,0)</f>
        <v>7DD6F5350CFAB211FEB4D8A80F3F0F36</v>
      </c>
      <c r="C1043" s="75" t="s">
        <v>1897</v>
      </c>
      <c r="D1043" s="75" t="s">
        <v>1898</v>
      </c>
      <c r="E1043" s="92">
        <v>4</v>
      </c>
      <c r="F1043" s="92">
        <v>4</v>
      </c>
      <c r="G1043" s="75" t="s">
        <v>1322</v>
      </c>
      <c r="H1043" s="75"/>
      <c r="I1043" s="75"/>
      <c r="J1043" s="75" t="s">
        <v>162</v>
      </c>
      <c r="K1043" s="75" t="s">
        <v>509</v>
      </c>
      <c r="L1043" s="75" t="s">
        <v>535</v>
      </c>
      <c r="M1043" s="75" t="s">
        <v>509</v>
      </c>
      <c r="N1043" s="75" t="s">
        <v>535</v>
      </c>
      <c r="O1043" s="75" t="s">
        <v>1943</v>
      </c>
    </row>
    <row r="1044" spans="1:15">
      <c r="A1044" s="63" t="s">
        <v>849</v>
      </c>
      <c r="B1044" s="14" t="str">
        <f>VLOOKUP(O1044,'护理记录单文书字典(数据)'!B$4:C$99,2,0)</f>
        <v>7DD6F5350CFAB211FEB4D8A80F3F0F36</v>
      </c>
      <c r="C1044" s="75" t="s">
        <v>1944</v>
      </c>
      <c r="D1044" s="75" t="s">
        <v>1945</v>
      </c>
      <c r="E1044" s="92">
        <v>1</v>
      </c>
      <c r="F1044" s="92">
        <v>1</v>
      </c>
      <c r="G1044" s="75" t="s">
        <v>1946</v>
      </c>
      <c r="H1044" s="75"/>
      <c r="I1044" s="75"/>
      <c r="J1044" s="75" t="s">
        <v>162</v>
      </c>
      <c r="K1044" s="75" t="s">
        <v>509</v>
      </c>
      <c r="L1044" s="75" t="s">
        <v>535</v>
      </c>
      <c r="M1044" s="75" t="s">
        <v>509</v>
      </c>
      <c r="N1044" s="75" t="s">
        <v>535</v>
      </c>
      <c r="O1044" s="75" t="s">
        <v>1943</v>
      </c>
    </row>
    <row r="1045" spans="1:15">
      <c r="A1045" s="63" t="s">
        <v>849</v>
      </c>
      <c r="B1045" s="14" t="str">
        <f>VLOOKUP(O1045,'护理记录单文书字典(数据)'!B$4:C$99,2,0)</f>
        <v>7DD6F5350CFAB211FEB4D8A80F3F0F36</v>
      </c>
      <c r="C1045" s="75" t="s">
        <v>1944</v>
      </c>
      <c r="D1045" s="75" t="s">
        <v>1945</v>
      </c>
      <c r="E1045" s="92">
        <v>2</v>
      </c>
      <c r="F1045" s="92">
        <v>2</v>
      </c>
      <c r="G1045" s="75" t="s">
        <v>1947</v>
      </c>
      <c r="H1045" s="75"/>
      <c r="I1045" s="75"/>
      <c r="J1045" s="75" t="s">
        <v>162</v>
      </c>
      <c r="K1045" s="75" t="s">
        <v>509</v>
      </c>
      <c r="L1045" s="75" t="s">
        <v>535</v>
      </c>
      <c r="M1045" s="75" t="s">
        <v>509</v>
      </c>
      <c r="N1045" s="75" t="s">
        <v>535</v>
      </c>
      <c r="O1045" s="75" t="s">
        <v>1943</v>
      </c>
    </row>
    <row r="1046" spans="1:15">
      <c r="A1046" s="63" t="s">
        <v>849</v>
      </c>
      <c r="B1046" s="14" t="str">
        <f>VLOOKUP(O1046,'护理记录单文书字典(数据)'!B$4:C$99,2,0)</f>
        <v>7DD6F5350CFAB211FEB4D8A80F3F0F36</v>
      </c>
      <c r="C1046" s="75" t="s">
        <v>1944</v>
      </c>
      <c r="D1046" s="75" t="s">
        <v>1945</v>
      </c>
      <c r="E1046" s="92">
        <v>3</v>
      </c>
      <c r="F1046" s="92">
        <v>3</v>
      </c>
      <c r="G1046" s="75" t="s">
        <v>975</v>
      </c>
      <c r="H1046" s="75"/>
      <c r="I1046" s="75"/>
      <c r="J1046" s="75" t="s">
        <v>162</v>
      </c>
      <c r="K1046" s="75" t="s">
        <v>509</v>
      </c>
      <c r="L1046" s="75" t="s">
        <v>535</v>
      </c>
      <c r="M1046" s="75" t="s">
        <v>509</v>
      </c>
      <c r="N1046" s="75" t="s">
        <v>535</v>
      </c>
      <c r="O1046" s="75" t="s">
        <v>1943</v>
      </c>
    </row>
    <row r="1047" spans="1:15">
      <c r="A1047" s="63" t="s">
        <v>849</v>
      </c>
      <c r="B1047" s="14" t="str">
        <f>VLOOKUP(O1047,'护理记录单文书字典(数据)'!B$4:C$99,2,0)</f>
        <v>7DD6F5350CFAB211FEB4D8A80F3F0F36</v>
      </c>
      <c r="C1047" s="75" t="s">
        <v>1948</v>
      </c>
      <c r="D1047" s="75" t="s">
        <v>1949</v>
      </c>
      <c r="E1047" s="92">
        <v>1</v>
      </c>
      <c r="F1047" s="92">
        <v>1</v>
      </c>
      <c r="G1047" s="75" t="s">
        <v>981</v>
      </c>
      <c r="H1047" s="75"/>
      <c r="I1047" s="75"/>
      <c r="J1047" s="75" t="s">
        <v>162</v>
      </c>
      <c r="K1047" s="75" t="s">
        <v>509</v>
      </c>
      <c r="L1047" s="75" t="s">
        <v>535</v>
      </c>
      <c r="M1047" s="75" t="s">
        <v>509</v>
      </c>
      <c r="N1047" s="75" t="s">
        <v>535</v>
      </c>
      <c r="O1047" s="75" t="s">
        <v>1943</v>
      </c>
    </row>
    <row r="1048" spans="1:15">
      <c r="A1048" s="63" t="s">
        <v>849</v>
      </c>
      <c r="B1048" s="14" t="str">
        <f>VLOOKUP(O1048,'护理记录单文书字典(数据)'!B$4:C$99,2,0)</f>
        <v>7DD6F5350CFAB211FEB4D8A80F3F0F36</v>
      </c>
      <c r="C1048" s="75" t="s">
        <v>1948</v>
      </c>
      <c r="D1048" s="75" t="s">
        <v>1949</v>
      </c>
      <c r="E1048" s="92">
        <v>2</v>
      </c>
      <c r="F1048" s="92">
        <v>2</v>
      </c>
      <c r="G1048" s="75" t="s">
        <v>982</v>
      </c>
      <c r="H1048" s="75"/>
      <c r="I1048" s="75"/>
      <c r="J1048" s="75" t="s">
        <v>162</v>
      </c>
      <c r="K1048" s="75" t="s">
        <v>509</v>
      </c>
      <c r="L1048" s="75" t="s">
        <v>535</v>
      </c>
      <c r="M1048" s="75" t="s">
        <v>509</v>
      </c>
      <c r="N1048" s="75" t="s">
        <v>535</v>
      </c>
      <c r="O1048" s="75" t="s">
        <v>1943</v>
      </c>
    </row>
    <row r="1049" spans="1:15">
      <c r="A1049" s="63" t="s">
        <v>849</v>
      </c>
      <c r="B1049" s="14" t="str">
        <f>VLOOKUP(O1049,'护理记录单文书字典(数据)'!B$4:C$99,2,0)</f>
        <v>7DD6F5350CFAB211FEB4D8A80F3F0F36</v>
      </c>
      <c r="C1049" s="75" t="s">
        <v>1948</v>
      </c>
      <c r="D1049" s="75" t="s">
        <v>1949</v>
      </c>
      <c r="E1049" s="92">
        <v>3</v>
      </c>
      <c r="F1049" s="92">
        <v>3</v>
      </c>
      <c r="G1049" s="75" t="s">
        <v>983</v>
      </c>
      <c r="H1049" s="75"/>
      <c r="I1049" s="75"/>
      <c r="J1049" s="75" t="s">
        <v>162</v>
      </c>
      <c r="K1049" s="75" t="s">
        <v>509</v>
      </c>
      <c r="L1049" s="75" t="s">
        <v>535</v>
      </c>
      <c r="M1049" s="75" t="s">
        <v>509</v>
      </c>
      <c r="N1049" s="75" t="s">
        <v>535</v>
      </c>
      <c r="O1049" s="75" t="s">
        <v>1943</v>
      </c>
    </row>
    <row r="1050" spans="1:15">
      <c r="A1050" s="63" t="s">
        <v>849</v>
      </c>
      <c r="B1050" s="14" t="str">
        <f>VLOOKUP(O1050,'护理记录单文书字典(数据)'!B$4:C$99,2,0)</f>
        <v>7DD6F5350CFAB211FEB4D8A80F3F0F36</v>
      </c>
      <c r="C1050" s="75" t="s">
        <v>1950</v>
      </c>
      <c r="D1050" s="75" t="s">
        <v>1951</v>
      </c>
      <c r="E1050" s="92">
        <v>1</v>
      </c>
      <c r="F1050" s="92">
        <v>1</v>
      </c>
      <c r="G1050" s="75" t="s">
        <v>1952</v>
      </c>
      <c r="H1050" s="75"/>
      <c r="I1050" s="75"/>
      <c r="J1050" s="75" t="s">
        <v>162</v>
      </c>
      <c r="K1050" s="75" t="s">
        <v>509</v>
      </c>
      <c r="L1050" s="75" t="s">
        <v>535</v>
      </c>
      <c r="M1050" s="75" t="s">
        <v>509</v>
      </c>
      <c r="N1050" s="75" t="s">
        <v>535</v>
      </c>
      <c r="O1050" s="75" t="s">
        <v>1943</v>
      </c>
    </row>
    <row r="1051" spans="1:15">
      <c r="A1051" s="63" t="s">
        <v>849</v>
      </c>
      <c r="B1051" s="14" t="str">
        <f>VLOOKUP(O1051,'护理记录单文书字典(数据)'!B$4:C$99,2,0)</f>
        <v>7DD6F5350CFAB211FEB4D8A80F3F0F36</v>
      </c>
      <c r="C1051" s="75" t="s">
        <v>1950</v>
      </c>
      <c r="D1051" s="75" t="s">
        <v>1951</v>
      </c>
      <c r="E1051" s="92">
        <v>2</v>
      </c>
      <c r="F1051" s="92">
        <v>2</v>
      </c>
      <c r="G1051" s="75" t="s">
        <v>1953</v>
      </c>
      <c r="H1051" s="75"/>
      <c r="I1051" s="75"/>
      <c r="J1051" s="75" t="s">
        <v>162</v>
      </c>
      <c r="K1051" s="75" t="s">
        <v>509</v>
      </c>
      <c r="L1051" s="75" t="s">
        <v>535</v>
      </c>
      <c r="M1051" s="75" t="s">
        <v>509</v>
      </c>
      <c r="N1051" s="75" t="s">
        <v>535</v>
      </c>
      <c r="O1051" s="75" t="s">
        <v>1943</v>
      </c>
    </row>
    <row r="1052" spans="1:15">
      <c r="A1052" s="63" t="s">
        <v>849</v>
      </c>
      <c r="B1052" s="14" t="str">
        <f>VLOOKUP(O1052,'护理记录单文书字典(数据)'!B$4:C$99,2,0)</f>
        <v>7DD6F5350CFAB211FEB4D8A80F3F0F36</v>
      </c>
      <c r="C1052" s="75" t="s">
        <v>1954</v>
      </c>
      <c r="D1052" s="75" t="s">
        <v>1955</v>
      </c>
      <c r="E1052" s="92">
        <v>1</v>
      </c>
      <c r="F1052" s="92">
        <v>1</v>
      </c>
      <c r="G1052" s="75" t="s">
        <v>1924</v>
      </c>
      <c r="H1052" s="75"/>
      <c r="I1052" s="75"/>
      <c r="J1052" s="75" t="s">
        <v>162</v>
      </c>
      <c r="K1052" s="75" t="s">
        <v>509</v>
      </c>
      <c r="L1052" s="75" t="s">
        <v>535</v>
      </c>
      <c r="M1052" s="75" t="s">
        <v>509</v>
      </c>
      <c r="N1052" s="75" t="s">
        <v>535</v>
      </c>
      <c r="O1052" s="75" t="s">
        <v>1943</v>
      </c>
    </row>
    <row r="1053" spans="1:15">
      <c r="A1053" s="63" t="s">
        <v>849</v>
      </c>
      <c r="B1053" s="14" t="str">
        <f>VLOOKUP(O1053,'护理记录单文书字典(数据)'!B$4:C$99,2,0)</f>
        <v>7DD6F5350CFAB211FEB4D8A80F3F0F36</v>
      </c>
      <c r="C1053" s="75" t="s">
        <v>1954</v>
      </c>
      <c r="D1053" s="75" t="s">
        <v>1955</v>
      </c>
      <c r="E1053" s="92">
        <v>2</v>
      </c>
      <c r="F1053" s="92">
        <v>2</v>
      </c>
      <c r="G1053" s="75" t="s">
        <v>1956</v>
      </c>
      <c r="H1053" s="75"/>
      <c r="I1053" s="75"/>
      <c r="J1053" s="75" t="s">
        <v>162</v>
      </c>
      <c r="K1053" s="75" t="s">
        <v>509</v>
      </c>
      <c r="L1053" s="75" t="s">
        <v>535</v>
      </c>
      <c r="M1053" s="75" t="s">
        <v>509</v>
      </c>
      <c r="N1053" s="75" t="s">
        <v>535</v>
      </c>
      <c r="O1053" s="75" t="s">
        <v>1943</v>
      </c>
    </row>
    <row r="1054" spans="1:15">
      <c r="A1054" s="63" t="s">
        <v>849</v>
      </c>
      <c r="B1054" s="14" t="str">
        <f>VLOOKUP(O1054,'护理记录单文书字典(数据)'!B$4:C$99,2,0)</f>
        <v>7DD6F5350CFAB211FEB4D8A80F3F0F36</v>
      </c>
      <c r="C1054" s="75" t="s">
        <v>1957</v>
      </c>
      <c r="D1054" s="75" t="s">
        <v>1958</v>
      </c>
      <c r="E1054" s="92">
        <v>1</v>
      </c>
      <c r="F1054" s="92">
        <v>1</v>
      </c>
      <c r="G1054" s="75" t="s">
        <v>1959</v>
      </c>
      <c r="H1054" s="75"/>
      <c r="I1054" s="75"/>
      <c r="J1054" s="75" t="s">
        <v>162</v>
      </c>
      <c r="K1054" s="75" t="s">
        <v>509</v>
      </c>
      <c r="L1054" s="75" t="s">
        <v>535</v>
      </c>
      <c r="M1054" s="75" t="s">
        <v>509</v>
      </c>
      <c r="N1054" s="75" t="s">
        <v>535</v>
      </c>
      <c r="O1054" s="75" t="s">
        <v>1943</v>
      </c>
    </row>
    <row r="1055" spans="1:15">
      <c r="A1055" s="63" t="s">
        <v>849</v>
      </c>
      <c r="B1055" s="14" t="str">
        <f>VLOOKUP(O1055,'护理记录单文书字典(数据)'!B$4:C$99,2,0)</f>
        <v>7DD6F5350CFAB211FEB4D8A80F3F0F36</v>
      </c>
      <c r="C1055" s="75" t="s">
        <v>1957</v>
      </c>
      <c r="D1055" s="75" t="s">
        <v>1958</v>
      </c>
      <c r="E1055" s="92">
        <v>2</v>
      </c>
      <c r="F1055" s="92">
        <v>2</v>
      </c>
      <c r="G1055" s="75" t="s">
        <v>1960</v>
      </c>
      <c r="H1055" s="75"/>
      <c r="I1055" s="75"/>
      <c r="J1055" s="75" t="s">
        <v>162</v>
      </c>
      <c r="K1055" s="75" t="s">
        <v>509</v>
      </c>
      <c r="L1055" s="75" t="s">
        <v>535</v>
      </c>
      <c r="M1055" s="75" t="s">
        <v>509</v>
      </c>
      <c r="N1055" s="75" t="s">
        <v>535</v>
      </c>
      <c r="O1055" s="75" t="s">
        <v>1943</v>
      </c>
    </row>
    <row r="1056" spans="1:15">
      <c r="A1056" s="63" t="s">
        <v>849</v>
      </c>
      <c r="B1056" s="14" t="str">
        <f>VLOOKUP(O1056,'护理记录单文书字典(数据)'!B$4:C$99,2,0)</f>
        <v>7DD6F5350CFAB211FEB4D8A80F3F0F36</v>
      </c>
      <c r="C1056" s="75" t="s">
        <v>1957</v>
      </c>
      <c r="D1056" s="75" t="s">
        <v>1958</v>
      </c>
      <c r="E1056" s="92">
        <v>3</v>
      </c>
      <c r="F1056" s="92">
        <v>3</v>
      </c>
      <c r="G1056" s="75" t="s">
        <v>1961</v>
      </c>
      <c r="H1056" s="75"/>
      <c r="I1056" s="75"/>
      <c r="J1056" s="75" t="s">
        <v>162</v>
      </c>
      <c r="K1056" s="75" t="s">
        <v>509</v>
      </c>
      <c r="L1056" s="75" t="s">
        <v>535</v>
      </c>
      <c r="M1056" s="75" t="s">
        <v>509</v>
      </c>
      <c r="N1056" s="75" t="s">
        <v>535</v>
      </c>
      <c r="O1056" s="75" t="s">
        <v>1943</v>
      </c>
    </row>
    <row r="1057" spans="1:15">
      <c r="A1057" s="63" t="s">
        <v>849</v>
      </c>
      <c r="B1057" s="14" t="str">
        <f>VLOOKUP(O1057,'护理记录单文书字典(数据)'!B$4:C$99,2,0)</f>
        <v>7DD6F5350CFAB211FEB4D8A80F3F0F36</v>
      </c>
      <c r="C1057" s="75" t="s">
        <v>1962</v>
      </c>
      <c r="D1057" s="75" t="s">
        <v>1963</v>
      </c>
      <c r="E1057" s="92">
        <v>1</v>
      </c>
      <c r="F1057" s="92">
        <v>1</v>
      </c>
      <c r="G1057" s="75" t="s">
        <v>1964</v>
      </c>
      <c r="H1057" s="75"/>
      <c r="I1057" s="75"/>
      <c r="J1057" s="75" t="s">
        <v>162</v>
      </c>
      <c r="K1057" s="75" t="s">
        <v>509</v>
      </c>
      <c r="L1057" s="75" t="s">
        <v>535</v>
      </c>
      <c r="M1057" s="75" t="s">
        <v>509</v>
      </c>
      <c r="N1057" s="75" t="s">
        <v>535</v>
      </c>
      <c r="O1057" s="75" t="s">
        <v>1943</v>
      </c>
    </row>
    <row r="1058" spans="1:15">
      <c r="A1058" s="63" t="s">
        <v>849</v>
      </c>
      <c r="B1058" s="14" t="str">
        <f>VLOOKUP(O1058,'护理记录单文书字典(数据)'!B$4:C$99,2,0)</f>
        <v>7DD6F5350CFAB211FEB4D8A80F3F0F36</v>
      </c>
      <c r="C1058" s="75" t="s">
        <v>1962</v>
      </c>
      <c r="D1058" s="75" t="s">
        <v>1963</v>
      </c>
      <c r="E1058" s="92">
        <v>2</v>
      </c>
      <c r="F1058" s="92">
        <v>2</v>
      </c>
      <c r="G1058" s="75" t="s">
        <v>1965</v>
      </c>
      <c r="H1058" s="75"/>
      <c r="I1058" s="75"/>
      <c r="J1058" s="75" t="s">
        <v>162</v>
      </c>
      <c r="K1058" s="75" t="s">
        <v>509</v>
      </c>
      <c r="L1058" s="75" t="s">
        <v>535</v>
      </c>
      <c r="M1058" s="75" t="s">
        <v>509</v>
      </c>
      <c r="N1058" s="75" t="s">
        <v>535</v>
      </c>
      <c r="O1058" s="75" t="s">
        <v>1943</v>
      </c>
    </row>
    <row r="1059" spans="1:15">
      <c r="A1059" s="63" t="s">
        <v>849</v>
      </c>
      <c r="B1059" s="14" t="str">
        <f>VLOOKUP(O1059,'护理记录单文书字典(数据)'!B$4:C$99,2,0)</f>
        <v>7DD6F5350CFAB211FEB4D8A80F3F0F36</v>
      </c>
      <c r="C1059" s="75" t="s">
        <v>1966</v>
      </c>
      <c r="D1059" s="75" t="s">
        <v>1967</v>
      </c>
      <c r="E1059" s="92">
        <v>1</v>
      </c>
      <c r="F1059" s="92">
        <v>1</v>
      </c>
      <c r="G1059" s="75" t="s">
        <v>1968</v>
      </c>
      <c r="H1059" s="75"/>
      <c r="I1059" s="75"/>
      <c r="J1059" s="75" t="s">
        <v>162</v>
      </c>
      <c r="K1059" s="75" t="s">
        <v>509</v>
      </c>
      <c r="L1059" s="75" t="s">
        <v>535</v>
      </c>
      <c r="M1059" s="75" t="s">
        <v>509</v>
      </c>
      <c r="N1059" s="75" t="s">
        <v>535</v>
      </c>
      <c r="O1059" s="75" t="s">
        <v>1943</v>
      </c>
    </row>
    <row r="1060" spans="1:15">
      <c r="A1060" s="63" t="s">
        <v>849</v>
      </c>
      <c r="B1060" s="14" t="str">
        <f>VLOOKUP(O1060,'护理记录单文书字典(数据)'!B$4:C$99,2,0)</f>
        <v>7DD6F5350CFAB211FEB4D8A80F3F0F36</v>
      </c>
      <c r="C1060" s="75" t="s">
        <v>1966</v>
      </c>
      <c r="D1060" s="75" t="s">
        <v>1967</v>
      </c>
      <c r="E1060" s="92">
        <v>2</v>
      </c>
      <c r="F1060" s="92">
        <v>2</v>
      </c>
      <c r="G1060" s="75" t="s">
        <v>1805</v>
      </c>
      <c r="H1060" s="75"/>
      <c r="I1060" s="75"/>
      <c r="J1060" s="75" t="s">
        <v>162</v>
      </c>
      <c r="K1060" s="75" t="s">
        <v>509</v>
      </c>
      <c r="L1060" s="75" t="s">
        <v>535</v>
      </c>
      <c r="M1060" s="75" t="s">
        <v>509</v>
      </c>
      <c r="N1060" s="75" t="s">
        <v>535</v>
      </c>
      <c r="O1060" s="75" t="s">
        <v>1943</v>
      </c>
    </row>
    <row r="1061" spans="1:15">
      <c r="A1061" s="63" t="s">
        <v>849</v>
      </c>
      <c r="B1061" s="14" t="str">
        <f>VLOOKUP(O1061,'护理记录单文书字典(数据)'!B$4:C$99,2,0)</f>
        <v>7DD6F5350CFAB211FEB4D8A80F3F0F36</v>
      </c>
      <c r="C1061" s="75" t="s">
        <v>1966</v>
      </c>
      <c r="D1061" s="75" t="s">
        <v>1967</v>
      </c>
      <c r="E1061" s="92">
        <v>3</v>
      </c>
      <c r="F1061" s="92">
        <v>3</v>
      </c>
      <c r="G1061" s="75" t="s">
        <v>1840</v>
      </c>
      <c r="H1061" s="75"/>
      <c r="I1061" s="75"/>
      <c r="J1061" s="75" t="s">
        <v>162</v>
      </c>
      <c r="K1061" s="75" t="s">
        <v>509</v>
      </c>
      <c r="L1061" s="75" t="s">
        <v>535</v>
      </c>
      <c r="M1061" s="75" t="s">
        <v>509</v>
      </c>
      <c r="N1061" s="75" t="s">
        <v>535</v>
      </c>
      <c r="O1061" s="75" t="s">
        <v>1943</v>
      </c>
    </row>
    <row r="1062" spans="1:15">
      <c r="A1062" s="63" t="s">
        <v>849</v>
      </c>
      <c r="B1062" s="14" t="str">
        <f>VLOOKUP(O1062,'护理记录单文书字典(数据)'!B$4:C$99,2,0)</f>
        <v>7DD6F5350CFAB211FEB4D8A80F3F0F36</v>
      </c>
      <c r="C1062" s="75" t="s">
        <v>1969</v>
      </c>
      <c r="D1062" s="75" t="s">
        <v>1970</v>
      </c>
      <c r="E1062" s="92">
        <v>1</v>
      </c>
      <c r="F1062" s="92">
        <v>1</v>
      </c>
      <c r="G1062" s="75" t="s">
        <v>1971</v>
      </c>
      <c r="H1062" s="75"/>
      <c r="I1062" s="75"/>
      <c r="J1062" s="75" t="s">
        <v>162</v>
      </c>
      <c r="K1062" s="75" t="s">
        <v>509</v>
      </c>
      <c r="L1062" s="75" t="s">
        <v>535</v>
      </c>
      <c r="M1062" s="75" t="s">
        <v>509</v>
      </c>
      <c r="N1062" s="75" t="s">
        <v>535</v>
      </c>
      <c r="O1062" s="75" t="s">
        <v>1943</v>
      </c>
    </row>
    <row r="1063" spans="1:15">
      <c r="A1063" s="63" t="s">
        <v>849</v>
      </c>
      <c r="B1063" s="14" t="str">
        <f>VLOOKUP(O1063,'护理记录单文书字典(数据)'!B$4:C$99,2,0)</f>
        <v>7DD6F5350CFAB211FEB4D8A80F3F0F36</v>
      </c>
      <c r="C1063" s="75" t="s">
        <v>1969</v>
      </c>
      <c r="D1063" s="75" t="s">
        <v>1970</v>
      </c>
      <c r="E1063" s="92">
        <v>2</v>
      </c>
      <c r="F1063" s="92">
        <v>2</v>
      </c>
      <c r="G1063" s="75" t="s">
        <v>1972</v>
      </c>
      <c r="H1063" s="75"/>
      <c r="I1063" s="75"/>
      <c r="J1063" s="75" t="s">
        <v>162</v>
      </c>
      <c r="K1063" s="75" t="s">
        <v>509</v>
      </c>
      <c r="L1063" s="75" t="s">
        <v>535</v>
      </c>
      <c r="M1063" s="75" t="s">
        <v>509</v>
      </c>
      <c r="N1063" s="75" t="s">
        <v>535</v>
      </c>
      <c r="O1063" s="75" t="s">
        <v>1943</v>
      </c>
    </row>
    <row r="1064" spans="1:15">
      <c r="A1064" s="63" t="s">
        <v>849</v>
      </c>
      <c r="B1064" s="14" t="str">
        <f>VLOOKUP(O1064,'护理记录单文书字典(数据)'!B$4:C$99,2,0)</f>
        <v>7DD6F5350CFAB211FEB4D8A80F3F0F36</v>
      </c>
      <c r="C1064" s="75" t="s">
        <v>1969</v>
      </c>
      <c r="D1064" s="75" t="s">
        <v>1970</v>
      </c>
      <c r="E1064" s="92">
        <v>3</v>
      </c>
      <c r="F1064" s="92">
        <v>3</v>
      </c>
      <c r="G1064" s="75" t="s">
        <v>1973</v>
      </c>
      <c r="H1064" s="75"/>
      <c r="I1064" s="75"/>
      <c r="J1064" s="75" t="s">
        <v>162</v>
      </c>
      <c r="K1064" s="75" t="s">
        <v>509</v>
      </c>
      <c r="L1064" s="75" t="s">
        <v>535</v>
      </c>
      <c r="M1064" s="75" t="s">
        <v>509</v>
      </c>
      <c r="N1064" s="75" t="s">
        <v>535</v>
      </c>
      <c r="O1064" s="75" t="s">
        <v>1943</v>
      </c>
    </row>
    <row r="1065" spans="1:15">
      <c r="A1065" s="63" t="s">
        <v>849</v>
      </c>
      <c r="B1065" s="14" t="str">
        <f>VLOOKUP(O1065,'护理记录单文书字典(数据)'!B$4:C$99,2,0)</f>
        <v>7DD6F5350CFAB211FEB4D8A80F3F0F36</v>
      </c>
      <c r="C1065" s="75" t="s">
        <v>1974</v>
      </c>
      <c r="D1065" s="75" t="s">
        <v>1975</v>
      </c>
      <c r="E1065" s="92">
        <v>1</v>
      </c>
      <c r="F1065" s="92">
        <v>0</v>
      </c>
      <c r="G1065" s="75" t="s">
        <v>961</v>
      </c>
      <c r="H1065" s="75"/>
      <c r="I1065" s="75"/>
      <c r="J1065" s="75" t="s">
        <v>162</v>
      </c>
      <c r="K1065" s="75" t="s">
        <v>509</v>
      </c>
      <c r="L1065" s="75" t="s">
        <v>535</v>
      </c>
      <c r="M1065" s="75" t="s">
        <v>509</v>
      </c>
      <c r="N1065" s="75" t="s">
        <v>535</v>
      </c>
      <c r="O1065" s="75" t="s">
        <v>1943</v>
      </c>
    </row>
    <row r="1066" spans="1:15">
      <c r="A1066" s="63" t="s">
        <v>849</v>
      </c>
      <c r="B1066" s="14" t="str">
        <f>VLOOKUP(O1066,'护理记录单文书字典(数据)'!B$4:C$99,2,0)</f>
        <v>7DD6F5350CFAB211FEB4D8A80F3F0F36</v>
      </c>
      <c r="C1066" s="75" t="s">
        <v>1974</v>
      </c>
      <c r="D1066" s="75" t="s">
        <v>1975</v>
      </c>
      <c r="E1066" s="92">
        <v>2</v>
      </c>
      <c r="F1066" s="92">
        <v>1</v>
      </c>
      <c r="G1066" s="75" t="s">
        <v>962</v>
      </c>
      <c r="H1066" s="75"/>
      <c r="I1066" s="75"/>
      <c r="J1066" s="75" t="s">
        <v>162</v>
      </c>
      <c r="K1066" s="75" t="s">
        <v>509</v>
      </c>
      <c r="L1066" s="75" t="s">
        <v>535</v>
      </c>
      <c r="M1066" s="75" t="s">
        <v>509</v>
      </c>
      <c r="N1066" s="75" t="s">
        <v>535</v>
      </c>
      <c r="O1066" s="75" t="s">
        <v>1943</v>
      </c>
    </row>
    <row r="1067" spans="1:15">
      <c r="A1067" s="63" t="s">
        <v>849</v>
      </c>
      <c r="B1067" s="14" t="str">
        <f>VLOOKUP(O1067,'护理记录单文书字典(数据)'!B$4:C$99,2,0)</f>
        <v>7DD6F5350CFAB211FEB4D8A80F3F0F36</v>
      </c>
      <c r="C1067" s="75" t="s">
        <v>1976</v>
      </c>
      <c r="D1067" s="75" t="s">
        <v>1977</v>
      </c>
      <c r="E1067" s="92">
        <v>1</v>
      </c>
      <c r="F1067" s="92">
        <v>1</v>
      </c>
      <c r="G1067" s="75" t="s">
        <v>1978</v>
      </c>
      <c r="H1067" s="75"/>
      <c r="I1067" s="75"/>
      <c r="J1067" s="75" t="s">
        <v>162</v>
      </c>
      <c r="K1067" s="75" t="s">
        <v>509</v>
      </c>
      <c r="L1067" s="75" t="s">
        <v>535</v>
      </c>
      <c r="M1067" s="75" t="s">
        <v>509</v>
      </c>
      <c r="N1067" s="75" t="s">
        <v>535</v>
      </c>
      <c r="O1067" s="75" t="s">
        <v>1943</v>
      </c>
    </row>
    <row r="1068" spans="1:15">
      <c r="A1068" s="63" t="s">
        <v>849</v>
      </c>
      <c r="B1068" s="14" t="str">
        <f>VLOOKUP(O1068,'护理记录单文书字典(数据)'!B$4:C$99,2,0)</f>
        <v>7DD6F5350CFAB211FEB4D8A80F3F0F36</v>
      </c>
      <c r="C1068" s="75" t="s">
        <v>1976</v>
      </c>
      <c r="D1068" s="75" t="s">
        <v>1977</v>
      </c>
      <c r="E1068" s="92">
        <v>2</v>
      </c>
      <c r="F1068" s="92">
        <v>2</v>
      </c>
      <c r="G1068" s="75" t="s">
        <v>1979</v>
      </c>
      <c r="H1068" s="75"/>
      <c r="I1068" s="75"/>
      <c r="J1068" s="75" t="s">
        <v>162</v>
      </c>
      <c r="K1068" s="75" t="s">
        <v>509</v>
      </c>
      <c r="L1068" s="75" t="s">
        <v>535</v>
      </c>
      <c r="M1068" s="75" t="s">
        <v>509</v>
      </c>
      <c r="N1068" s="75" t="s">
        <v>535</v>
      </c>
      <c r="O1068" s="75" t="s">
        <v>1943</v>
      </c>
    </row>
    <row r="1069" spans="1:15">
      <c r="A1069" s="63" t="s">
        <v>849</v>
      </c>
      <c r="B1069" s="14" t="str">
        <f>VLOOKUP(O1069,'护理记录单文书字典(数据)'!B$4:C$99,2,0)</f>
        <v>7DD6F5350CFAB211FEB4D8A80F3F0F36</v>
      </c>
      <c r="C1069" s="75" t="s">
        <v>1980</v>
      </c>
      <c r="D1069" s="75" t="s">
        <v>1981</v>
      </c>
      <c r="E1069" s="92">
        <v>1</v>
      </c>
      <c r="F1069" s="92">
        <v>1</v>
      </c>
      <c r="G1069" s="75" t="s">
        <v>1978</v>
      </c>
      <c r="H1069" s="75"/>
      <c r="I1069" s="75"/>
      <c r="J1069" s="75" t="s">
        <v>162</v>
      </c>
      <c r="K1069" s="75" t="s">
        <v>509</v>
      </c>
      <c r="L1069" s="75" t="s">
        <v>535</v>
      </c>
      <c r="M1069" s="75" t="s">
        <v>509</v>
      </c>
      <c r="N1069" s="75" t="s">
        <v>535</v>
      </c>
      <c r="O1069" s="75" t="s">
        <v>1943</v>
      </c>
    </row>
    <row r="1070" spans="1:15">
      <c r="A1070" s="63" t="s">
        <v>849</v>
      </c>
      <c r="B1070" s="14" t="str">
        <f>VLOOKUP(O1070,'护理记录单文书字典(数据)'!B$4:C$99,2,0)</f>
        <v>7DD6F5350CFAB211FEB4D8A80F3F0F36</v>
      </c>
      <c r="C1070" s="75" t="s">
        <v>1980</v>
      </c>
      <c r="D1070" s="75" t="s">
        <v>1981</v>
      </c>
      <c r="E1070" s="92">
        <v>2</v>
      </c>
      <c r="F1070" s="92">
        <v>2</v>
      </c>
      <c r="G1070" s="75" t="s">
        <v>1979</v>
      </c>
      <c r="H1070" s="75"/>
      <c r="I1070" s="75"/>
      <c r="J1070" s="75" t="s">
        <v>162</v>
      </c>
      <c r="K1070" s="75" t="s">
        <v>509</v>
      </c>
      <c r="L1070" s="75" t="s">
        <v>535</v>
      </c>
      <c r="M1070" s="75" t="s">
        <v>509</v>
      </c>
      <c r="N1070" s="75" t="s">
        <v>535</v>
      </c>
      <c r="O1070" s="75" t="s">
        <v>1943</v>
      </c>
    </row>
    <row r="1071" spans="1:15">
      <c r="A1071" s="63" t="s">
        <v>849</v>
      </c>
      <c r="B1071" s="14" t="str">
        <f>VLOOKUP(O1071,'护理记录单文书字典(数据)'!B$4:C$99,2,0)</f>
        <v>7DD6F5350CFAB211FEB4D8A80F3F0F36</v>
      </c>
      <c r="C1071" s="75" t="s">
        <v>1982</v>
      </c>
      <c r="D1071" s="75" t="s">
        <v>1983</v>
      </c>
      <c r="E1071" s="92">
        <v>1</v>
      </c>
      <c r="F1071" s="92">
        <v>1</v>
      </c>
      <c r="G1071" s="75" t="s">
        <v>1978</v>
      </c>
      <c r="H1071" s="75"/>
      <c r="I1071" s="75"/>
      <c r="J1071" s="75" t="s">
        <v>162</v>
      </c>
      <c r="K1071" s="75" t="s">
        <v>509</v>
      </c>
      <c r="L1071" s="75" t="s">
        <v>535</v>
      </c>
      <c r="M1071" s="75" t="s">
        <v>509</v>
      </c>
      <c r="N1071" s="75" t="s">
        <v>535</v>
      </c>
      <c r="O1071" s="75" t="s">
        <v>1943</v>
      </c>
    </row>
    <row r="1072" spans="1:15">
      <c r="A1072" s="63" t="s">
        <v>849</v>
      </c>
      <c r="B1072" s="14" t="str">
        <f>VLOOKUP(O1072,'护理记录单文书字典(数据)'!B$4:C$99,2,0)</f>
        <v>7DD6F5350CFAB211FEB4D8A80F3F0F36</v>
      </c>
      <c r="C1072" s="75" t="s">
        <v>1982</v>
      </c>
      <c r="D1072" s="75" t="s">
        <v>1983</v>
      </c>
      <c r="E1072" s="92">
        <v>2</v>
      </c>
      <c r="F1072" s="92">
        <v>2</v>
      </c>
      <c r="G1072" s="75" t="s">
        <v>1979</v>
      </c>
      <c r="H1072" s="75"/>
      <c r="I1072" s="75"/>
      <c r="J1072" s="75" t="s">
        <v>162</v>
      </c>
      <c r="K1072" s="75" t="s">
        <v>509</v>
      </c>
      <c r="L1072" s="75" t="s">
        <v>535</v>
      </c>
      <c r="M1072" s="75" t="s">
        <v>509</v>
      </c>
      <c r="N1072" s="75" t="s">
        <v>535</v>
      </c>
      <c r="O1072" s="75" t="s">
        <v>1943</v>
      </c>
    </row>
    <row r="1073" spans="1:15">
      <c r="A1073" s="63" t="s">
        <v>849</v>
      </c>
      <c r="B1073" s="14" t="str">
        <f>VLOOKUP(O1073,'护理记录单文书字典(数据)'!B$4:C$99,2,0)</f>
        <v>7DD6F5350CFAB211FEB4D8A80F3F0F36</v>
      </c>
      <c r="C1073" s="170" t="s">
        <v>2745</v>
      </c>
      <c r="D1073" s="170" t="s">
        <v>2746</v>
      </c>
      <c r="E1073" s="171">
        <v>1</v>
      </c>
      <c r="F1073" s="171">
        <v>1</v>
      </c>
      <c r="G1073" s="170" t="s">
        <v>2747</v>
      </c>
      <c r="H1073" s="170"/>
      <c r="I1073" s="170"/>
      <c r="J1073" s="170" t="s">
        <v>162</v>
      </c>
      <c r="K1073" s="170" t="s">
        <v>509</v>
      </c>
      <c r="L1073" s="170" t="s">
        <v>535</v>
      </c>
      <c r="M1073" s="170" t="s">
        <v>509</v>
      </c>
      <c r="N1073" s="170" t="s">
        <v>535</v>
      </c>
      <c r="O1073" s="170" t="s">
        <v>2748</v>
      </c>
    </row>
    <row r="1074" spans="1:15">
      <c r="A1074" s="63" t="s">
        <v>849</v>
      </c>
      <c r="B1074" s="14" t="str">
        <f>VLOOKUP(O1074,'护理记录单文书字典(数据)'!B$4:C$99,2,0)</f>
        <v>7DD6F5350CFAB211FEB4D8A80F3F0F36</v>
      </c>
      <c r="C1074" s="170" t="s">
        <v>2745</v>
      </c>
      <c r="D1074" s="170" t="s">
        <v>2746</v>
      </c>
      <c r="E1074" s="171">
        <v>2</v>
      </c>
      <c r="F1074" s="171">
        <v>2</v>
      </c>
      <c r="G1074" s="170" t="s">
        <v>1917</v>
      </c>
      <c r="H1074" s="170"/>
      <c r="I1074" s="170"/>
      <c r="J1074" s="170" t="s">
        <v>162</v>
      </c>
      <c r="K1074" s="170" t="s">
        <v>509</v>
      </c>
      <c r="L1074" s="170" t="s">
        <v>535</v>
      </c>
      <c r="M1074" s="170" t="s">
        <v>509</v>
      </c>
      <c r="N1074" s="170" t="s">
        <v>535</v>
      </c>
      <c r="O1074" s="170" t="s">
        <v>1943</v>
      </c>
    </row>
    <row r="1075" spans="1:15">
      <c r="A1075" s="63" t="s">
        <v>849</v>
      </c>
      <c r="B1075" s="14" t="str">
        <f>VLOOKUP(O1075,'护理记录单文书字典(数据)'!B$4:C$99,2,0)</f>
        <v>7DD6F5350CFAB211FEB4D8A80F3F0F36</v>
      </c>
      <c r="C1075" s="170" t="s">
        <v>2745</v>
      </c>
      <c r="D1075" s="170" t="s">
        <v>2746</v>
      </c>
      <c r="E1075" s="171">
        <v>3</v>
      </c>
      <c r="F1075" s="171">
        <v>3</v>
      </c>
      <c r="G1075" s="170" t="s">
        <v>2749</v>
      </c>
      <c r="H1075" s="170"/>
      <c r="I1075" s="170"/>
      <c r="J1075" s="170" t="s">
        <v>162</v>
      </c>
      <c r="K1075" s="170" t="s">
        <v>509</v>
      </c>
      <c r="L1075" s="170" t="s">
        <v>535</v>
      </c>
      <c r="M1075" s="170" t="s">
        <v>509</v>
      </c>
      <c r="N1075" s="170" t="s">
        <v>535</v>
      </c>
      <c r="O1075" s="170" t="s">
        <v>1943</v>
      </c>
    </row>
    <row r="1076" spans="1:15">
      <c r="A1076" s="63" t="s">
        <v>849</v>
      </c>
      <c r="B1076" s="14" t="str">
        <f>VLOOKUP(O1076,'护理记录单文书字典(数据)'!B$4:C$99,2,0)</f>
        <v>C0D246706900B31108B48E5B8EBB6830</v>
      </c>
      <c r="C1076" s="84" t="s">
        <v>2576</v>
      </c>
      <c r="D1076" s="84" t="s">
        <v>2574</v>
      </c>
      <c r="E1076" s="92">
        <v>1</v>
      </c>
      <c r="F1076" s="92">
        <v>1</v>
      </c>
      <c r="G1076" s="74" t="s">
        <v>2577</v>
      </c>
      <c r="H1076" s="75"/>
      <c r="I1076" s="75"/>
      <c r="J1076" s="75" t="s">
        <v>162</v>
      </c>
      <c r="K1076" s="75" t="s">
        <v>509</v>
      </c>
      <c r="L1076" s="75" t="s">
        <v>535</v>
      </c>
      <c r="M1076" s="75" t="s">
        <v>509</v>
      </c>
      <c r="N1076" s="75" t="s">
        <v>535</v>
      </c>
      <c r="O1076" s="84" t="s">
        <v>2575</v>
      </c>
    </row>
    <row r="1077" spans="1:15">
      <c r="A1077" s="63" t="s">
        <v>849</v>
      </c>
      <c r="B1077" s="14" t="str">
        <f>VLOOKUP(O1077,'护理记录单文书字典(数据)'!B$4:C$99,2,0)</f>
        <v>C0D246706900B31108B48E5B8EBB6830</v>
      </c>
      <c r="C1077" s="84" t="s">
        <v>2576</v>
      </c>
      <c r="D1077" s="84" t="s">
        <v>2574</v>
      </c>
      <c r="E1077" s="92">
        <v>2</v>
      </c>
      <c r="F1077" s="92">
        <v>2</v>
      </c>
      <c r="G1077" s="84" t="s">
        <v>2578</v>
      </c>
      <c r="H1077" s="75"/>
      <c r="I1077" s="75"/>
      <c r="J1077" s="75" t="s">
        <v>162</v>
      </c>
      <c r="K1077" s="75" t="s">
        <v>509</v>
      </c>
      <c r="L1077" s="75" t="s">
        <v>535</v>
      </c>
      <c r="M1077" s="75" t="s">
        <v>509</v>
      </c>
      <c r="N1077" s="75" t="s">
        <v>535</v>
      </c>
      <c r="O1077" s="84" t="s">
        <v>2575</v>
      </c>
    </row>
    <row r="1078" spans="1:15">
      <c r="A1078" s="63" t="s">
        <v>849</v>
      </c>
      <c r="B1078" s="14" t="str">
        <f>VLOOKUP(O1078,'护理记录单文书字典(数据)'!B$4:C$99,2,0)</f>
        <v>C0D246706900B31108B48E5B8EBB6830</v>
      </c>
      <c r="C1078" s="84" t="s">
        <v>2576</v>
      </c>
      <c r="D1078" s="84" t="s">
        <v>2574</v>
      </c>
      <c r="E1078" s="92">
        <v>3</v>
      </c>
      <c r="F1078" s="92">
        <v>3</v>
      </c>
      <c r="G1078" s="84" t="s">
        <v>2579</v>
      </c>
      <c r="H1078" s="75"/>
      <c r="I1078" s="75"/>
      <c r="J1078" s="75" t="s">
        <v>162</v>
      </c>
      <c r="K1078" s="75" t="s">
        <v>509</v>
      </c>
      <c r="L1078" s="75" t="s">
        <v>535</v>
      </c>
      <c r="M1078" s="75" t="s">
        <v>509</v>
      </c>
      <c r="N1078" s="75" t="s">
        <v>535</v>
      </c>
      <c r="O1078" s="84" t="s">
        <v>2575</v>
      </c>
    </row>
    <row r="1079" spans="1:15">
      <c r="A1079" s="63" t="s">
        <v>849</v>
      </c>
      <c r="B1079" s="14" t="str">
        <f>VLOOKUP(O1079,'护理记录单文书字典(数据)'!B$4:C$99,2,0)</f>
        <v>C0D246706900B31108B48E5B8EBB6830</v>
      </c>
      <c r="C1079" s="84" t="s">
        <v>2576</v>
      </c>
      <c r="D1079" s="84" t="s">
        <v>2574</v>
      </c>
      <c r="E1079" s="92">
        <v>4</v>
      </c>
      <c r="F1079" s="92">
        <v>4</v>
      </c>
      <c r="G1079" s="84" t="s">
        <v>2580</v>
      </c>
      <c r="H1079" s="75"/>
      <c r="I1079" s="75"/>
      <c r="J1079" s="75" t="s">
        <v>162</v>
      </c>
      <c r="K1079" s="75" t="s">
        <v>509</v>
      </c>
      <c r="L1079" s="75" t="s">
        <v>535</v>
      </c>
      <c r="M1079" s="75" t="s">
        <v>509</v>
      </c>
      <c r="N1079" s="75" t="s">
        <v>535</v>
      </c>
      <c r="O1079" s="84" t="s">
        <v>2575</v>
      </c>
    </row>
    <row r="1080" spans="1:15">
      <c r="A1080" s="63" t="s">
        <v>849</v>
      </c>
      <c r="B1080" s="14" t="str">
        <f>VLOOKUP(O1080,'护理记录单文书字典(数据)'!B$4:C$99,2,0)</f>
        <v>C0D246706900B31108B48E5B8EBB6830</v>
      </c>
      <c r="C1080" s="84" t="s">
        <v>2576</v>
      </c>
      <c r="D1080" s="84" t="s">
        <v>2574</v>
      </c>
      <c r="E1080" s="92">
        <v>5</v>
      </c>
      <c r="F1080" s="92">
        <v>5</v>
      </c>
      <c r="G1080" s="84" t="s">
        <v>2581</v>
      </c>
      <c r="H1080" s="75"/>
      <c r="I1080" s="75"/>
      <c r="J1080" s="75" t="s">
        <v>162</v>
      </c>
      <c r="K1080" s="75" t="s">
        <v>509</v>
      </c>
      <c r="L1080" s="75" t="s">
        <v>535</v>
      </c>
      <c r="M1080" s="75" t="s">
        <v>509</v>
      </c>
      <c r="N1080" s="75" t="s">
        <v>535</v>
      </c>
      <c r="O1080" s="84" t="s">
        <v>2575</v>
      </c>
    </row>
    <row r="1081" spans="1:15">
      <c r="A1081" s="63" t="s">
        <v>849</v>
      </c>
      <c r="B1081" s="14" t="str">
        <f>VLOOKUP(O1081,'护理记录单文书字典(数据)'!B$4:C$99,2,0)</f>
        <v>C0D246706900B31108B48E5B8EBB6830</v>
      </c>
      <c r="C1081" s="84" t="s">
        <v>2576</v>
      </c>
      <c r="D1081" s="84" t="s">
        <v>2574</v>
      </c>
      <c r="E1081" s="92">
        <v>6</v>
      </c>
      <c r="F1081" s="92">
        <v>6</v>
      </c>
      <c r="G1081" s="84" t="s">
        <v>2582</v>
      </c>
      <c r="H1081" s="75"/>
      <c r="I1081" s="75"/>
      <c r="J1081" s="75" t="s">
        <v>162</v>
      </c>
      <c r="K1081" s="75" t="s">
        <v>509</v>
      </c>
      <c r="L1081" s="75" t="s">
        <v>535</v>
      </c>
      <c r="M1081" s="75" t="s">
        <v>509</v>
      </c>
      <c r="N1081" s="75" t="s">
        <v>535</v>
      </c>
      <c r="O1081" s="84" t="s">
        <v>2575</v>
      </c>
    </row>
    <row r="1082" spans="1:15">
      <c r="A1082" s="63" t="s">
        <v>849</v>
      </c>
      <c r="B1082" s="14" t="str">
        <f>VLOOKUP(O1082,'护理记录单文书字典(数据)'!B$4:C$99,2,0)</f>
        <v>C0D246706900B31108B48E5B8EBB6830</v>
      </c>
      <c r="C1082" s="84" t="s">
        <v>2576</v>
      </c>
      <c r="D1082" s="84" t="s">
        <v>2574</v>
      </c>
      <c r="E1082" s="92">
        <v>7</v>
      </c>
      <c r="F1082" s="92">
        <v>7</v>
      </c>
      <c r="G1082" s="84" t="s">
        <v>2583</v>
      </c>
      <c r="H1082" s="75"/>
      <c r="I1082" s="75"/>
      <c r="J1082" s="75" t="s">
        <v>162</v>
      </c>
      <c r="K1082" s="75" t="s">
        <v>509</v>
      </c>
      <c r="L1082" s="75" t="s">
        <v>535</v>
      </c>
      <c r="M1082" s="75" t="s">
        <v>509</v>
      </c>
      <c r="N1082" s="75" t="s">
        <v>535</v>
      </c>
      <c r="O1082" s="84" t="s">
        <v>2575</v>
      </c>
    </row>
    <row r="1083" spans="1:15">
      <c r="A1083" s="63" t="s">
        <v>849</v>
      </c>
      <c r="B1083" s="14" t="str">
        <f>VLOOKUP(O1083,'护理记录单文书字典(数据)'!B$4:C$99,2,0)</f>
        <v>C0D246706900B31108B48E5B8EBB6830</v>
      </c>
      <c r="C1083" s="84" t="s">
        <v>2586</v>
      </c>
      <c r="D1083" s="84" t="s">
        <v>2574</v>
      </c>
      <c r="E1083" s="92">
        <v>8</v>
      </c>
      <c r="F1083" s="92">
        <v>8</v>
      </c>
      <c r="G1083" s="84" t="s">
        <v>2584</v>
      </c>
      <c r="H1083" s="75"/>
      <c r="I1083" s="75"/>
      <c r="J1083" s="75" t="s">
        <v>162</v>
      </c>
      <c r="K1083" s="75" t="s">
        <v>509</v>
      </c>
      <c r="L1083" s="75" t="s">
        <v>535</v>
      </c>
      <c r="M1083" s="75" t="s">
        <v>509</v>
      </c>
      <c r="N1083" s="75" t="s">
        <v>535</v>
      </c>
      <c r="O1083" s="84" t="s">
        <v>2575</v>
      </c>
    </row>
    <row r="1084" spans="1:15">
      <c r="A1084" s="63" t="s">
        <v>849</v>
      </c>
      <c r="B1084" s="14" t="str">
        <f>VLOOKUP(O1084,'护理记录单文书字典(数据)'!B$4:C$99,2,0)</f>
        <v>C0D246706900B31108B48E5B8EBB6830</v>
      </c>
      <c r="C1084" s="84" t="s">
        <v>2588</v>
      </c>
      <c r="D1084" s="84" t="s">
        <v>1087</v>
      </c>
      <c r="E1084" s="92">
        <v>1</v>
      </c>
      <c r="F1084" s="92">
        <v>1</v>
      </c>
      <c r="G1084" s="84" t="s">
        <v>2589</v>
      </c>
      <c r="H1084" s="75"/>
      <c r="I1084" s="75"/>
      <c r="J1084" s="75" t="s">
        <v>162</v>
      </c>
      <c r="K1084" s="75" t="s">
        <v>509</v>
      </c>
      <c r="L1084" s="75" t="s">
        <v>535</v>
      </c>
      <c r="M1084" s="75" t="s">
        <v>509</v>
      </c>
      <c r="N1084" s="75" t="s">
        <v>535</v>
      </c>
      <c r="O1084" s="84" t="s">
        <v>2575</v>
      </c>
    </row>
    <row r="1085" spans="1:15">
      <c r="A1085" s="63" t="s">
        <v>849</v>
      </c>
      <c r="B1085" s="14" t="str">
        <f>VLOOKUP(O1085,'护理记录单文书字典(数据)'!B$4:C$99,2,0)</f>
        <v>C0D246706900B31108B48E5B8EBB6830</v>
      </c>
      <c r="C1085" s="84" t="s">
        <v>2588</v>
      </c>
      <c r="D1085" s="84" t="s">
        <v>1087</v>
      </c>
      <c r="E1085" s="92">
        <v>2</v>
      </c>
      <c r="F1085" s="92">
        <v>2</v>
      </c>
      <c r="G1085" s="84" t="s">
        <v>2590</v>
      </c>
      <c r="H1085" s="75"/>
      <c r="I1085" s="75"/>
      <c r="J1085" s="75" t="s">
        <v>162</v>
      </c>
      <c r="K1085" s="75" t="s">
        <v>509</v>
      </c>
      <c r="L1085" s="75" t="s">
        <v>535</v>
      </c>
      <c r="M1085" s="75" t="s">
        <v>509</v>
      </c>
      <c r="N1085" s="75" t="s">
        <v>535</v>
      </c>
      <c r="O1085" s="84" t="s">
        <v>2575</v>
      </c>
    </row>
    <row r="1086" spans="1:15">
      <c r="A1086" s="63" t="s">
        <v>849</v>
      </c>
      <c r="B1086" s="14" t="str">
        <f>VLOOKUP(O1086,'护理记录单文书字典(数据)'!B$4:C$99,2,0)</f>
        <v>C0D246706900B31108B48E5B8EBB6830</v>
      </c>
      <c r="C1086" s="84" t="s">
        <v>2588</v>
      </c>
      <c r="D1086" s="84" t="s">
        <v>1087</v>
      </c>
      <c r="E1086" s="92">
        <v>3</v>
      </c>
      <c r="F1086" s="92">
        <v>3</v>
      </c>
      <c r="G1086" s="84" t="s">
        <v>2591</v>
      </c>
      <c r="H1086" s="75"/>
      <c r="I1086" s="75"/>
      <c r="J1086" s="75" t="s">
        <v>162</v>
      </c>
      <c r="K1086" s="75" t="s">
        <v>509</v>
      </c>
      <c r="L1086" s="75" t="s">
        <v>535</v>
      </c>
      <c r="M1086" s="75" t="s">
        <v>509</v>
      </c>
      <c r="N1086" s="75" t="s">
        <v>535</v>
      </c>
      <c r="O1086" s="84" t="s">
        <v>2575</v>
      </c>
    </row>
    <row r="1087" spans="1:15">
      <c r="A1087" s="63" t="s">
        <v>849</v>
      </c>
      <c r="B1087" s="14" t="str">
        <f>VLOOKUP(O1087,'护理记录单文书字典(数据)'!B$4:C$99,2,0)</f>
        <v>C0D246706900B31108B48E5B8EBB6830</v>
      </c>
      <c r="C1087" s="84" t="s">
        <v>2588</v>
      </c>
      <c r="D1087" s="84" t="s">
        <v>1087</v>
      </c>
      <c r="E1087" s="92">
        <v>4</v>
      </c>
      <c r="F1087" s="92">
        <v>4</v>
      </c>
      <c r="G1087" s="84" t="s">
        <v>2592</v>
      </c>
      <c r="H1087" s="75"/>
      <c r="I1087" s="75"/>
      <c r="J1087" s="75" t="s">
        <v>162</v>
      </c>
      <c r="K1087" s="75" t="s">
        <v>509</v>
      </c>
      <c r="L1087" s="75" t="s">
        <v>535</v>
      </c>
      <c r="M1087" s="75" t="s">
        <v>509</v>
      </c>
      <c r="N1087" s="75" t="s">
        <v>535</v>
      </c>
      <c r="O1087" s="84" t="s">
        <v>2575</v>
      </c>
    </row>
    <row r="1088" spans="1:15">
      <c r="A1088" s="63" t="s">
        <v>849</v>
      </c>
      <c r="B1088" s="14" t="str">
        <f>VLOOKUP(O1088,'护理记录单文书字典(数据)'!B$4:C$99,2,0)</f>
        <v>C0D246706900B31108B48E5B8EBB6830</v>
      </c>
      <c r="C1088" s="84" t="s">
        <v>2588</v>
      </c>
      <c r="D1088" s="84" t="s">
        <v>1087</v>
      </c>
      <c r="E1088" s="92">
        <v>5</v>
      </c>
      <c r="F1088" s="92">
        <v>5</v>
      </c>
      <c r="G1088" s="84" t="s">
        <v>2593</v>
      </c>
      <c r="H1088" s="75"/>
      <c r="I1088" s="75"/>
      <c r="J1088" s="75" t="s">
        <v>162</v>
      </c>
      <c r="K1088" s="75" t="s">
        <v>509</v>
      </c>
      <c r="L1088" s="75" t="s">
        <v>535</v>
      </c>
      <c r="M1088" s="75" t="s">
        <v>509</v>
      </c>
      <c r="N1088" s="75" t="s">
        <v>535</v>
      </c>
      <c r="O1088" s="84" t="s">
        <v>2575</v>
      </c>
    </row>
    <row r="1089" spans="1:15">
      <c r="A1089" s="63" t="s">
        <v>849</v>
      </c>
      <c r="B1089" s="14" t="str">
        <f>VLOOKUP(O1089,'护理记录单文书字典(数据)'!B$4:C$99,2,0)</f>
        <v>C0D246706900B31108B48E5B8EBB6830</v>
      </c>
      <c r="C1089" s="84" t="s">
        <v>2588</v>
      </c>
      <c r="D1089" s="84" t="s">
        <v>1087</v>
      </c>
      <c r="E1089" s="92">
        <v>6</v>
      </c>
      <c r="F1089" s="92">
        <v>6</v>
      </c>
      <c r="G1089" s="84" t="s">
        <v>2594</v>
      </c>
      <c r="H1089" s="75"/>
      <c r="I1089" s="75"/>
      <c r="J1089" s="75" t="s">
        <v>162</v>
      </c>
      <c r="K1089" s="75" t="s">
        <v>509</v>
      </c>
      <c r="L1089" s="75" t="s">
        <v>535</v>
      </c>
      <c r="M1089" s="75" t="s">
        <v>509</v>
      </c>
      <c r="N1089" s="75" t="s">
        <v>535</v>
      </c>
      <c r="O1089" s="84" t="s">
        <v>2575</v>
      </c>
    </row>
    <row r="1090" spans="1:15">
      <c r="A1090" s="63" t="s">
        <v>849</v>
      </c>
      <c r="B1090" s="14" t="str">
        <f>VLOOKUP(O1090,'护理记录单文书字典(数据)'!B$4:C$99,2,0)</f>
        <v>C0D246706900B31108B48E5B8EBB6830</v>
      </c>
      <c r="C1090" s="84" t="s">
        <v>2588</v>
      </c>
      <c r="D1090" s="84" t="s">
        <v>1087</v>
      </c>
      <c r="E1090" s="92">
        <v>7</v>
      </c>
      <c r="F1090" s="92">
        <v>7</v>
      </c>
      <c r="G1090" s="84" t="s">
        <v>2595</v>
      </c>
      <c r="H1090" s="75"/>
      <c r="I1090" s="75"/>
      <c r="J1090" s="75" t="s">
        <v>162</v>
      </c>
      <c r="K1090" s="75" t="s">
        <v>509</v>
      </c>
      <c r="L1090" s="75" t="s">
        <v>535</v>
      </c>
      <c r="M1090" s="75" t="s">
        <v>509</v>
      </c>
      <c r="N1090" s="75" t="s">
        <v>535</v>
      </c>
      <c r="O1090" s="84" t="s">
        <v>2575</v>
      </c>
    </row>
    <row r="1091" spans="1:15">
      <c r="A1091" s="63" t="s">
        <v>849</v>
      </c>
      <c r="B1091" s="14" t="str">
        <f>VLOOKUP(O1091,'护理记录单文书字典(数据)'!B$4:C$99,2,0)</f>
        <v>C0D246706900B31108B48E5B8EBB6830</v>
      </c>
      <c r="C1091" s="84" t="s">
        <v>2596</v>
      </c>
      <c r="D1091" s="84" t="s">
        <v>1087</v>
      </c>
      <c r="E1091" s="92">
        <v>8</v>
      </c>
      <c r="F1091" s="92">
        <v>8</v>
      </c>
      <c r="G1091" s="84" t="s">
        <v>2584</v>
      </c>
      <c r="H1091" s="75"/>
      <c r="I1091" s="75"/>
      <c r="J1091" s="75" t="s">
        <v>162</v>
      </c>
      <c r="K1091" s="75" t="s">
        <v>509</v>
      </c>
      <c r="L1091" s="75" t="s">
        <v>535</v>
      </c>
      <c r="M1091" s="75" t="s">
        <v>509</v>
      </c>
      <c r="N1091" s="75" t="s">
        <v>535</v>
      </c>
      <c r="O1091" s="84" t="s">
        <v>2575</v>
      </c>
    </row>
    <row r="1092" spans="1:15">
      <c r="A1092" s="63" t="s">
        <v>849</v>
      </c>
      <c r="B1092" s="14" t="str">
        <f>VLOOKUP(O1092,'护理记录单文书字典(数据)'!B$4:C$99,2,0)</f>
        <v>C0D246706900B31108B48E5B8EBB6830</v>
      </c>
      <c r="C1092" s="84" t="s">
        <v>2621</v>
      </c>
      <c r="D1092" s="84" t="s">
        <v>2620</v>
      </c>
      <c r="E1092" s="92">
        <v>1</v>
      </c>
      <c r="F1092" s="92">
        <v>1</v>
      </c>
      <c r="G1092" s="84" t="s">
        <v>2602</v>
      </c>
      <c r="H1092" s="75"/>
      <c r="I1092" s="75"/>
      <c r="J1092" s="75" t="s">
        <v>162</v>
      </c>
      <c r="K1092" s="75" t="s">
        <v>509</v>
      </c>
      <c r="L1092" s="75" t="s">
        <v>535</v>
      </c>
      <c r="M1092" s="75" t="s">
        <v>509</v>
      </c>
      <c r="N1092" s="75" t="s">
        <v>535</v>
      </c>
      <c r="O1092" s="84" t="s">
        <v>2575</v>
      </c>
    </row>
    <row r="1093" spans="1:15">
      <c r="A1093" s="63" t="s">
        <v>849</v>
      </c>
      <c r="B1093" s="14" t="str">
        <f>VLOOKUP(O1093,'护理记录单文书字典(数据)'!B$4:C$99,2,0)</f>
        <v>C0D246706900B31108B48E5B8EBB6830</v>
      </c>
      <c r="C1093" s="84" t="s">
        <v>2606</v>
      </c>
      <c r="D1093" s="84" t="s">
        <v>2601</v>
      </c>
      <c r="E1093" s="92">
        <v>2</v>
      </c>
      <c r="F1093" s="92">
        <v>2</v>
      </c>
      <c r="G1093" s="84" t="s">
        <v>2603</v>
      </c>
      <c r="H1093" s="75"/>
      <c r="I1093" s="75"/>
      <c r="J1093" s="75" t="s">
        <v>162</v>
      </c>
      <c r="K1093" s="75" t="s">
        <v>509</v>
      </c>
      <c r="L1093" s="75" t="s">
        <v>535</v>
      </c>
      <c r="M1093" s="75" t="s">
        <v>509</v>
      </c>
      <c r="N1093" s="75" t="s">
        <v>535</v>
      </c>
      <c r="O1093" s="84" t="s">
        <v>2575</v>
      </c>
    </row>
    <row r="1094" spans="1:15">
      <c r="A1094" s="63" t="s">
        <v>849</v>
      </c>
      <c r="B1094" s="14" t="str">
        <f>VLOOKUP(O1094,'护理记录单文书字典(数据)'!B$4:C$99,2,0)</f>
        <v>C0D246706900B31108B48E5B8EBB6830</v>
      </c>
      <c r="C1094" s="84" t="s">
        <v>2606</v>
      </c>
      <c r="D1094" s="84" t="s">
        <v>2601</v>
      </c>
      <c r="E1094" s="92">
        <v>3</v>
      </c>
      <c r="F1094" s="92">
        <v>3</v>
      </c>
      <c r="G1094" s="84" t="s">
        <v>2604</v>
      </c>
      <c r="H1094" s="75"/>
      <c r="I1094" s="75"/>
      <c r="J1094" s="75" t="s">
        <v>162</v>
      </c>
      <c r="K1094" s="75" t="s">
        <v>509</v>
      </c>
      <c r="L1094" s="75" t="s">
        <v>535</v>
      </c>
      <c r="M1094" s="75" t="s">
        <v>509</v>
      </c>
      <c r="N1094" s="75" t="s">
        <v>535</v>
      </c>
      <c r="O1094" s="84" t="s">
        <v>2575</v>
      </c>
    </row>
    <row r="1095" spans="1:15">
      <c r="A1095" s="63" t="s">
        <v>849</v>
      </c>
      <c r="B1095" s="14" t="str">
        <f>VLOOKUP(O1095,'护理记录单文书字典(数据)'!B$4:C$99,2,0)</f>
        <v>C0D246706900B31108B48E5B8EBB6830</v>
      </c>
      <c r="C1095" s="84" t="s">
        <v>2607</v>
      </c>
      <c r="D1095" s="84" t="s">
        <v>2622</v>
      </c>
      <c r="E1095" s="92">
        <v>1</v>
      </c>
      <c r="F1095" s="92">
        <v>1</v>
      </c>
      <c r="G1095" s="84" t="s">
        <v>2608</v>
      </c>
      <c r="H1095" s="75"/>
      <c r="I1095" s="75"/>
      <c r="J1095" s="75" t="s">
        <v>162</v>
      </c>
      <c r="K1095" s="75" t="s">
        <v>509</v>
      </c>
      <c r="L1095" s="75" t="s">
        <v>535</v>
      </c>
      <c r="M1095" s="75" t="s">
        <v>509</v>
      </c>
      <c r="N1095" s="75" t="s">
        <v>535</v>
      </c>
      <c r="O1095" s="84" t="s">
        <v>2575</v>
      </c>
    </row>
    <row r="1096" spans="1:15">
      <c r="A1096" s="63" t="s">
        <v>849</v>
      </c>
      <c r="B1096" s="14" t="str">
        <f>VLOOKUP(O1096,'护理记录单文书字典(数据)'!B$4:C$99,2,0)</f>
        <v>C0D246706900B31108B48E5B8EBB6830</v>
      </c>
      <c r="C1096" s="84" t="s">
        <v>2623</v>
      </c>
      <c r="D1096" s="84" t="s">
        <v>2605</v>
      </c>
      <c r="E1096" s="92">
        <v>2</v>
      </c>
      <c r="F1096" s="92">
        <v>2</v>
      </c>
      <c r="G1096" s="84" t="s">
        <v>2609</v>
      </c>
      <c r="H1096" s="75"/>
      <c r="I1096" s="75"/>
      <c r="J1096" s="75" t="s">
        <v>162</v>
      </c>
      <c r="K1096" s="75" t="s">
        <v>509</v>
      </c>
      <c r="L1096" s="75" t="s">
        <v>535</v>
      </c>
      <c r="M1096" s="75" t="s">
        <v>509</v>
      </c>
      <c r="N1096" s="75" t="s">
        <v>535</v>
      </c>
      <c r="O1096" s="84" t="s">
        <v>2575</v>
      </c>
    </row>
    <row r="1097" spans="1:15">
      <c r="A1097" s="63" t="s">
        <v>849</v>
      </c>
      <c r="B1097" s="14" t="str">
        <f>VLOOKUP(O1097,'护理记录单文书字典(数据)'!B$4:C$99,2,0)</f>
        <v>C0D246706900B31108B48E5B8EBB6830</v>
      </c>
      <c r="C1097" s="84" t="s">
        <v>2607</v>
      </c>
      <c r="D1097" s="84" t="s">
        <v>2605</v>
      </c>
      <c r="E1097" s="92">
        <v>3</v>
      </c>
      <c r="F1097" s="92">
        <v>3</v>
      </c>
      <c r="G1097" s="84" t="s">
        <v>2610</v>
      </c>
      <c r="H1097" s="75"/>
      <c r="I1097" s="75"/>
      <c r="J1097" s="75" t="s">
        <v>162</v>
      </c>
      <c r="K1097" s="75" t="s">
        <v>509</v>
      </c>
      <c r="L1097" s="75" t="s">
        <v>535</v>
      </c>
      <c r="M1097" s="75" t="s">
        <v>509</v>
      </c>
      <c r="N1097" s="75" t="s">
        <v>535</v>
      </c>
      <c r="O1097" s="84" t="s">
        <v>2575</v>
      </c>
    </row>
    <row r="1098" spans="1:15">
      <c r="A1098" s="63" t="s">
        <v>849</v>
      </c>
      <c r="B1098" s="14" t="str">
        <f>VLOOKUP(O1098,'护理记录单文书字典(数据)'!B$4:C$99,2,0)</f>
        <v>C0D246706900B31108B48E5B8EBB6830</v>
      </c>
      <c r="C1098" s="84" t="s">
        <v>2624</v>
      </c>
      <c r="D1098" s="84" t="s">
        <v>2625</v>
      </c>
      <c r="E1098" s="92">
        <v>1</v>
      </c>
      <c r="F1098" s="92">
        <v>1</v>
      </c>
      <c r="G1098" s="84" t="s">
        <v>2613</v>
      </c>
      <c r="H1098" s="75"/>
      <c r="I1098" s="75"/>
      <c r="J1098" s="75" t="s">
        <v>162</v>
      </c>
      <c r="K1098" s="75" t="s">
        <v>509</v>
      </c>
      <c r="L1098" s="75" t="s">
        <v>535</v>
      </c>
      <c r="M1098" s="75" t="s">
        <v>509</v>
      </c>
      <c r="N1098" s="75" t="s">
        <v>535</v>
      </c>
      <c r="O1098" s="84" t="s">
        <v>2575</v>
      </c>
    </row>
    <row r="1099" spans="1:15">
      <c r="A1099" s="63" t="s">
        <v>849</v>
      </c>
      <c r="B1099" s="14" t="str">
        <f>VLOOKUP(O1099,'护理记录单文书字典(数据)'!B$4:C$99,2,0)</f>
        <v>C0D246706900B31108B48E5B8EBB6830</v>
      </c>
      <c r="C1099" s="84" t="s">
        <v>2612</v>
      </c>
      <c r="D1099" s="84" t="s">
        <v>2611</v>
      </c>
      <c r="E1099" s="92">
        <v>2</v>
      </c>
      <c r="F1099" s="92">
        <v>2</v>
      </c>
      <c r="G1099" s="84" t="s">
        <v>2614</v>
      </c>
      <c r="H1099" s="75"/>
      <c r="I1099" s="75"/>
      <c r="J1099" s="75" t="s">
        <v>162</v>
      </c>
      <c r="K1099" s="75" t="s">
        <v>509</v>
      </c>
      <c r="L1099" s="75" t="s">
        <v>535</v>
      </c>
      <c r="M1099" s="75" t="s">
        <v>509</v>
      </c>
      <c r="N1099" s="75" t="s">
        <v>535</v>
      </c>
      <c r="O1099" s="84" t="s">
        <v>2575</v>
      </c>
    </row>
    <row r="1100" spans="1:15">
      <c r="A1100" s="63" t="s">
        <v>849</v>
      </c>
      <c r="B1100" s="14" t="str">
        <f>VLOOKUP(O1100,'护理记录单文书字典(数据)'!B$4:C$99,2,0)</f>
        <v>C0D246706900B31108B48E5B8EBB6830</v>
      </c>
      <c r="C1100" s="84" t="s">
        <v>2612</v>
      </c>
      <c r="D1100" s="84" t="s">
        <v>2611</v>
      </c>
      <c r="E1100" s="92">
        <v>3</v>
      </c>
      <c r="F1100" s="92">
        <v>3</v>
      </c>
      <c r="G1100" s="84" t="s">
        <v>2615</v>
      </c>
      <c r="H1100" s="75"/>
      <c r="I1100" s="75"/>
      <c r="J1100" s="75" t="s">
        <v>162</v>
      </c>
      <c r="K1100" s="75" t="s">
        <v>509</v>
      </c>
      <c r="L1100" s="75" t="s">
        <v>535</v>
      </c>
      <c r="M1100" s="75" t="s">
        <v>509</v>
      </c>
      <c r="N1100" s="75" t="s">
        <v>535</v>
      </c>
      <c r="O1100" s="84" t="s">
        <v>2575</v>
      </c>
    </row>
    <row r="1101" spans="1:15">
      <c r="A1101" s="63" t="s">
        <v>849</v>
      </c>
      <c r="B1101" s="14" t="str">
        <f>VLOOKUP(O1101,'护理记录单文书字典(数据)'!B$4:C$99,2,0)</f>
        <v>C0D246706900B31108B48E5B8EBB6830</v>
      </c>
      <c r="C1101" s="84" t="s">
        <v>2099</v>
      </c>
      <c r="D1101" s="84" t="s">
        <v>2616</v>
      </c>
      <c r="E1101" s="92">
        <v>1</v>
      </c>
      <c r="F1101" s="92">
        <v>0</v>
      </c>
      <c r="G1101" s="84" t="s">
        <v>2617</v>
      </c>
      <c r="H1101" s="75"/>
      <c r="I1101" s="75"/>
      <c r="J1101" s="75" t="s">
        <v>162</v>
      </c>
      <c r="K1101" s="75" t="s">
        <v>509</v>
      </c>
      <c r="L1101" s="75" t="s">
        <v>535</v>
      </c>
      <c r="M1101" s="75" t="s">
        <v>509</v>
      </c>
      <c r="N1101" s="75" t="s">
        <v>535</v>
      </c>
      <c r="O1101" s="84" t="s">
        <v>2575</v>
      </c>
    </row>
    <row r="1102" spans="1:15">
      <c r="A1102" s="63" t="s">
        <v>849</v>
      </c>
      <c r="B1102" s="14" t="str">
        <f>VLOOKUP(O1102,'护理记录单文书字典(数据)'!B$4:C$99,2,0)</f>
        <v>C0D246706900B31108B48E5B8EBB6830</v>
      </c>
      <c r="C1102" s="84" t="s">
        <v>2091</v>
      </c>
      <c r="D1102" s="84" t="s">
        <v>2618</v>
      </c>
      <c r="E1102" s="92">
        <v>2</v>
      </c>
      <c r="F1102" s="92">
        <v>1</v>
      </c>
      <c r="G1102" s="84" t="s">
        <v>2619</v>
      </c>
      <c r="H1102" s="75"/>
      <c r="I1102" s="75"/>
      <c r="J1102" s="75" t="s">
        <v>162</v>
      </c>
      <c r="K1102" s="75" t="s">
        <v>509</v>
      </c>
      <c r="L1102" s="75" t="s">
        <v>535</v>
      </c>
      <c r="M1102" s="75" t="s">
        <v>509</v>
      </c>
      <c r="N1102" s="75" t="s">
        <v>535</v>
      </c>
      <c r="O1102" s="84" t="s">
        <v>2575</v>
      </c>
    </row>
    <row r="1103" spans="1:15">
      <c r="A1103" s="63" t="s">
        <v>849</v>
      </c>
      <c r="B1103" s="14" t="str">
        <f>VLOOKUP(O1103,'护理记录单文书字典(数据)'!B$4:C$99,2,0)</f>
        <v>C0D246706900B31108B48E5B8EBB6830</v>
      </c>
      <c r="C1103" s="84" t="s">
        <v>2631</v>
      </c>
      <c r="D1103" s="84" t="s">
        <v>2626</v>
      </c>
      <c r="E1103" s="92">
        <v>1</v>
      </c>
      <c r="F1103" s="92">
        <v>1</v>
      </c>
      <c r="G1103" s="84" t="s">
        <v>2619</v>
      </c>
      <c r="H1103" s="75"/>
      <c r="I1103" s="75"/>
      <c r="J1103" s="75" t="s">
        <v>162</v>
      </c>
      <c r="K1103" s="75" t="s">
        <v>509</v>
      </c>
      <c r="L1103" s="75" t="s">
        <v>535</v>
      </c>
      <c r="M1103" s="75" t="s">
        <v>509</v>
      </c>
      <c r="N1103" s="75" t="s">
        <v>535</v>
      </c>
      <c r="O1103" s="84" t="s">
        <v>2575</v>
      </c>
    </row>
    <row r="1104" spans="1:15">
      <c r="A1104" s="63" t="s">
        <v>849</v>
      </c>
      <c r="B1104" s="14" t="str">
        <f>VLOOKUP(O1104,'护理记录单文书字典(数据)'!B$4:C$99,2,0)</f>
        <v>C0D246706900B31108B48E5B8EBB6830</v>
      </c>
      <c r="C1104" s="84" t="s">
        <v>2630</v>
      </c>
      <c r="D1104" s="84" t="s">
        <v>2626</v>
      </c>
      <c r="E1104" s="92">
        <v>2</v>
      </c>
      <c r="F1104" s="92">
        <v>2</v>
      </c>
      <c r="G1104" s="84" t="s">
        <v>2627</v>
      </c>
      <c r="H1104" s="75"/>
      <c r="I1104" s="75"/>
      <c r="J1104" s="75" t="s">
        <v>162</v>
      </c>
      <c r="K1104" s="75" t="s">
        <v>509</v>
      </c>
      <c r="L1104" s="75" t="s">
        <v>535</v>
      </c>
      <c r="M1104" s="75" t="s">
        <v>509</v>
      </c>
      <c r="N1104" s="75" t="s">
        <v>535</v>
      </c>
      <c r="O1104" s="84" t="s">
        <v>2575</v>
      </c>
    </row>
    <row r="1105" spans="1:15">
      <c r="A1105" s="63" t="s">
        <v>849</v>
      </c>
      <c r="B1105" s="14" t="str">
        <f>VLOOKUP(O1105,'护理记录单文书字典(数据)'!B$4:C$99,2,0)</f>
        <v>C0D246706900B31108B48E5B8EBB6830</v>
      </c>
      <c r="C1105" s="84" t="s">
        <v>2630</v>
      </c>
      <c r="D1105" s="84" t="s">
        <v>2626</v>
      </c>
      <c r="E1105" s="92">
        <v>3</v>
      </c>
      <c r="F1105" s="92">
        <v>3</v>
      </c>
      <c r="G1105" s="84" t="s">
        <v>2628</v>
      </c>
      <c r="H1105" s="75"/>
      <c r="I1105" s="75"/>
      <c r="J1105" s="75" t="s">
        <v>162</v>
      </c>
      <c r="K1105" s="75" t="s">
        <v>509</v>
      </c>
      <c r="L1105" s="75" t="s">
        <v>535</v>
      </c>
      <c r="M1105" s="75" t="s">
        <v>509</v>
      </c>
      <c r="N1105" s="75" t="s">
        <v>535</v>
      </c>
      <c r="O1105" s="84" t="s">
        <v>2575</v>
      </c>
    </row>
    <row r="1106" spans="1:15">
      <c r="A1106" s="63" t="s">
        <v>849</v>
      </c>
      <c r="B1106" s="14" t="str">
        <f>VLOOKUP(O1106,'护理记录单文书字典(数据)'!B$4:C$99,2,0)</f>
        <v>C0D246706900B31108B48E5B8EBB6830</v>
      </c>
      <c r="C1106" s="84" t="s">
        <v>2630</v>
      </c>
      <c r="D1106" s="84" t="s">
        <v>2626</v>
      </c>
      <c r="E1106" s="92">
        <v>4</v>
      </c>
      <c r="F1106" s="92">
        <v>4</v>
      </c>
      <c r="G1106" s="84" t="s">
        <v>2629</v>
      </c>
      <c r="H1106" s="75"/>
      <c r="I1106" s="75"/>
      <c r="J1106" s="75" t="s">
        <v>162</v>
      </c>
      <c r="K1106" s="75" t="s">
        <v>509</v>
      </c>
      <c r="L1106" s="75" t="s">
        <v>535</v>
      </c>
      <c r="M1106" s="75" t="s">
        <v>509</v>
      </c>
      <c r="N1106" s="75" t="s">
        <v>535</v>
      </c>
      <c r="O1106" s="84" t="s">
        <v>2575</v>
      </c>
    </row>
    <row r="1107" spans="1:15">
      <c r="A1107" s="63" t="s">
        <v>849</v>
      </c>
      <c r="B1107" s="14" t="str">
        <f>VLOOKUP(O1107,'护理记录单文书字典(数据)'!B$4:C$99,2,0)</f>
        <v>C0D246706900B31108B48E5B8EBB6830</v>
      </c>
      <c r="C1107" s="84" t="s">
        <v>2632</v>
      </c>
      <c r="D1107" s="84" t="s">
        <v>2633</v>
      </c>
      <c r="E1107" s="92">
        <v>1</v>
      </c>
      <c r="F1107" s="92">
        <v>1</v>
      </c>
      <c r="G1107" s="84" t="s">
        <v>2634</v>
      </c>
      <c r="H1107" s="75"/>
      <c r="I1107" s="75"/>
      <c r="J1107" s="75" t="s">
        <v>162</v>
      </c>
      <c r="K1107" s="75" t="s">
        <v>509</v>
      </c>
      <c r="L1107" s="75" t="s">
        <v>535</v>
      </c>
      <c r="M1107" s="75" t="s">
        <v>509</v>
      </c>
      <c r="N1107" s="75" t="s">
        <v>535</v>
      </c>
      <c r="O1107" s="84" t="s">
        <v>2575</v>
      </c>
    </row>
    <row r="1108" spans="1:15">
      <c r="A1108" s="63" t="s">
        <v>849</v>
      </c>
      <c r="B1108" s="14" t="str">
        <f>VLOOKUP(O1108,'护理记录单文书字典(数据)'!B$4:C$99,2,0)</f>
        <v>C0D246706900B31108B48E5B8EBB6830</v>
      </c>
      <c r="C1108" s="84" t="s">
        <v>2632</v>
      </c>
      <c r="D1108" s="84" t="s">
        <v>2633</v>
      </c>
      <c r="E1108" s="92">
        <v>2</v>
      </c>
      <c r="F1108" s="92">
        <v>2</v>
      </c>
      <c r="G1108" s="84" t="s">
        <v>2635</v>
      </c>
      <c r="H1108" s="75"/>
      <c r="I1108" s="75"/>
      <c r="J1108" s="75" t="s">
        <v>162</v>
      </c>
      <c r="K1108" s="75" t="s">
        <v>509</v>
      </c>
      <c r="L1108" s="75" t="s">
        <v>535</v>
      </c>
      <c r="M1108" s="75" t="s">
        <v>509</v>
      </c>
      <c r="N1108" s="75" t="s">
        <v>535</v>
      </c>
      <c r="O1108" s="84" t="s">
        <v>2575</v>
      </c>
    </row>
    <row r="1109" spans="1:15">
      <c r="A1109" s="63" t="s">
        <v>849</v>
      </c>
      <c r="B1109" s="14" t="str">
        <f>VLOOKUP(O1109,'护理记录单文书字典(数据)'!B$4:C$99,2,0)</f>
        <v>C0D246706900B31108B48E5B8EBB6830</v>
      </c>
      <c r="C1109" s="84" t="s">
        <v>2632</v>
      </c>
      <c r="D1109" s="84" t="s">
        <v>2633</v>
      </c>
      <c r="E1109" s="92">
        <v>3</v>
      </c>
      <c r="F1109" s="92">
        <v>3</v>
      </c>
      <c r="G1109" s="84" t="s">
        <v>2636</v>
      </c>
      <c r="H1109" s="75"/>
      <c r="I1109" s="75"/>
      <c r="J1109" s="75" t="s">
        <v>162</v>
      </c>
      <c r="K1109" s="75" t="s">
        <v>509</v>
      </c>
      <c r="L1109" s="75" t="s">
        <v>535</v>
      </c>
      <c r="M1109" s="75" t="s">
        <v>509</v>
      </c>
      <c r="N1109" s="75" t="s">
        <v>535</v>
      </c>
      <c r="O1109" s="84" t="s">
        <v>2575</v>
      </c>
    </row>
    <row r="1110" spans="1:15">
      <c r="A1110" s="63" t="s">
        <v>849</v>
      </c>
      <c r="B1110" s="14" t="str">
        <f>VLOOKUP(O1110,'护理记录单文书字典(数据)'!B$4:C$99,2,0)</f>
        <v>C0D246706900B31108B48E5B8EBB6830</v>
      </c>
      <c r="C1110" s="84" t="s">
        <v>2632</v>
      </c>
      <c r="D1110" s="84" t="s">
        <v>2633</v>
      </c>
      <c r="E1110" s="92">
        <v>4</v>
      </c>
      <c r="F1110" s="92">
        <v>4</v>
      </c>
      <c r="G1110" s="84" t="s">
        <v>2637</v>
      </c>
      <c r="H1110" s="75"/>
      <c r="I1110" s="75"/>
      <c r="J1110" s="75" t="s">
        <v>162</v>
      </c>
      <c r="K1110" s="75" t="s">
        <v>509</v>
      </c>
      <c r="L1110" s="75" t="s">
        <v>535</v>
      </c>
      <c r="M1110" s="75" t="s">
        <v>509</v>
      </c>
      <c r="N1110" s="75" t="s">
        <v>535</v>
      </c>
      <c r="O1110" s="84" t="s">
        <v>2575</v>
      </c>
    </row>
    <row r="1111" spans="1:15">
      <c r="A1111" s="63" t="s">
        <v>849</v>
      </c>
      <c r="B1111" s="14" t="str">
        <f>VLOOKUP(O1111,'护理记录单文书字典(数据)'!B$4:C$99,2,0)</f>
        <v>C0D246706900B31108B48E5B8EBB6830</v>
      </c>
      <c r="C1111" s="84" t="s">
        <v>2632</v>
      </c>
      <c r="D1111" s="84" t="s">
        <v>2633</v>
      </c>
      <c r="E1111" s="92">
        <v>5</v>
      </c>
      <c r="F1111" s="92">
        <v>5</v>
      </c>
      <c r="G1111" s="84" t="s">
        <v>2610</v>
      </c>
      <c r="H1111" s="75"/>
      <c r="I1111" s="75"/>
      <c r="J1111" s="75" t="s">
        <v>162</v>
      </c>
      <c r="K1111" s="75" t="s">
        <v>509</v>
      </c>
      <c r="L1111" s="75" t="s">
        <v>535</v>
      </c>
      <c r="M1111" s="75" t="s">
        <v>509</v>
      </c>
      <c r="N1111" s="75" t="s">
        <v>535</v>
      </c>
      <c r="O1111" s="84" t="s">
        <v>2575</v>
      </c>
    </row>
    <row r="1112" spans="1:15">
      <c r="A1112" s="63" t="s">
        <v>849</v>
      </c>
      <c r="B1112" s="14" t="str">
        <f>VLOOKUP(O1112,'护理记录单文书字典(数据)'!B$4:C$99,2,0)</f>
        <v>C0D246706900B31108B48E5B8EBB6830</v>
      </c>
      <c r="C1112" s="84" t="s">
        <v>2632</v>
      </c>
      <c r="D1112" s="84" t="s">
        <v>2633</v>
      </c>
      <c r="E1112" s="92">
        <v>6</v>
      </c>
      <c r="F1112" s="92">
        <v>6</v>
      </c>
      <c r="G1112" s="84" t="s">
        <v>2638</v>
      </c>
      <c r="H1112" s="75"/>
      <c r="I1112" s="75"/>
      <c r="J1112" s="75" t="s">
        <v>162</v>
      </c>
      <c r="K1112" s="75" t="s">
        <v>509</v>
      </c>
      <c r="L1112" s="75" t="s">
        <v>535</v>
      </c>
      <c r="M1112" s="75" t="s">
        <v>509</v>
      </c>
      <c r="N1112" s="75" t="s">
        <v>535</v>
      </c>
      <c r="O1112" s="84" t="s">
        <v>2575</v>
      </c>
    </row>
    <row r="1113" spans="1:15">
      <c r="A1113" s="63" t="s">
        <v>849</v>
      </c>
      <c r="B1113" s="14" t="str">
        <f>VLOOKUP(O1113,'护理记录单文书字典(数据)'!B$4:C$99,2,0)</f>
        <v>C0D246706900B31108B48E5B8EBB6830</v>
      </c>
      <c r="C1113" s="84" t="s">
        <v>2632</v>
      </c>
      <c r="D1113" s="84" t="s">
        <v>2633</v>
      </c>
      <c r="E1113" s="92">
        <v>7</v>
      </c>
      <c r="F1113" s="92">
        <v>7</v>
      </c>
      <c r="G1113" s="84" t="s">
        <v>2639</v>
      </c>
      <c r="H1113" s="75"/>
      <c r="I1113" s="75"/>
      <c r="J1113" s="75" t="s">
        <v>162</v>
      </c>
      <c r="K1113" s="75" t="s">
        <v>509</v>
      </c>
      <c r="L1113" s="75" t="s">
        <v>535</v>
      </c>
      <c r="M1113" s="75" t="s">
        <v>509</v>
      </c>
      <c r="N1113" s="75" t="s">
        <v>535</v>
      </c>
      <c r="O1113" s="84" t="s">
        <v>2575</v>
      </c>
    </row>
    <row r="1114" spans="1:15">
      <c r="A1114" s="63" t="s">
        <v>849</v>
      </c>
      <c r="B1114" s="14" t="str">
        <f>VLOOKUP(O1114,'护理记录单文书字典(数据)'!B$4:C$99,2,0)</f>
        <v>C0D246706900B31108B48E5B8EBB6830</v>
      </c>
      <c r="C1114" s="84" t="s">
        <v>2632</v>
      </c>
      <c r="D1114" s="84" t="s">
        <v>2633</v>
      </c>
      <c r="E1114" s="92">
        <v>8</v>
      </c>
      <c r="F1114" s="92">
        <v>8</v>
      </c>
      <c r="G1114" s="84" t="s">
        <v>2640</v>
      </c>
      <c r="H1114" s="75"/>
      <c r="I1114" s="75"/>
      <c r="J1114" s="75" t="s">
        <v>162</v>
      </c>
      <c r="K1114" s="75" t="s">
        <v>509</v>
      </c>
      <c r="L1114" s="75" t="s">
        <v>535</v>
      </c>
      <c r="M1114" s="75" t="s">
        <v>509</v>
      </c>
      <c r="N1114" s="75" t="s">
        <v>535</v>
      </c>
      <c r="O1114" s="84" t="s">
        <v>2575</v>
      </c>
    </row>
    <row r="1115" spans="1:15">
      <c r="A1115" s="63" t="s">
        <v>849</v>
      </c>
      <c r="B1115" s="14" t="str">
        <f>VLOOKUP(O1115,'护理记录单文书字典(数据)'!B$4:C$99,2,0)</f>
        <v>C0D246706900B31108B48E5B8EBB6830</v>
      </c>
      <c r="C1115" s="84" t="s">
        <v>2632</v>
      </c>
      <c r="D1115" s="84" t="s">
        <v>2633</v>
      </c>
      <c r="E1115" s="92">
        <v>9</v>
      </c>
      <c r="F1115" s="92">
        <v>9</v>
      </c>
      <c r="G1115" s="84" t="s">
        <v>2641</v>
      </c>
      <c r="H1115" s="75"/>
      <c r="I1115" s="75"/>
      <c r="J1115" s="75" t="s">
        <v>162</v>
      </c>
      <c r="K1115" s="75" t="s">
        <v>509</v>
      </c>
      <c r="L1115" s="75" t="s">
        <v>535</v>
      </c>
      <c r="M1115" s="75" t="s">
        <v>509</v>
      </c>
      <c r="N1115" s="75" t="s">
        <v>535</v>
      </c>
      <c r="O1115" s="84" t="s">
        <v>2575</v>
      </c>
    </row>
    <row r="1116" spans="1:15">
      <c r="A1116" s="63" t="s">
        <v>849</v>
      </c>
      <c r="B1116" s="14" t="str">
        <f>VLOOKUP(O1116,'护理记录单文书字典(数据)'!B$4:C$99,2,0)</f>
        <v>C0D246706900B31108B48E5B8EBB6830</v>
      </c>
      <c r="C1116" s="84" t="s">
        <v>2632</v>
      </c>
      <c r="D1116" s="84" t="s">
        <v>2633</v>
      </c>
      <c r="E1116" s="92">
        <v>10</v>
      </c>
      <c r="F1116" s="92">
        <v>10</v>
      </c>
      <c r="G1116" s="84" t="s">
        <v>2584</v>
      </c>
      <c r="H1116" s="75"/>
      <c r="I1116" s="75"/>
      <c r="J1116" s="75" t="s">
        <v>162</v>
      </c>
      <c r="K1116" s="75" t="s">
        <v>509</v>
      </c>
      <c r="L1116" s="75" t="s">
        <v>535</v>
      </c>
      <c r="M1116" s="75" t="s">
        <v>509</v>
      </c>
      <c r="N1116" s="75" t="s">
        <v>535</v>
      </c>
      <c r="O1116" s="84" t="s">
        <v>2575</v>
      </c>
    </row>
    <row r="1117" spans="1:15">
      <c r="A1117" s="63" t="s">
        <v>849</v>
      </c>
      <c r="B1117" s="14" t="str">
        <f>VLOOKUP(O1117,'护理记录单文书字典(数据)'!B$4:C$99,2,0)</f>
        <v>D335B6350CFAB2116C90F1ACA3474419</v>
      </c>
      <c r="C1117" s="170" t="s">
        <v>2665</v>
      </c>
      <c r="D1117" s="170" t="s">
        <v>2666</v>
      </c>
      <c r="E1117" s="171">
        <v>1</v>
      </c>
      <c r="F1117" s="171">
        <v>1</v>
      </c>
      <c r="G1117" s="170">
        <v>0</v>
      </c>
      <c r="H1117" s="170">
        <v>0</v>
      </c>
      <c r="I1117" s="170"/>
      <c r="J1117" s="170" t="s">
        <v>162</v>
      </c>
      <c r="K1117" s="170" t="s">
        <v>509</v>
      </c>
      <c r="L1117" s="170" t="s">
        <v>535</v>
      </c>
      <c r="M1117" s="170" t="s">
        <v>509</v>
      </c>
      <c r="N1117" s="170" t="s">
        <v>535</v>
      </c>
      <c r="O1117" s="170" t="s">
        <v>2667</v>
      </c>
    </row>
    <row r="1118" spans="1:15">
      <c r="A1118" s="63" t="s">
        <v>849</v>
      </c>
      <c r="B1118" s="14" t="str">
        <f>VLOOKUP(O1118,'护理记录单文书字典(数据)'!B$4:C$99,2,0)</f>
        <v>D335B6350CFAB2116C90F1ACA3474419</v>
      </c>
      <c r="C1118" s="170" t="s">
        <v>2665</v>
      </c>
      <c r="D1118" s="170" t="s">
        <v>2666</v>
      </c>
      <c r="E1118" s="171">
        <v>2</v>
      </c>
      <c r="F1118" s="171">
        <v>2</v>
      </c>
      <c r="G1118" s="170">
        <v>1</v>
      </c>
      <c r="H1118" s="170">
        <v>1</v>
      </c>
      <c r="I1118" s="170"/>
      <c r="J1118" s="170" t="s">
        <v>162</v>
      </c>
      <c r="K1118" s="170" t="s">
        <v>509</v>
      </c>
      <c r="L1118" s="170" t="s">
        <v>535</v>
      </c>
      <c r="M1118" s="170" t="s">
        <v>509</v>
      </c>
      <c r="N1118" s="170" t="s">
        <v>535</v>
      </c>
      <c r="O1118" s="170" t="s">
        <v>2667</v>
      </c>
    </row>
    <row r="1119" spans="1:15">
      <c r="A1119" s="63" t="s">
        <v>849</v>
      </c>
      <c r="B1119" s="14" t="str">
        <f>VLOOKUP(O1119,'护理记录单文书字典(数据)'!B$4:C$99,2,0)</f>
        <v>D335B6350CFAB2116C90F1ACA3474419</v>
      </c>
      <c r="C1119" s="170" t="s">
        <v>2665</v>
      </c>
      <c r="D1119" s="170" t="s">
        <v>2666</v>
      </c>
      <c r="E1119" s="171">
        <v>3</v>
      </c>
      <c r="F1119" s="171">
        <v>3</v>
      </c>
      <c r="G1119" s="170">
        <v>2</v>
      </c>
      <c r="H1119" s="170">
        <v>2</v>
      </c>
      <c r="I1119" s="170"/>
      <c r="J1119" s="170" t="s">
        <v>162</v>
      </c>
      <c r="K1119" s="170" t="s">
        <v>509</v>
      </c>
      <c r="L1119" s="170" t="s">
        <v>535</v>
      </c>
      <c r="M1119" s="170" t="s">
        <v>509</v>
      </c>
      <c r="N1119" s="170" t="s">
        <v>535</v>
      </c>
      <c r="O1119" s="170" t="s">
        <v>2667</v>
      </c>
    </row>
    <row r="1120" spans="1:15">
      <c r="A1120" s="63" t="s">
        <v>849</v>
      </c>
      <c r="B1120" s="14" t="str">
        <f>VLOOKUP(O1120,'护理记录单文书字典(数据)'!B$4:C$99,2,0)</f>
        <v>D335B6350CFAB2116C90F1ACA3474419</v>
      </c>
      <c r="C1120" s="170" t="s">
        <v>2665</v>
      </c>
      <c r="D1120" s="170" t="s">
        <v>2666</v>
      </c>
      <c r="E1120" s="171">
        <v>4</v>
      </c>
      <c r="F1120" s="171">
        <v>4</v>
      </c>
      <c r="G1120" s="170">
        <v>3</v>
      </c>
      <c r="H1120" s="170">
        <v>3</v>
      </c>
      <c r="I1120" s="170"/>
      <c r="J1120" s="170" t="s">
        <v>162</v>
      </c>
      <c r="K1120" s="170" t="s">
        <v>509</v>
      </c>
      <c r="L1120" s="170" t="s">
        <v>535</v>
      </c>
      <c r="M1120" s="170" t="s">
        <v>509</v>
      </c>
      <c r="N1120" s="170" t="s">
        <v>535</v>
      </c>
      <c r="O1120" s="170" t="s">
        <v>2667</v>
      </c>
    </row>
    <row r="1121" spans="1:15">
      <c r="A1121" s="63" t="s">
        <v>849</v>
      </c>
      <c r="B1121" s="14" t="str">
        <f>VLOOKUP(O1121,'护理记录单文书字典(数据)'!B$4:C$99,2,0)</f>
        <v>D335B6350CFAB2116C90F1ACA3474419</v>
      </c>
      <c r="C1121" s="170" t="s">
        <v>2665</v>
      </c>
      <c r="D1121" s="170" t="s">
        <v>2666</v>
      </c>
      <c r="E1121" s="171">
        <v>5</v>
      </c>
      <c r="F1121" s="171">
        <v>5</v>
      </c>
      <c r="G1121" s="170">
        <v>4</v>
      </c>
      <c r="H1121" s="170">
        <v>4</v>
      </c>
      <c r="I1121" s="170"/>
      <c r="J1121" s="170" t="s">
        <v>162</v>
      </c>
      <c r="K1121" s="170" t="s">
        <v>509</v>
      </c>
      <c r="L1121" s="170" t="s">
        <v>535</v>
      </c>
      <c r="M1121" s="170" t="s">
        <v>509</v>
      </c>
      <c r="N1121" s="170" t="s">
        <v>535</v>
      </c>
      <c r="O1121" s="170" t="s">
        <v>2667</v>
      </c>
    </row>
    <row r="1122" spans="1:15">
      <c r="A1122" s="63" t="s">
        <v>849</v>
      </c>
      <c r="B1122" s="14" t="str">
        <f>VLOOKUP(O1122,'护理记录单文书字典(数据)'!B$4:C$99,2,0)</f>
        <v>D335B6350CFAB2116C90F1ACA3474419</v>
      </c>
      <c r="C1122" s="170" t="s">
        <v>2668</v>
      </c>
      <c r="D1122" s="170" t="s">
        <v>2669</v>
      </c>
      <c r="E1122" s="171">
        <v>1</v>
      </c>
      <c r="F1122" s="171">
        <v>1</v>
      </c>
      <c r="G1122" s="170">
        <v>0</v>
      </c>
      <c r="H1122" s="170">
        <v>0</v>
      </c>
      <c r="I1122" s="170"/>
      <c r="J1122" s="170" t="s">
        <v>162</v>
      </c>
      <c r="K1122" s="170" t="s">
        <v>509</v>
      </c>
      <c r="L1122" s="170" t="s">
        <v>535</v>
      </c>
      <c r="M1122" s="170" t="s">
        <v>509</v>
      </c>
      <c r="N1122" s="170" t="s">
        <v>535</v>
      </c>
      <c r="O1122" s="170" t="s">
        <v>2667</v>
      </c>
    </row>
    <row r="1123" spans="1:15">
      <c r="A1123" s="63" t="s">
        <v>849</v>
      </c>
      <c r="B1123" s="14" t="str">
        <f>VLOOKUP(O1123,'护理记录单文书字典(数据)'!B$4:C$99,2,0)</f>
        <v>D335B6350CFAB2116C90F1ACA3474419</v>
      </c>
      <c r="C1123" s="170" t="s">
        <v>2668</v>
      </c>
      <c r="D1123" s="170" t="s">
        <v>2669</v>
      </c>
      <c r="E1123" s="171">
        <v>2</v>
      </c>
      <c r="F1123" s="171">
        <v>2</v>
      </c>
      <c r="G1123" s="170">
        <v>1</v>
      </c>
      <c r="H1123" s="170">
        <v>1</v>
      </c>
      <c r="I1123" s="170"/>
      <c r="J1123" s="170" t="s">
        <v>162</v>
      </c>
      <c r="K1123" s="170" t="s">
        <v>509</v>
      </c>
      <c r="L1123" s="170" t="s">
        <v>535</v>
      </c>
      <c r="M1123" s="170" t="s">
        <v>509</v>
      </c>
      <c r="N1123" s="170" t="s">
        <v>535</v>
      </c>
      <c r="O1123" s="170" t="s">
        <v>2667</v>
      </c>
    </row>
    <row r="1124" spans="1:15">
      <c r="A1124" s="63" t="s">
        <v>849</v>
      </c>
      <c r="B1124" s="14" t="str">
        <f>VLOOKUP(O1124,'护理记录单文书字典(数据)'!B$4:C$99,2,0)</f>
        <v>D335B6350CFAB2116C90F1ACA3474419</v>
      </c>
      <c r="C1124" s="170" t="s">
        <v>2668</v>
      </c>
      <c r="D1124" s="170" t="s">
        <v>2669</v>
      </c>
      <c r="E1124" s="171">
        <v>3</v>
      </c>
      <c r="F1124" s="171">
        <v>3</v>
      </c>
      <c r="G1124" s="170">
        <v>2</v>
      </c>
      <c r="H1124" s="170">
        <v>2</v>
      </c>
      <c r="I1124" s="170"/>
      <c r="J1124" s="170" t="s">
        <v>162</v>
      </c>
      <c r="K1124" s="170" t="s">
        <v>509</v>
      </c>
      <c r="L1124" s="170" t="s">
        <v>535</v>
      </c>
      <c r="M1124" s="170" t="s">
        <v>509</v>
      </c>
      <c r="N1124" s="170" t="s">
        <v>535</v>
      </c>
      <c r="O1124" s="170" t="s">
        <v>2667</v>
      </c>
    </row>
    <row r="1125" spans="1:15">
      <c r="A1125" s="63" t="s">
        <v>849</v>
      </c>
      <c r="B1125" s="14" t="str">
        <f>VLOOKUP(O1125,'护理记录单文书字典(数据)'!B$4:C$99,2,0)</f>
        <v>D335B6350CFAB2116C90F1ACA3474419</v>
      </c>
      <c r="C1125" s="170" t="s">
        <v>2668</v>
      </c>
      <c r="D1125" s="170" t="s">
        <v>2669</v>
      </c>
      <c r="E1125" s="171">
        <v>4</v>
      </c>
      <c r="F1125" s="171">
        <v>4</v>
      </c>
      <c r="G1125" s="170">
        <v>3</v>
      </c>
      <c r="H1125" s="170">
        <v>3</v>
      </c>
      <c r="I1125" s="170"/>
      <c r="J1125" s="170" t="s">
        <v>162</v>
      </c>
      <c r="K1125" s="170" t="s">
        <v>509</v>
      </c>
      <c r="L1125" s="170" t="s">
        <v>535</v>
      </c>
      <c r="M1125" s="170" t="s">
        <v>509</v>
      </c>
      <c r="N1125" s="170" t="s">
        <v>535</v>
      </c>
      <c r="O1125" s="170" t="s">
        <v>2667</v>
      </c>
    </row>
    <row r="1126" spans="1:15">
      <c r="A1126" s="63" t="s">
        <v>849</v>
      </c>
      <c r="B1126" s="14" t="str">
        <f>VLOOKUP(O1126,'护理记录单文书字典(数据)'!B$4:C$99,2,0)</f>
        <v>D335B6350CFAB2116C90F1ACA3474419</v>
      </c>
      <c r="C1126" s="170" t="s">
        <v>2668</v>
      </c>
      <c r="D1126" s="170" t="s">
        <v>2669</v>
      </c>
      <c r="E1126" s="171">
        <v>5</v>
      </c>
      <c r="F1126" s="171">
        <v>5</v>
      </c>
      <c r="G1126" s="170">
        <v>4</v>
      </c>
      <c r="H1126" s="170">
        <v>4</v>
      </c>
      <c r="I1126" s="170"/>
      <c r="J1126" s="170" t="s">
        <v>162</v>
      </c>
      <c r="K1126" s="170" t="s">
        <v>509</v>
      </c>
      <c r="L1126" s="170" t="s">
        <v>535</v>
      </c>
      <c r="M1126" s="170" t="s">
        <v>509</v>
      </c>
      <c r="N1126" s="170" t="s">
        <v>535</v>
      </c>
      <c r="O1126" s="170" t="s">
        <v>2667</v>
      </c>
    </row>
    <row r="1127" spans="1:15">
      <c r="A1127" s="63" t="s">
        <v>849</v>
      </c>
      <c r="B1127" s="14" t="str">
        <f>VLOOKUP(O1127,'护理记录单文书字典(数据)'!B$4:C$99,2,0)</f>
        <v>D335B6350CFAB2116C90F1ACA3474419</v>
      </c>
      <c r="C1127" s="170" t="s">
        <v>2670</v>
      </c>
      <c r="D1127" s="170" t="s">
        <v>2671</v>
      </c>
      <c r="E1127" s="171">
        <v>1</v>
      </c>
      <c r="F1127" s="171">
        <v>1</v>
      </c>
      <c r="G1127" s="170">
        <v>0</v>
      </c>
      <c r="H1127" s="170">
        <v>0</v>
      </c>
      <c r="I1127" s="170"/>
      <c r="J1127" s="170" t="s">
        <v>162</v>
      </c>
      <c r="K1127" s="170" t="s">
        <v>509</v>
      </c>
      <c r="L1127" s="170" t="s">
        <v>535</v>
      </c>
      <c r="M1127" s="170" t="s">
        <v>509</v>
      </c>
      <c r="N1127" s="170" t="s">
        <v>535</v>
      </c>
      <c r="O1127" s="170" t="s">
        <v>2667</v>
      </c>
    </row>
    <row r="1128" spans="1:15">
      <c r="A1128" s="63" t="s">
        <v>849</v>
      </c>
      <c r="B1128" s="14" t="str">
        <f>VLOOKUP(O1128,'护理记录单文书字典(数据)'!B$4:C$99,2,0)</f>
        <v>D335B6350CFAB2116C90F1ACA3474419</v>
      </c>
      <c r="C1128" s="170" t="s">
        <v>2670</v>
      </c>
      <c r="D1128" s="170" t="s">
        <v>2671</v>
      </c>
      <c r="E1128" s="171">
        <v>2</v>
      </c>
      <c r="F1128" s="171">
        <v>2</v>
      </c>
      <c r="G1128" s="170">
        <v>1</v>
      </c>
      <c r="H1128" s="170">
        <v>1</v>
      </c>
      <c r="I1128" s="170"/>
      <c r="J1128" s="170" t="s">
        <v>162</v>
      </c>
      <c r="K1128" s="170" t="s">
        <v>509</v>
      </c>
      <c r="L1128" s="170" t="s">
        <v>535</v>
      </c>
      <c r="M1128" s="170" t="s">
        <v>509</v>
      </c>
      <c r="N1128" s="170" t="s">
        <v>535</v>
      </c>
      <c r="O1128" s="170" t="s">
        <v>2667</v>
      </c>
    </row>
    <row r="1129" spans="1:15">
      <c r="A1129" s="63" t="s">
        <v>849</v>
      </c>
      <c r="B1129" s="14" t="str">
        <f>VLOOKUP(O1129,'护理记录单文书字典(数据)'!B$4:C$99,2,0)</f>
        <v>D335B6350CFAB2116C90F1ACA3474419</v>
      </c>
      <c r="C1129" s="170" t="s">
        <v>2670</v>
      </c>
      <c r="D1129" s="170" t="s">
        <v>2671</v>
      </c>
      <c r="E1129" s="171">
        <v>3</v>
      </c>
      <c r="F1129" s="171">
        <v>3</v>
      </c>
      <c r="G1129" s="170">
        <v>2</v>
      </c>
      <c r="H1129" s="170">
        <v>2</v>
      </c>
      <c r="I1129" s="170"/>
      <c r="J1129" s="170" t="s">
        <v>162</v>
      </c>
      <c r="K1129" s="170" t="s">
        <v>509</v>
      </c>
      <c r="L1129" s="170" t="s">
        <v>535</v>
      </c>
      <c r="M1129" s="170" t="s">
        <v>509</v>
      </c>
      <c r="N1129" s="170" t="s">
        <v>535</v>
      </c>
      <c r="O1129" s="170" t="s">
        <v>2667</v>
      </c>
    </row>
    <row r="1130" spans="1:15">
      <c r="A1130" s="63" t="s">
        <v>849</v>
      </c>
      <c r="B1130" s="14" t="str">
        <f>VLOOKUP(O1130,'护理记录单文书字典(数据)'!B$4:C$99,2,0)</f>
        <v>D335B6350CFAB2116C90F1ACA3474419</v>
      </c>
      <c r="C1130" s="170" t="s">
        <v>2670</v>
      </c>
      <c r="D1130" s="170" t="s">
        <v>2671</v>
      </c>
      <c r="E1130" s="171">
        <v>4</v>
      </c>
      <c r="F1130" s="171">
        <v>4</v>
      </c>
      <c r="G1130" s="170">
        <v>3</v>
      </c>
      <c r="H1130" s="170">
        <v>3</v>
      </c>
      <c r="I1130" s="170"/>
      <c r="J1130" s="170" t="s">
        <v>162</v>
      </c>
      <c r="K1130" s="170" t="s">
        <v>509</v>
      </c>
      <c r="L1130" s="170" t="s">
        <v>535</v>
      </c>
      <c r="M1130" s="170" t="s">
        <v>509</v>
      </c>
      <c r="N1130" s="170" t="s">
        <v>535</v>
      </c>
      <c r="O1130" s="170" t="s">
        <v>2667</v>
      </c>
    </row>
    <row r="1131" spans="1:15">
      <c r="A1131" s="63" t="s">
        <v>849</v>
      </c>
      <c r="B1131" s="14" t="str">
        <f>VLOOKUP(O1131,'护理记录单文书字典(数据)'!B$4:C$99,2,0)</f>
        <v>D335B6350CFAB2116C90F1ACA3474419</v>
      </c>
      <c r="C1131" s="170" t="s">
        <v>2670</v>
      </c>
      <c r="D1131" s="170" t="s">
        <v>2671</v>
      </c>
      <c r="E1131" s="171">
        <v>5</v>
      </c>
      <c r="F1131" s="171">
        <v>5</v>
      </c>
      <c r="G1131" s="170">
        <v>4</v>
      </c>
      <c r="H1131" s="170">
        <v>4</v>
      </c>
      <c r="I1131" s="170"/>
      <c r="J1131" s="170" t="s">
        <v>162</v>
      </c>
      <c r="K1131" s="170" t="s">
        <v>509</v>
      </c>
      <c r="L1131" s="170" t="s">
        <v>535</v>
      </c>
      <c r="M1131" s="170" t="s">
        <v>509</v>
      </c>
      <c r="N1131" s="170" t="s">
        <v>535</v>
      </c>
      <c r="O1131" s="170" t="s">
        <v>2667</v>
      </c>
    </row>
    <row r="1132" spans="1:15">
      <c r="A1132" s="63" t="s">
        <v>849</v>
      </c>
      <c r="B1132" s="14" t="str">
        <f>VLOOKUP(O1132,'护理记录单文书字典(数据)'!B$4:C$99,2,0)</f>
        <v>D335B6350CFAB2116C90F1ACA3474419</v>
      </c>
      <c r="C1132" s="170" t="s">
        <v>2672</v>
      </c>
      <c r="D1132" s="170" t="s">
        <v>2673</v>
      </c>
      <c r="E1132" s="171">
        <v>1</v>
      </c>
      <c r="F1132" s="171">
        <v>1</v>
      </c>
      <c r="G1132" s="170">
        <v>0</v>
      </c>
      <c r="H1132" s="170">
        <v>0</v>
      </c>
      <c r="I1132" s="170"/>
      <c r="J1132" s="170" t="s">
        <v>162</v>
      </c>
      <c r="K1132" s="170" t="s">
        <v>509</v>
      </c>
      <c r="L1132" s="170" t="s">
        <v>535</v>
      </c>
      <c r="M1132" s="170" t="s">
        <v>509</v>
      </c>
      <c r="N1132" s="170" t="s">
        <v>535</v>
      </c>
      <c r="O1132" s="170" t="s">
        <v>2667</v>
      </c>
    </row>
    <row r="1133" spans="1:15">
      <c r="A1133" s="63" t="s">
        <v>849</v>
      </c>
      <c r="B1133" s="14" t="str">
        <f>VLOOKUP(O1133,'护理记录单文书字典(数据)'!B$4:C$99,2,0)</f>
        <v>D335B6350CFAB2116C90F1ACA3474419</v>
      </c>
      <c r="C1133" s="170" t="s">
        <v>2672</v>
      </c>
      <c r="D1133" s="170" t="s">
        <v>2673</v>
      </c>
      <c r="E1133" s="171">
        <v>2</v>
      </c>
      <c r="F1133" s="171">
        <v>2</v>
      </c>
      <c r="G1133" s="170">
        <v>1</v>
      </c>
      <c r="H1133" s="170">
        <v>1</v>
      </c>
      <c r="I1133" s="170"/>
      <c r="J1133" s="170" t="s">
        <v>162</v>
      </c>
      <c r="K1133" s="170" t="s">
        <v>509</v>
      </c>
      <c r="L1133" s="170" t="s">
        <v>535</v>
      </c>
      <c r="M1133" s="170" t="s">
        <v>509</v>
      </c>
      <c r="N1133" s="170" t="s">
        <v>535</v>
      </c>
      <c r="O1133" s="170" t="s">
        <v>2667</v>
      </c>
    </row>
    <row r="1134" spans="1:15">
      <c r="A1134" s="63" t="s">
        <v>849</v>
      </c>
      <c r="B1134" s="14" t="str">
        <f>VLOOKUP(O1134,'护理记录单文书字典(数据)'!B$4:C$99,2,0)</f>
        <v>D335B6350CFAB2116C90F1ACA3474419</v>
      </c>
      <c r="C1134" s="170" t="s">
        <v>2672</v>
      </c>
      <c r="D1134" s="170" t="s">
        <v>2673</v>
      </c>
      <c r="E1134" s="171">
        <v>3</v>
      </c>
      <c r="F1134" s="171">
        <v>3</v>
      </c>
      <c r="G1134" s="170">
        <v>2</v>
      </c>
      <c r="H1134" s="170">
        <v>2</v>
      </c>
      <c r="I1134" s="170"/>
      <c r="J1134" s="170" t="s">
        <v>162</v>
      </c>
      <c r="K1134" s="170" t="s">
        <v>509</v>
      </c>
      <c r="L1134" s="170" t="s">
        <v>535</v>
      </c>
      <c r="M1134" s="170" t="s">
        <v>509</v>
      </c>
      <c r="N1134" s="170" t="s">
        <v>535</v>
      </c>
      <c r="O1134" s="170" t="s">
        <v>2667</v>
      </c>
    </row>
    <row r="1135" spans="1:15">
      <c r="A1135" s="63" t="s">
        <v>849</v>
      </c>
      <c r="B1135" s="14" t="str">
        <f>VLOOKUP(O1135,'护理记录单文书字典(数据)'!B$4:C$99,2,0)</f>
        <v>D335B6350CFAB2116C90F1ACA3474419</v>
      </c>
      <c r="C1135" s="170" t="s">
        <v>2672</v>
      </c>
      <c r="D1135" s="170" t="s">
        <v>2673</v>
      </c>
      <c r="E1135" s="171">
        <v>4</v>
      </c>
      <c r="F1135" s="171">
        <v>4</v>
      </c>
      <c r="G1135" s="170">
        <v>3</v>
      </c>
      <c r="H1135" s="170">
        <v>3</v>
      </c>
      <c r="I1135" s="170"/>
      <c r="J1135" s="170" t="s">
        <v>162</v>
      </c>
      <c r="K1135" s="170" t="s">
        <v>509</v>
      </c>
      <c r="L1135" s="170" t="s">
        <v>535</v>
      </c>
      <c r="M1135" s="170" t="s">
        <v>509</v>
      </c>
      <c r="N1135" s="170" t="s">
        <v>535</v>
      </c>
      <c r="O1135" s="170" t="s">
        <v>2667</v>
      </c>
    </row>
    <row r="1136" spans="1:15">
      <c r="A1136" s="63" t="s">
        <v>849</v>
      </c>
      <c r="B1136" s="14" t="str">
        <f>VLOOKUP(O1136,'护理记录单文书字典(数据)'!B$4:C$99,2,0)</f>
        <v>D335B6350CFAB2116C90F1ACA3474419</v>
      </c>
      <c r="C1136" s="170" t="s">
        <v>2672</v>
      </c>
      <c r="D1136" s="170" t="s">
        <v>2673</v>
      </c>
      <c r="E1136" s="171">
        <v>5</v>
      </c>
      <c r="F1136" s="171">
        <v>5</v>
      </c>
      <c r="G1136" s="170">
        <v>4</v>
      </c>
      <c r="H1136" s="170">
        <v>4</v>
      </c>
      <c r="I1136" s="170"/>
      <c r="J1136" s="170" t="s">
        <v>162</v>
      </c>
      <c r="K1136" s="170" t="s">
        <v>509</v>
      </c>
      <c r="L1136" s="170" t="s">
        <v>535</v>
      </c>
      <c r="M1136" s="170" t="s">
        <v>509</v>
      </c>
      <c r="N1136" s="170" t="s">
        <v>535</v>
      </c>
      <c r="O1136" s="170" t="s">
        <v>2667</v>
      </c>
    </row>
    <row r="1137" spans="1:15">
      <c r="A1137" s="63" t="s">
        <v>849</v>
      </c>
      <c r="B1137" s="14" t="str">
        <f>VLOOKUP(O1137,'护理记录单文书字典(数据)'!B$4:C$99,2,0)</f>
        <v>D335B6350CFAB2116C90F1ACA3474419</v>
      </c>
      <c r="C1137" s="170" t="s">
        <v>2674</v>
      </c>
      <c r="D1137" s="170" t="s">
        <v>2675</v>
      </c>
      <c r="E1137" s="171">
        <v>1</v>
      </c>
      <c r="F1137" s="171">
        <v>1</v>
      </c>
      <c r="G1137" s="170">
        <v>0</v>
      </c>
      <c r="H1137" s="170">
        <v>0</v>
      </c>
      <c r="I1137" s="170"/>
      <c r="J1137" s="170" t="s">
        <v>162</v>
      </c>
      <c r="K1137" s="170" t="s">
        <v>509</v>
      </c>
      <c r="L1137" s="170" t="s">
        <v>535</v>
      </c>
      <c r="M1137" s="170" t="s">
        <v>509</v>
      </c>
      <c r="N1137" s="170" t="s">
        <v>535</v>
      </c>
      <c r="O1137" s="170" t="s">
        <v>2667</v>
      </c>
    </row>
    <row r="1138" spans="1:15">
      <c r="A1138" s="63" t="s">
        <v>849</v>
      </c>
      <c r="B1138" s="14" t="str">
        <f>VLOOKUP(O1138,'护理记录单文书字典(数据)'!B$4:C$99,2,0)</f>
        <v>D335B6350CFAB2116C90F1ACA3474419</v>
      </c>
      <c r="C1138" s="170" t="s">
        <v>2674</v>
      </c>
      <c r="D1138" s="170" t="s">
        <v>2675</v>
      </c>
      <c r="E1138" s="171">
        <v>2</v>
      </c>
      <c r="F1138" s="171">
        <v>2</v>
      </c>
      <c r="G1138" s="170">
        <v>1</v>
      </c>
      <c r="H1138" s="170">
        <v>1</v>
      </c>
      <c r="I1138" s="170"/>
      <c r="J1138" s="170" t="s">
        <v>162</v>
      </c>
      <c r="K1138" s="170" t="s">
        <v>509</v>
      </c>
      <c r="L1138" s="170" t="s">
        <v>535</v>
      </c>
      <c r="M1138" s="170" t="s">
        <v>509</v>
      </c>
      <c r="N1138" s="170" t="s">
        <v>535</v>
      </c>
      <c r="O1138" s="170" t="s">
        <v>2667</v>
      </c>
    </row>
    <row r="1139" spans="1:15">
      <c r="A1139" s="63" t="s">
        <v>849</v>
      </c>
      <c r="B1139" s="14" t="str">
        <f>VLOOKUP(O1139,'护理记录单文书字典(数据)'!B$4:C$99,2,0)</f>
        <v>D335B6350CFAB2116C90F1ACA3474419</v>
      </c>
      <c r="C1139" s="170" t="s">
        <v>2674</v>
      </c>
      <c r="D1139" s="170" t="s">
        <v>2675</v>
      </c>
      <c r="E1139" s="171">
        <v>3</v>
      </c>
      <c r="F1139" s="171">
        <v>3</v>
      </c>
      <c r="G1139" s="170">
        <v>2</v>
      </c>
      <c r="H1139" s="170">
        <v>2</v>
      </c>
      <c r="I1139" s="170"/>
      <c r="J1139" s="170" t="s">
        <v>162</v>
      </c>
      <c r="K1139" s="170" t="s">
        <v>509</v>
      </c>
      <c r="L1139" s="170" t="s">
        <v>535</v>
      </c>
      <c r="M1139" s="170" t="s">
        <v>509</v>
      </c>
      <c r="N1139" s="170" t="s">
        <v>535</v>
      </c>
      <c r="O1139" s="170" t="s">
        <v>2667</v>
      </c>
    </row>
    <row r="1140" spans="1:15">
      <c r="A1140" s="63" t="s">
        <v>849</v>
      </c>
      <c r="B1140" s="14" t="str">
        <f>VLOOKUP(O1140,'护理记录单文书字典(数据)'!B$4:C$99,2,0)</f>
        <v>D335B6350CFAB2116C90F1ACA3474419</v>
      </c>
      <c r="C1140" s="170" t="s">
        <v>2674</v>
      </c>
      <c r="D1140" s="170" t="s">
        <v>2675</v>
      </c>
      <c r="E1140" s="171">
        <v>4</v>
      </c>
      <c r="F1140" s="171">
        <v>4</v>
      </c>
      <c r="G1140" s="170">
        <v>3</v>
      </c>
      <c r="H1140" s="170">
        <v>3</v>
      </c>
      <c r="I1140" s="170"/>
      <c r="J1140" s="170" t="s">
        <v>162</v>
      </c>
      <c r="K1140" s="170" t="s">
        <v>509</v>
      </c>
      <c r="L1140" s="170" t="s">
        <v>535</v>
      </c>
      <c r="M1140" s="170" t="s">
        <v>509</v>
      </c>
      <c r="N1140" s="170" t="s">
        <v>535</v>
      </c>
      <c r="O1140" s="170" t="s">
        <v>2667</v>
      </c>
    </row>
    <row r="1141" spans="1:15">
      <c r="A1141" s="63" t="s">
        <v>849</v>
      </c>
      <c r="B1141" s="14" t="str">
        <f>VLOOKUP(O1141,'护理记录单文书字典(数据)'!B$4:C$99,2,0)</f>
        <v>D335B6350CFAB2116C90F1ACA3474419</v>
      </c>
      <c r="C1141" s="170" t="s">
        <v>2674</v>
      </c>
      <c r="D1141" s="170" t="s">
        <v>2675</v>
      </c>
      <c r="E1141" s="171">
        <v>5</v>
      </c>
      <c r="F1141" s="171">
        <v>5</v>
      </c>
      <c r="G1141" s="170">
        <v>4</v>
      </c>
      <c r="H1141" s="170">
        <v>4</v>
      </c>
      <c r="I1141" s="170"/>
      <c r="J1141" s="170" t="s">
        <v>162</v>
      </c>
      <c r="K1141" s="170" t="s">
        <v>509</v>
      </c>
      <c r="L1141" s="170" t="s">
        <v>535</v>
      </c>
      <c r="M1141" s="170" t="s">
        <v>509</v>
      </c>
      <c r="N1141" s="170" t="s">
        <v>535</v>
      </c>
      <c r="O1141" s="170" t="s">
        <v>2667</v>
      </c>
    </row>
    <row r="1142" spans="1:15">
      <c r="A1142" s="63" t="s">
        <v>849</v>
      </c>
      <c r="B1142" s="14" t="str">
        <f>VLOOKUP(O1142,'护理记录单文书字典(数据)'!B$4:C$99,2,0)</f>
        <v>D335B6350CFAB2116C90F1ACA3474419</v>
      </c>
      <c r="C1142" s="170" t="s">
        <v>2676</v>
      </c>
      <c r="D1142" s="170" t="s">
        <v>2677</v>
      </c>
      <c r="E1142" s="171">
        <v>1</v>
      </c>
      <c r="F1142" s="171">
        <v>1</v>
      </c>
      <c r="G1142" s="170">
        <v>0</v>
      </c>
      <c r="H1142" s="170">
        <v>0</v>
      </c>
      <c r="I1142" s="170"/>
      <c r="J1142" s="170" t="s">
        <v>162</v>
      </c>
      <c r="K1142" s="170" t="s">
        <v>509</v>
      </c>
      <c r="L1142" s="170" t="s">
        <v>535</v>
      </c>
      <c r="M1142" s="170" t="s">
        <v>509</v>
      </c>
      <c r="N1142" s="170" t="s">
        <v>535</v>
      </c>
      <c r="O1142" s="170" t="s">
        <v>2667</v>
      </c>
    </row>
    <row r="1143" spans="1:15">
      <c r="A1143" s="63" t="s">
        <v>849</v>
      </c>
      <c r="B1143" s="14" t="str">
        <f>VLOOKUP(O1143,'护理记录单文书字典(数据)'!B$4:C$99,2,0)</f>
        <v>D335B6350CFAB2116C90F1ACA3474419</v>
      </c>
      <c r="C1143" s="170" t="s">
        <v>2676</v>
      </c>
      <c r="D1143" s="170" t="s">
        <v>2677</v>
      </c>
      <c r="E1143" s="171">
        <v>2</v>
      </c>
      <c r="F1143" s="171">
        <v>2</v>
      </c>
      <c r="G1143" s="170">
        <v>1</v>
      </c>
      <c r="H1143" s="170">
        <v>1</v>
      </c>
      <c r="I1143" s="170"/>
      <c r="J1143" s="170" t="s">
        <v>162</v>
      </c>
      <c r="K1143" s="170" t="s">
        <v>509</v>
      </c>
      <c r="L1143" s="170" t="s">
        <v>535</v>
      </c>
      <c r="M1143" s="170" t="s">
        <v>509</v>
      </c>
      <c r="N1143" s="170" t="s">
        <v>535</v>
      </c>
      <c r="O1143" s="170" t="s">
        <v>2667</v>
      </c>
    </row>
    <row r="1144" spans="1:15">
      <c r="A1144" s="63" t="s">
        <v>849</v>
      </c>
      <c r="B1144" s="14" t="str">
        <f>VLOOKUP(O1144,'护理记录单文书字典(数据)'!B$4:C$99,2,0)</f>
        <v>D335B6350CFAB2116C90F1ACA3474419</v>
      </c>
      <c r="C1144" s="170" t="s">
        <v>2676</v>
      </c>
      <c r="D1144" s="170" t="s">
        <v>2677</v>
      </c>
      <c r="E1144" s="171">
        <v>3</v>
      </c>
      <c r="F1144" s="171">
        <v>3</v>
      </c>
      <c r="G1144" s="170">
        <v>2</v>
      </c>
      <c r="H1144" s="170">
        <v>2</v>
      </c>
      <c r="I1144" s="170"/>
      <c r="J1144" s="170" t="s">
        <v>162</v>
      </c>
      <c r="K1144" s="170" t="s">
        <v>509</v>
      </c>
      <c r="L1144" s="170" t="s">
        <v>535</v>
      </c>
      <c r="M1144" s="170" t="s">
        <v>509</v>
      </c>
      <c r="N1144" s="170" t="s">
        <v>535</v>
      </c>
      <c r="O1144" s="170" t="s">
        <v>2667</v>
      </c>
    </row>
    <row r="1145" spans="1:15">
      <c r="A1145" s="63" t="s">
        <v>849</v>
      </c>
      <c r="B1145" s="14" t="str">
        <f>VLOOKUP(O1145,'护理记录单文书字典(数据)'!B$4:C$99,2,0)</f>
        <v>D335B6350CFAB2116C90F1ACA3474419</v>
      </c>
      <c r="C1145" s="170" t="s">
        <v>2676</v>
      </c>
      <c r="D1145" s="170" t="s">
        <v>2677</v>
      </c>
      <c r="E1145" s="171">
        <v>4</v>
      </c>
      <c r="F1145" s="171">
        <v>4</v>
      </c>
      <c r="G1145" s="170">
        <v>3</v>
      </c>
      <c r="H1145" s="170">
        <v>3</v>
      </c>
      <c r="I1145" s="170"/>
      <c r="J1145" s="170" t="s">
        <v>162</v>
      </c>
      <c r="K1145" s="170" t="s">
        <v>509</v>
      </c>
      <c r="L1145" s="170" t="s">
        <v>535</v>
      </c>
      <c r="M1145" s="170" t="s">
        <v>509</v>
      </c>
      <c r="N1145" s="170" t="s">
        <v>535</v>
      </c>
      <c r="O1145" s="170" t="s">
        <v>2667</v>
      </c>
    </row>
    <row r="1146" spans="1:15">
      <c r="A1146" s="63" t="s">
        <v>849</v>
      </c>
      <c r="B1146" s="14" t="str">
        <f>VLOOKUP(O1146,'护理记录单文书字典(数据)'!B$4:C$99,2,0)</f>
        <v>D335B6350CFAB2116C90F1ACA3474419</v>
      </c>
      <c r="C1146" s="170" t="s">
        <v>2676</v>
      </c>
      <c r="D1146" s="170" t="s">
        <v>2677</v>
      </c>
      <c r="E1146" s="171">
        <v>5</v>
      </c>
      <c r="F1146" s="171">
        <v>5</v>
      </c>
      <c r="G1146" s="170">
        <v>4</v>
      </c>
      <c r="H1146" s="170">
        <v>4</v>
      </c>
      <c r="I1146" s="170"/>
      <c r="J1146" s="170" t="s">
        <v>162</v>
      </c>
      <c r="K1146" s="170" t="s">
        <v>509</v>
      </c>
      <c r="L1146" s="170" t="s">
        <v>535</v>
      </c>
      <c r="M1146" s="170" t="s">
        <v>509</v>
      </c>
      <c r="N1146" s="170" t="s">
        <v>535</v>
      </c>
      <c r="O1146" s="170" t="s">
        <v>2667</v>
      </c>
    </row>
    <row r="1147" spans="1:15">
      <c r="A1147" s="63" t="s">
        <v>849</v>
      </c>
      <c r="B1147" s="14" t="str">
        <f>VLOOKUP(O1147,'护理记录单文书字典(数据)'!B$4:C$99,2,0)</f>
        <v>D335B6350CFAB2116C90F1ACA3474419</v>
      </c>
      <c r="C1147" s="170" t="s">
        <v>2678</v>
      </c>
      <c r="D1147" s="170" t="s">
        <v>2679</v>
      </c>
      <c r="E1147" s="171">
        <v>1</v>
      </c>
      <c r="F1147" s="171">
        <v>1</v>
      </c>
      <c r="G1147" s="170">
        <v>0</v>
      </c>
      <c r="H1147" s="170">
        <v>0</v>
      </c>
      <c r="I1147" s="170"/>
      <c r="J1147" s="170" t="s">
        <v>162</v>
      </c>
      <c r="K1147" s="170" t="s">
        <v>509</v>
      </c>
      <c r="L1147" s="170" t="s">
        <v>535</v>
      </c>
      <c r="M1147" s="170" t="s">
        <v>509</v>
      </c>
      <c r="N1147" s="170" t="s">
        <v>535</v>
      </c>
      <c r="O1147" s="170" t="s">
        <v>2667</v>
      </c>
    </row>
    <row r="1148" spans="1:15">
      <c r="A1148" s="63" t="s">
        <v>849</v>
      </c>
      <c r="B1148" s="14" t="str">
        <f>VLOOKUP(O1148,'护理记录单文书字典(数据)'!B$4:C$99,2,0)</f>
        <v>D335B6350CFAB2116C90F1ACA3474419</v>
      </c>
      <c r="C1148" s="170" t="s">
        <v>2678</v>
      </c>
      <c r="D1148" s="170" t="s">
        <v>2679</v>
      </c>
      <c r="E1148" s="171">
        <v>2</v>
      </c>
      <c r="F1148" s="171">
        <v>2</v>
      </c>
      <c r="G1148" s="170">
        <v>1</v>
      </c>
      <c r="H1148" s="170">
        <v>1</v>
      </c>
      <c r="I1148" s="170"/>
      <c r="J1148" s="170" t="s">
        <v>162</v>
      </c>
      <c r="K1148" s="170" t="s">
        <v>509</v>
      </c>
      <c r="L1148" s="170" t="s">
        <v>535</v>
      </c>
      <c r="M1148" s="170" t="s">
        <v>509</v>
      </c>
      <c r="N1148" s="170" t="s">
        <v>535</v>
      </c>
      <c r="O1148" s="170" t="s">
        <v>2667</v>
      </c>
    </row>
    <row r="1149" spans="1:15">
      <c r="A1149" s="63" t="s">
        <v>849</v>
      </c>
      <c r="B1149" s="14" t="str">
        <f>VLOOKUP(O1149,'护理记录单文书字典(数据)'!B$4:C$99,2,0)</f>
        <v>D335B6350CFAB2116C90F1ACA3474419</v>
      </c>
      <c r="C1149" s="170" t="s">
        <v>2678</v>
      </c>
      <c r="D1149" s="170" t="s">
        <v>2679</v>
      </c>
      <c r="E1149" s="171">
        <v>3</v>
      </c>
      <c r="F1149" s="171">
        <v>3</v>
      </c>
      <c r="G1149" s="170">
        <v>2</v>
      </c>
      <c r="H1149" s="170">
        <v>2</v>
      </c>
      <c r="I1149" s="170"/>
      <c r="J1149" s="170" t="s">
        <v>162</v>
      </c>
      <c r="K1149" s="170" t="s">
        <v>509</v>
      </c>
      <c r="L1149" s="170" t="s">
        <v>535</v>
      </c>
      <c r="M1149" s="170" t="s">
        <v>509</v>
      </c>
      <c r="N1149" s="170" t="s">
        <v>535</v>
      </c>
      <c r="O1149" s="170" t="s">
        <v>2667</v>
      </c>
    </row>
    <row r="1150" spans="1:15">
      <c r="A1150" s="63" t="s">
        <v>849</v>
      </c>
      <c r="B1150" s="14" t="str">
        <f>VLOOKUP(O1150,'护理记录单文书字典(数据)'!B$4:C$99,2,0)</f>
        <v>D335B6350CFAB2116C90F1ACA3474419</v>
      </c>
      <c r="C1150" s="170" t="s">
        <v>2678</v>
      </c>
      <c r="D1150" s="170" t="s">
        <v>2679</v>
      </c>
      <c r="E1150" s="171">
        <v>4</v>
      </c>
      <c r="F1150" s="171">
        <v>4</v>
      </c>
      <c r="G1150" s="170">
        <v>3</v>
      </c>
      <c r="H1150" s="170">
        <v>3</v>
      </c>
      <c r="I1150" s="170"/>
      <c r="J1150" s="170" t="s">
        <v>162</v>
      </c>
      <c r="K1150" s="170" t="s">
        <v>509</v>
      </c>
      <c r="L1150" s="170" t="s">
        <v>535</v>
      </c>
      <c r="M1150" s="170" t="s">
        <v>509</v>
      </c>
      <c r="N1150" s="170" t="s">
        <v>535</v>
      </c>
      <c r="O1150" s="170" t="s">
        <v>2667</v>
      </c>
    </row>
    <row r="1151" spans="1:15">
      <c r="A1151" s="63" t="s">
        <v>849</v>
      </c>
      <c r="B1151" s="14" t="str">
        <f>VLOOKUP(O1151,'护理记录单文书字典(数据)'!B$4:C$99,2,0)</f>
        <v>D335B6350CFAB2116C90F1ACA3474419</v>
      </c>
      <c r="C1151" s="170" t="s">
        <v>2678</v>
      </c>
      <c r="D1151" s="170" t="s">
        <v>2679</v>
      </c>
      <c r="E1151" s="171">
        <v>5</v>
      </c>
      <c r="F1151" s="171">
        <v>5</v>
      </c>
      <c r="G1151" s="170">
        <v>4</v>
      </c>
      <c r="H1151" s="170">
        <v>4</v>
      </c>
      <c r="I1151" s="170"/>
      <c r="J1151" s="170" t="s">
        <v>162</v>
      </c>
      <c r="K1151" s="170" t="s">
        <v>509</v>
      </c>
      <c r="L1151" s="170" t="s">
        <v>535</v>
      </c>
      <c r="M1151" s="170" t="s">
        <v>509</v>
      </c>
      <c r="N1151" s="170" t="s">
        <v>535</v>
      </c>
      <c r="O1151" s="170" t="s">
        <v>2667</v>
      </c>
    </row>
    <row r="1152" spans="1:15">
      <c r="A1152" s="63" t="s">
        <v>849</v>
      </c>
      <c r="B1152" s="14" t="str">
        <f>VLOOKUP(O1152,'护理记录单文书字典(数据)'!B$4:C$99,2,0)</f>
        <v>D335B6350CFAB2116C90F1ACA3474419</v>
      </c>
      <c r="C1152" s="170" t="s">
        <v>2680</v>
      </c>
      <c r="D1152" s="170" t="s">
        <v>2681</v>
      </c>
      <c r="E1152" s="171">
        <v>1</v>
      </c>
      <c r="F1152" s="171">
        <v>1</v>
      </c>
      <c r="G1152" s="170">
        <v>0</v>
      </c>
      <c r="H1152" s="170">
        <v>0</v>
      </c>
      <c r="I1152" s="170"/>
      <c r="J1152" s="170" t="s">
        <v>162</v>
      </c>
      <c r="K1152" s="170" t="s">
        <v>509</v>
      </c>
      <c r="L1152" s="170" t="s">
        <v>535</v>
      </c>
      <c r="M1152" s="170" t="s">
        <v>509</v>
      </c>
      <c r="N1152" s="170" t="s">
        <v>535</v>
      </c>
      <c r="O1152" s="170" t="s">
        <v>2667</v>
      </c>
    </row>
    <row r="1153" spans="1:15">
      <c r="A1153" s="63" t="s">
        <v>849</v>
      </c>
      <c r="B1153" s="14" t="str">
        <f>VLOOKUP(O1153,'护理记录单文书字典(数据)'!B$4:C$99,2,0)</f>
        <v>D335B6350CFAB2116C90F1ACA3474419</v>
      </c>
      <c r="C1153" s="170" t="s">
        <v>2680</v>
      </c>
      <c r="D1153" s="170" t="s">
        <v>2681</v>
      </c>
      <c r="E1153" s="171">
        <v>2</v>
      </c>
      <c r="F1153" s="171">
        <v>2</v>
      </c>
      <c r="G1153" s="170">
        <v>1</v>
      </c>
      <c r="H1153" s="170">
        <v>1</v>
      </c>
      <c r="I1153" s="170"/>
      <c r="J1153" s="170" t="s">
        <v>162</v>
      </c>
      <c r="K1153" s="170" t="s">
        <v>509</v>
      </c>
      <c r="L1153" s="170" t="s">
        <v>535</v>
      </c>
      <c r="M1153" s="170" t="s">
        <v>509</v>
      </c>
      <c r="N1153" s="170" t="s">
        <v>535</v>
      </c>
      <c r="O1153" s="170" t="s">
        <v>2667</v>
      </c>
    </row>
    <row r="1154" spans="1:15">
      <c r="A1154" s="63" t="s">
        <v>849</v>
      </c>
      <c r="B1154" s="14" t="str">
        <f>VLOOKUP(O1154,'护理记录单文书字典(数据)'!B$4:C$99,2,0)</f>
        <v>D335B6350CFAB2116C90F1ACA3474419</v>
      </c>
      <c r="C1154" s="170" t="s">
        <v>2680</v>
      </c>
      <c r="D1154" s="170" t="s">
        <v>2681</v>
      </c>
      <c r="E1154" s="171">
        <v>3</v>
      </c>
      <c r="F1154" s="171">
        <v>3</v>
      </c>
      <c r="G1154" s="170">
        <v>2</v>
      </c>
      <c r="H1154" s="170">
        <v>2</v>
      </c>
      <c r="I1154" s="170"/>
      <c r="J1154" s="170" t="s">
        <v>162</v>
      </c>
      <c r="K1154" s="170" t="s">
        <v>509</v>
      </c>
      <c r="L1154" s="170" t="s">
        <v>535</v>
      </c>
      <c r="M1154" s="170" t="s">
        <v>509</v>
      </c>
      <c r="N1154" s="170" t="s">
        <v>535</v>
      </c>
      <c r="O1154" s="170" t="s">
        <v>2667</v>
      </c>
    </row>
    <row r="1155" spans="1:15">
      <c r="A1155" s="63" t="s">
        <v>849</v>
      </c>
      <c r="B1155" s="14" t="str">
        <f>VLOOKUP(O1155,'护理记录单文书字典(数据)'!B$4:C$99,2,0)</f>
        <v>D335B6350CFAB2116C90F1ACA3474419</v>
      </c>
      <c r="C1155" s="170" t="s">
        <v>2680</v>
      </c>
      <c r="D1155" s="170" t="s">
        <v>2681</v>
      </c>
      <c r="E1155" s="171">
        <v>4</v>
      </c>
      <c r="F1155" s="171">
        <v>4</v>
      </c>
      <c r="G1155" s="170">
        <v>3</v>
      </c>
      <c r="H1155" s="170">
        <v>3</v>
      </c>
      <c r="I1155" s="170"/>
      <c r="J1155" s="170" t="s">
        <v>162</v>
      </c>
      <c r="K1155" s="170" t="s">
        <v>509</v>
      </c>
      <c r="L1155" s="170" t="s">
        <v>535</v>
      </c>
      <c r="M1155" s="170" t="s">
        <v>509</v>
      </c>
      <c r="N1155" s="170" t="s">
        <v>535</v>
      </c>
      <c r="O1155" s="170" t="s">
        <v>2667</v>
      </c>
    </row>
    <row r="1156" spans="1:15">
      <c r="A1156" s="63" t="s">
        <v>849</v>
      </c>
      <c r="B1156" s="14" t="str">
        <f>VLOOKUP(O1156,'护理记录单文书字典(数据)'!B$4:C$99,2,0)</f>
        <v>D335B6350CFAB2116C90F1ACA3474419</v>
      </c>
      <c r="C1156" s="170" t="s">
        <v>2680</v>
      </c>
      <c r="D1156" s="170" t="s">
        <v>2681</v>
      </c>
      <c r="E1156" s="171">
        <v>5</v>
      </c>
      <c r="F1156" s="171">
        <v>5</v>
      </c>
      <c r="G1156" s="170">
        <v>4</v>
      </c>
      <c r="H1156" s="170">
        <v>4</v>
      </c>
      <c r="I1156" s="170"/>
      <c r="J1156" s="170" t="s">
        <v>162</v>
      </c>
      <c r="K1156" s="170" t="s">
        <v>509</v>
      </c>
      <c r="L1156" s="170" t="s">
        <v>535</v>
      </c>
      <c r="M1156" s="170" t="s">
        <v>509</v>
      </c>
      <c r="N1156" s="170" t="s">
        <v>535</v>
      </c>
      <c r="O1156" s="170" t="s">
        <v>2667</v>
      </c>
    </row>
    <row r="1157" spans="1:15">
      <c r="A1157" s="63" t="s">
        <v>849</v>
      </c>
      <c r="B1157" s="14" t="str">
        <f>VLOOKUP(O1157,'护理记录单文书字典(数据)'!B$4:C$99,2,0)</f>
        <v>D335B6350CFAB2116C90F1ACA3474419</v>
      </c>
      <c r="C1157" s="170" t="s">
        <v>2682</v>
      </c>
      <c r="D1157" s="170" t="s">
        <v>2683</v>
      </c>
      <c r="E1157" s="171">
        <v>1</v>
      </c>
      <c r="F1157" s="171">
        <v>1</v>
      </c>
      <c r="G1157" s="170">
        <v>0</v>
      </c>
      <c r="H1157" s="170">
        <v>0</v>
      </c>
      <c r="I1157" s="170"/>
      <c r="J1157" s="170" t="s">
        <v>162</v>
      </c>
      <c r="K1157" s="170" t="s">
        <v>509</v>
      </c>
      <c r="L1157" s="170" t="s">
        <v>535</v>
      </c>
      <c r="M1157" s="170" t="s">
        <v>509</v>
      </c>
      <c r="N1157" s="170" t="s">
        <v>535</v>
      </c>
      <c r="O1157" s="170" t="s">
        <v>2684</v>
      </c>
    </row>
    <row r="1158" spans="1:15">
      <c r="A1158" s="63" t="s">
        <v>849</v>
      </c>
      <c r="B1158" s="14" t="str">
        <f>VLOOKUP(O1158,'护理记录单文书字典(数据)'!B$4:C$99,2,0)</f>
        <v>D335B6350CFAB2116C90F1ACA3474419</v>
      </c>
      <c r="C1158" s="170" t="s">
        <v>2682</v>
      </c>
      <c r="D1158" s="170" t="s">
        <v>2683</v>
      </c>
      <c r="E1158" s="171">
        <v>2</v>
      </c>
      <c r="F1158" s="171">
        <v>2</v>
      </c>
      <c r="G1158" s="170">
        <v>1</v>
      </c>
      <c r="H1158" s="170">
        <v>1</v>
      </c>
      <c r="I1158" s="170"/>
      <c r="J1158" s="170" t="s">
        <v>162</v>
      </c>
      <c r="K1158" s="170" t="s">
        <v>509</v>
      </c>
      <c r="L1158" s="170" t="s">
        <v>535</v>
      </c>
      <c r="M1158" s="170" t="s">
        <v>509</v>
      </c>
      <c r="N1158" s="170" t="s">
        <v>535</v>
      </c>
      <c r="O1158" s="170" t="s">
        <v>2667</v>
      </c>
    </row>
    <row r="1159" spans="1:15">
      <c r="A1159" s="63" t="s">
        <v>849</v>
      </c>
      <c r="B1159" s="14" t="str">
        <f>VLOOKUP(O1159,'护理记录单文书字典(数据)'!B$4:C$99,2,0)</f>
        <v>D335B6350CFAB2116C90F1ACA3474419</v>
      </c>
      <c r="C1159" s="170" t="s">
        <v>2682</v>
      </c>
      <c r="D1159" s="170" t="s">
        <v>2683</v>
      </c>
      <c r="E1159" s="171">
        <v>3</v>
      </c>
      <c r="F1159" s="171">
        <v>3</v>
      </c>
      <c r="G1159" s="170">
        <v>2</v>
      </c>
      <c r="H1159" s="170">
        <v>2</v>
      </c>
      <c r="I1159" s="170"/>
      <c r="J1159" s="170" t="s">
        <v>162</v>
      </c>
      <c r="K1159" s="170" t="s">
        <v>509</v>
      </c>
      <c r="L1159" s="170" t="s">
        <v>535</v>
      </c>
      <c r="M1159" s="170" t="s">
        <v>509</v>
      </c>
      <c r="N1159" s="170" t="s">
        <v>535</v>
      </c>
      <c r="O1159" s="170" t="s">
        <v>2667</v>
      </c>
    </row>
    <row r="1160" spans="1:15">
      <c r="A1160" s="63" t="s">
        <v>849</v>
      </c>
      <c r="B1160" s="14" t="str">
        <f>VLOOKUP(O1160,'护理记录单文书字典(数据)'!B$4:C$99,2,0)</f>
        <v>D335B6350CFAB2116C90F1ACA3474419</v>
      </c>
      <c r="C1160" s="170" t="s">
        <v>2682</v>
      </c>
      <c r="D1160" s="170" t="s">
        <v>2683</v>
      </c>
      <c r="E1160" s="171">
        <v>4</v>
      </c>
      <c r="F1160" s="171">
        <v>4</v>
      </c>
      <c r="G1160" s="170">
        <v>3</v>
      </c>
      <c r="H1160" s="170">
        <v>3</v>
      </c>
      <c r="I1160" s="170"/>
      <c r="J1160" s="170" t="s">
        <v>162</v>
      </c>
      <c r="K1160" s="170" t="s">
        <v>509</v>
      </c>
      <c r="L1160" s="170" t="s">
        <v>535</v>
      </c>
      <c r="M1160" s="170" t="s">
        <v>509</v>
      </c>
      <c r="N1160" s="170" t="s">
        <v>535</v>
      </c>
      <c r="O1160" s="170" t="s">
        <v>2667</v>
      </c>
    </row>
    <row r="1161" spans="1:15">
      <c r="A1161" s="63" t="s">
        <v>849</v>
      </c>
      <c r="B1161" s="14" t="str">
        <f>VLOOKUP(O1161,'护理记录单文书字典(数据)'!B$4:C$99,2,0)</f>
        <v>D335B6350CFAB2116C90F1ACA3474419</v>
      </c>
      <c r="C1161" s="170" t="s">
        <v>2682</v>
      </c>
      <c r="D1161" s="170" t="s">
        <v>2683</v>
      </c>
      <c r="E1161" s="171">
        <v>5</v>
      </c>
      <c r="F1161" s="171">
        <v>5</v>
      </c>
      <c r="G1161" s="170">
        <v>4</v>
      </c>
      <c r="H1161" s="170">
        <v>4</v>
      </c>
      <c r="I1161" s="170"/>
      <c r="J1161" s="170" t="s">
        <v>162</v>
      </c>
      <c r="K1161" s="170" t="s">
        <v>509</v>
      </c>
      <c r="L1161" s="170" t="s">
        <v>535</v>
      </c>
      <c r="M1161" s="170" t="s">
        <v>509</v>
      </c>
      <c r="N1161" s="170" t="s">
        <v>535</v>
      </c>
      <c r="O1161" s="170" t="s">
        <v>2667</v>
      </c>
    </row>
    <row r="1162" spans="1:15">
      <c r="A1162" s="63" t="s">
        <v>849</v>
      </c>
      <c r="B1162" s="14" t="str">
        <f>VLOOKUP(O1162,'护理记录单文书字典(数据)'!B$4:C$99,2,0)</f>
        <v>D335B6350CFAB2116C90F1ACA3474419</v>
      </c>
      <c r="C1162" s="170" t="s">
        <v>2685</v>
      </c>
      <c r="D1162" s="170" t="s">
        <v>2686</v>
      </c>
      <c r="E1162" s="171">
        <v>1</v>
      </c>
      <c r="F1162" s="171">
        <v>1</v>
      </c>
      <c r="G1162" s="170">
        <v>0</v>
      </c>
      <c r="H1162" s="170">
        <v>0</v>
      </c>
      <c r="I1162" s="170"/>
      <c r="J1162" s="170" t="s">
        <v>162</v>
      </c>
      <c r="K1162" s="170" t="s">
        <v>509</v>
      </c>
      <c r="L1162" s="170" t="s">
        <v>535</v>
      </c>
      <c r="M1162" s="170" t="s">
        <v>509</v>
      </c>
      <c r="N1162" s="170" t="s">
        <v>535</v>
      </c>
      <c r="O1162" s="170" t="s">
        <v>2667</v>
      </c>
    </row>
    <row r="1163" spans="1:15">
      <c r="A1163" s="63" t="s">
        <v>849</v>
      </c>
      <c r="B1163" s="14" t="str">
        <f>VLOOKUP(O1163,'护理记录单文书字典(数据)'!B$4:C$99,2,0)</f>
        <v>D335B6350CFAB2116C90F1ACA3474419</v>
      </c>
      <c r="C1163" s="170" t="s">
        <v>2685</v>
      </c>
      <c r="D1163" s="170" t="s">
        <v>2686</v>
      </c>
      <c r="E1163" s="171">
        <v>2</v>
      </c>
      <c r="F1163" s="171">
        <v>2</v>
      </c>
      <c r="G1163" s="170">
        <v>1</v>
      </c>
      <c r="H1163" s="170">
        <v>1</v>
      </c>
      <c r="I1163" s="170"/>
      <c r="J1163" s="170" t="s">
        <v>162</v>
      </c>
      <c r="K1163" s="170" t="s">
        <v>509</v>
      </c>
      <c r="L1163" s="170" t="s">
        <v>535</v>
      </c>
      <c r="M1163" s="170" t="s">
        <v>509</v>
      </c>
      <c r="N1163" s="170" t="s">
        <v>535</v>
      </c>
      <c r="O1163" s="170" t="s">
        <v>2667</v>
      </c>
    </row>
    <row r="1164" spans="1:15">
      <c r="A1164" s="63" t="s">
        <v>849</v>
      </c>
      <c r="B1164" s="14" t="str">
        <f>VLOOKUP(O1164,'护理记录单文书字典(数据)'!B$4:C$99,2,0)</f>
        <v>D335B6350CFAB2116C90F1ACA3474419</v>
      </c>
      <c r="C1164" s="170" t="s">
        <v>2685</v>
      </c>
      <c r="D1164" s="170" t="s">
        <v>2686</v>
      </c>
      <c r="E1164" s="171">
        <v>3</v>
      </c>
      <c r="F1164" s="171">
        <v>3</v>
      </c>
      <c r="G1164" s="170">
        <v>2</v>
      </c>
      <c r="H1164" s="170">
        <v>2</v>
      </c>
      <c r="I1164" s="170"/>
      <c r="J1164" s="170" t="s">
        <v>162</v>
      </c>
      <c r="K1164" s="170" t="s">
        <v>509</v>
      </c>
      <c r="L1164" s="170" t="s">
        <v>535</v>
      </c>
      <c r="M1164" s="170" t="s">
        <v>509</v>
      </c>
      <c r="N1164" s="170" t="s">
        <v>535</v>
      </c>
      <c r="O1164" s="170" t="s">
        <v>2667</v>
      </c>
    </row>
    <row r="1165" spans="1:15">
      <c r="A1165" s="63" t="s">
        <v>849</v>
      </c>
      <c r="B1165" s="14" t="str">
        <f>VLOOKUP(O1165,'护理记录单文书字典(数据)'!B$4:C$99,2,0)</f>
        <v>D335B6350CFAB2116C90F1ACA3474419</v>
      </c>
      <c r="C1165" s="170" t="s">
        <v>2685</v>
      </c>
      <c r="D1165" s="170" t="s">
        <v>2686</v>
      </c>
      <c r="E1165" s="171">
        <v>4</v>
      </c>
      <c r="F1165" s="171">
        <v>4</v>
      </c>
      <c r="G1165" s="170">
        <v>3</v>
      </c>
      <c r="H1165" s="170">
        <v>3</v>
      </c>
      <c r="I1165" s="170"/>
      <c r="J1165" s="170" t="s">
        <v>162</v>
      </c>
      <c r="K1165" s="170" t="s">
        <v>509</v>
      </c>
      <c r="L1165" s="170" t="s">
        <v>535</v>
      </c>
      <c r="M1165" s="170" t="s">
        <v>509</v>
      </c>
      <c r="N1165" s="170" t="s">
        <v>535</v>
      </c>
      <c r="O1165" s="170" t="s">
        <v>2667</v>
      </c>
    </row>
    <row r="1166" spans="1:15">
      <c r="A1166" s="63" t="s">
        <v>849</v>
      </c>
      <c r="B1166" s="14" t="str">
        <f>VLOOKUP(O1166,'护理记录单文书字典(数据)'!B$4:C$99,2,0)</f>
        <v>D335B6350CFAB2116C90F1ACA3474419</v>
      </c>
      <c r="C1166" s="170" t="s">
        <v>2685</v>
      </c>
      <c r="D1166" s="170" t="s">
        <v>2686</v>
      </c>
      <c r="E1166" s="171">
        <v>5</v>
      </c>
      <c r="F1166" s="171">
        <v>5</v>
      </c>
      <c r="G1166" s="170">
        <v>4</v>
      </c>
      <c r="H1166" s="170">
        <v>4</v>
      </c>
      <c r="I1166" s="170"/>
      <c r="J1166" s="170" t="s">
        <v>162</v>
      </c>
      <c r="K1166" s="170" t="s">
        <v>509</v>
      </c>
      <c r="L1166" s="170" t="s">
        <v>535</v>
      </c>
      <c r="M1166" s="170" t="s">
        <v>509</v>
      </c>
      <c r="N1166" s="170" t="s">
        <v>535</v>
      </c>
      <c r="O1166" s="170" t="s">
        <v>2667</v>
      </c>
    </row>
    <row r="1167" spans="1:15">
      <c r="A1167" s="63" t="s">
        <v>849</v>
      </c>
      <c r="B1167" s="14" t="str">
        <f>VLOOKUP(O1167,'护理记录单文书字典(数据)'!B$4:C$99,2,0)</f>
        <v>D335B6350CFAB2116C90F1ACA3474419</v>
      </c>
      <c r="C1167" s="170" t="s">
        <v>2687</v>
      </c>
      <c r="D1167" s="170" t="s">
        <v>2688</v>
      </c>
      <c r="E1167" s="171">
        <v>1</v>
      </c>
      <c r="F1167" s="171">
        <v>1</v>
      </c>
      <c r="G1167" s="170">
        <v>0</v>
      </c>
      <c r="H1167" s="170">
        <v>0</v>
      </c>
      <c r="I1167" s="170"/>
      <c r="J1167" s="170" t="s">
        <v>162</v>
      </c>
      <c r="K1167" s="170" t="s">
        <v>509</v>
      </c>
      <c r="L1167" s="170" t="s">
        <v>535</v>
      </c>
      <c r="M1167" s="170" t="s">
        <v>509</v>
      </c>
      <c r="N1167" s="170" t="s">
        <v>535</v>
      </c>
      <c r="O1167" s="170" t="s">
        <v>2667</v>
      </c>
    </row>
    <row r="1168" spans="1:15">
      <c r="A1168" s="63" t="s">
        <v>849</v>
      </c>
      <c r="B1168" s="14" t="str">
        <f>VLOOKUP(O1168,'护理记录单文书字典(数据)'!B$4:C$99,2,0)</f>
        <v>D335B6350CFAB2116C90F1ACA3474419</v>
      </c>
      <c r="C1168" s="170" t="s">
        <v>2687</v>
      </c>
      <c r="D1168" s="170" t="s">
        <v>2688</v>
      </c>
      <c r="E1168" s="171">
        <v>2</v>
      </c>
      <c r="F1168" s="171">
        <v>2</v>
      </c>
      <c r="G1168" s="170">
        <v>1</v>
      </c>
      <c r="H1168" s="170">
        <v>1</v>
      </c>
      <c r="I1168" s="170"/>
      <c r="J1168" s="170" t="s">
        <v>162</v>
      </c>
      <c r="K1168" s="170" t="s">
        <v>509</v>
      </c>
      <c r="L1168" s="170" t="s">
        <v>535</v>
      </c>
      <c r="M1168" s="170" t="s">
        <v>509</v>
      </c>
      <c r="N1168" s="170" t="s">
        <v>535</v>
      </c>
      <c r="O1168" s="170" t="s">
        <v>2667</v>
      </c>
    </row>
    <row r="1169" spans="1:15">
      <c r="A1169" s="63" t="s">
        <v>849</v>
      </c>
      <c r="B1169" s="14" t="str">
        <f>VLOOKUP(O1169,'护理记录单文书字典(数据)'!B$4:C$99,2,0)</f>
        <v>D335B6350CFAB2116C90F1ACA3474419</v>
      </c>
      <c r="C1169" s="170" t="s">
        <v>2687</v>
      </c>
      <c r="D1169" s="170" t="s">
        <v>2688</v>
      </c>
      <c r="E1169" s="171">
        <v>3</v>
      </c>
      <c r="F1169" s="171">
        <v>3</v>
      </c>
      <c r="G1169" s="170">
        <v>2</v>
      </c>
      <c r="H1169" s="170">
        <v>2</v>
      </c>
      <c r="I1169" s="170"/>
      <c r="J1169" s="170" t="s">
        <v>162</v>
      </c>
      <c r="K1169" s="170" t="s">
        <v>509</v>
      </c>
      <c r="L1169" s="170" t="s">
        <v>535</v>
      </c>
      <c r="M1169" s="170" t="s">
        <v>509</v>
      </c>
      <c r="N1169" s="170" t="s">
        <v>535</v>
      </c>
      <c r="O1169" s="170" t="s">
        <v>2667</v>
      </c>
    </row>
    <row r="1170" spans="1:15">
      <c r="A1170" s="63" t="s">
        <v>849</v>
      </c>
      <c r="B1170" s="14" t="str">
        <f>VLOOKUP(O1170,'护理记录单文书字典(数据)'!B$4:C$99,2,0)</f>
        <v>D335B6350CFAB2116C90F1ACA3474419</v>
      </c>
      <c r="C1170" s="170" t="s">
        <v>2687</v>
      </c>
      <c r="D1170" s="170" t="s">
        <v>2688</v>
      </c>
      <c r="E1170" s="171">
        <v>4</v>
      </c>
      <c r="F1170" s="171">
        <v>4</v>
      </c>
      <c r="G1170" s="170">
        <v>3</v>
      </c>
      <c r="H1170" s="170">
        <v>3</v>
      </c>
      <c r="I1170" s="170"/>
      <c r="J1170" s="170" t="s">
        <v>162</v>
      </c>
      <c r="K1170" s="170" t="s">
        <v>509</v>
      </c>
      <c r="L1170" s="170" t="s">
        <v>535</v>
      </c>
      <c r="M1170" s="170" t="s">
        <v>509</v>
      </c>
      <c r="N1170" s="170" t="s">
        <v>535</v>
      </c>
      <c r="O1170" s="170" t="s">
        <v>2667</v>
      </c>
    </row>
    <row r="1171" spans="1:15">
      <c r="A1171" s="63" t="s">
        <v>849</v>
      </c>
      <c r="B1171" s="14" t="str">
        <f>VLOOKUP(O1171,'护理记录单文书字典(数据)'!B$4:C$99,2,0)</f>
        <v>D335B6350CFAB2116C90F1ACA3474419</v>
      </c>
      <c r="C1171" s="170" t="s">
        <v>2687</v>
      </c>
      <c r="D1171" s="170" t="s">
        <v>2688</v>
      </c>
      <c r="E1171" s="171">
        <v>5</v>
      </c>
      <c r="F1171" s="171">
        <v>5</v>
      </c>
      <c r="G1171" s="170">
        <v>4</v>
      </c>
      <c r="H1171" s="170">
        <v>4</v>
      </c>
      <c r="I1171" s="170"/>
      <c r="J1171" s="170" t="s">
        <v>162</v>
      </c>
      <c r="K1171" s="170" t="s">
        <v>509</v>
      </c>
      <c r="L1171" s="170" t="s">
        <v>535</v>
      </c>
      <c r="M1171" s="170" t="s">
        <v>509</v>
      </c>
      <c r="N1171" s="170" t="s">
        <v>535</v>
      </c>
      <c r="O1171" s="170" t="s">
        <v>2667</v>
      </c>
    </row>
    <row r="1172" spans="1:15">
      <c r="A1172" s="63" t="s">
        <v>849</v>
      </c>
      <c r="B1172" s="14" t="str">
        <f>VLOOKUP(O1172,'护理记录单文书字典(数据)'!B$4:C$99,2,0)</f>
        <v>D335B6350CFAB2116C90F1ACA3474419</v>
      </c>
      <c r="C1172" s="170" t="s">
        <v>2689</v>
      </c>
      <c r="D1172" s="170" t="s">
        <v>2690</v>
      </c>
      <c r="E1172" s="171">
        <v>1</v>
      </c>
      <c r="F1172" s="171">
        <v>1</v>
      </c>
      <c r="G1172" s="170">
        <v>0</v>
      </c>
      <c r="H1172" s="170">
        <v>0</v>
      </c>
      <c r="I1172" s="170"/>
      <c r="J1172" s="170" t="s">
        <v>162</v>
      </c>
      <c r="K1172" s="170" t="s">
        <v>509</v>
      </c>
      <c r="L1172" s="170" t="s">
        <v>535</v>
      </c>
      <c r="M1172" s="170" t="s">
        <v>509</v>
      </c>
      <c r="N1172" s="170" t="s">
        <v>535</v>
      </c>
      <c r="O1172" s="170" t="s">
        <v>2667</v>
      </c>
    </row>
    <row r="1173" spans="1:15">
      <c r="A1173" s="63" t="s">
        <v>849</v>
      </c>
      <c r="B1173" s="14" t="str">
        <f>VLOOKUP(O1173,'护理记录单文书字典(数据)'!B$4:C$99,2,0)</f>
        <v>D335B6350CFAB2116C90F1ACA3474419</v>
      </c>
      <c r="C1173" s="170" t="s">
        <v>2689</v>
      </c>
      <c r="D1173" s="170" t="s">
        <v>2690</v>
      </c>
      <c r="E1173" s="171">
        <v>2</v>
      </c>
      <c r="F1173" s="171">
        <v>2</v>
      </c>
      <c r="G1173" s="170">
        <v>1</v>
      </c>
      <c r="H1173" s="170">
        <v>1</v>
      </c>
      <c r="I1173" s="170"/>
      <c r="J1173" s="170" t="s">
        <v>162</v>
      </c>
      <c r="K1173" s="170" t="s">
        <v>509</v>
      </c>
      <c r="L1173" s="170" t="s">
        <v>535</v>
      </c>
      <c r="M1173" s="170" t="s">
        <v>509</v>
      </c>
      <c r="N1173" s="170" t="s">
        <v>535</v>
      </c>
      <c r="O1173" s="170" t="s">
        <v>2667</v>
      </c>
    </row>
    <row r="1174" spans="1:15">
      <c r="A1174" s="63" t="s">
        <v>849</v>
      </c>
      <c r="B1174" s="14" t="str">
        <f>VLOOKUP(O1174,'护理记录单文书字典(数据)'!B$4:C$99,2,0)</f>
        <v>D335B6350CFAB2116C90F1ACA3474419</v>
      </c>
      <c r="C1174" s="170" t="s">
        <v>2689</v>
      </c>
      <c r="D1174" s="170" t="s">
        <v>2690</v>
      </c>
      <c r="E1174" s="171">
        <v>3</v>
      </c>
      <c r="F1174" s="171">
        <v>3</v>
      </c>
      <c r="G1174" s="170">
        <v>2</v>
      </c>
      <c r="H1174" s="170">
        <v>2</v>
      </c>
      <c r="I1174" s="170"/>
      <c r="J1174" s="170" t="s">
        <v>162</v>
      </c>
      <c r="K1174" s="170" t="s">
        <v>509</v>
      </c>
      <c r="L1174" s="170" t="s">
        <v>535</v>
      </c>
      <c r="M1174" s="170" t="s">
        <v>509</v>
      </c>
      <c r="N1174" s="170" t="s">
        <v>535</v>
      </c>
      <c r="O1174" s="170" t="s">
        <v>2667</v>
      </c>
    </row>
    <row r="1175" spans="1:15">
      <c r="A1175" s="63" t="s">
        <v>849</v>
      </c>
      <c r="B1175" s="14" t="str">
        <f>VLOOKUP(O1175,'护理记录单文书字典(数据)'!B$4:C$99,2,0)</f>
        <v>D335B6350CFAB2116C90F1ACA3474419</v>
      </c>
      <c r="C1175" s="170" t="s">
        <v>2689</v>
      </c>
      <c r="D1175" s="170" t="s">
        <v>2690</v>
      </c>
      <c r="E1175" s="171">
        <v>4</v>
      </c>
      <c r="F1175" s="171">
        <v>4</v>
      </c>
      <c r="G1175" s="170">
        <v>3</v>
      </c>
      <c r="H1175" s="170">
        <v>3</v>
      </c>
      <c r="I1175" s="170"/>
      <c r="J1175" s="170" t="s">
        <v>162</v>
      </c>
      <c r="K1175" s="170" t="s">
        <v>509</v>
      </c>
      <c r="L1175" s="170" t="s">
        <v>535</v>
      </c>
      <c r="M1175" s="170" t="s">
        <v>509</v>
      </c>
      <c r="N1175" s="170" t="s">
        <v>535</v>
      </c>
      <c r="O1175" s="170" t="s">
        <v>2667</v>
      </c>
    </row>
    <row r="1176" spans="1:15">
      <c r="A1176" s="63" t="s">
        <v>849</v>
      </c>
      <c r="B1176" s="14" t="str">
        <f>VLOOKUP(O1176,'护理记录单文书字典(数据)'!B$4:C$99,2,0)</f>
        <v>D335B6350CFAB2116C90F1ACA3474419</v>
      </c>
      <c r="C1176" s="170" t="s">
        <v>2689</v>
      </c>
      <c r="D1176" s="170" t="s">
        <v>2690</v>
      </c>
      <c r="E1176" s="171">
        <v>5</v>
      </c>
      <c r="F1176" s="171">
        <v>5</v>
      </c>
      <c r="G1176" s="170">
        <v>4</v>
      </c>
      <c r="H1176" s="170">
        <v>4</v>
      </c>
      <c r="I1176" s="170"/>
      <c r="J1176" s="170" t="s">
        <v>162</v>
      </c>
      <c r="K1176" s="170" t="s">
        <v>509</v>
      </c>
      <c r="L1176" s="170" t="s">
        <v>535</v>
      </c>
      <c r="M1176" s="170" t="s">
        <v>509</v>
      </c>
      <c r="N1176" s="170" t="s">
        <v>535</v>
      </c>
      <c r="O1176" s="170" t="s">
        <v>2667</v>
      </c>
    </row>
    <row r="1177" spans="1:15">
      <c r="A1177" s="63" t="s">
        <v>849</v>
      </c>
      <c r="B1177" s="14" t="str">
        <f>VLOOKUP(O1177,'护理记录单文书字典(数据)'!B$4:C$99,2,0)</f>
        <v>D335B6350CFAB2116C90F1ACA3474419</v>
      </c>
      <c r="C1177" s="170" t="s">
        <v>2691</v>
      </c>
      <c r="D1177" s="170" t="s">
        <v>2692</v>
      </c>
      <c r="E1177" s="171">
        <v>1</v>
      </c>
      <c r="F1177" s="171">
        <v>1</v>
      </c>
      <c r="G1177" s="170">
        <v>0</v>
      </c>
      <c r="H1177" s="170">
        <v>0</v>
      </c>
      <c r="I1177" s="170"/>
      <c r="J1177" s="170" t="s">
        <v>162</v>
      </c>
      <c r="K1177" s="170" t="s">
        <v>509</v>
      </c>
      <c r="L1177" s="170" t="s">
        <v>535</v>
      </c>
      <c r="M1177" s="170" t="s">
        <v>509</v>
      </c>
      <c r="N1177" s="170" t="s">
        <v>535</v>
      </c>
      <c r="O1177" s="170" t="s">
        <v>2667</v>
      </c>
    </row>
    <row r="1178" spans="1:15">
      <c r="A1178" s="63" t="s">
        <v>849</v>
      </c>
      <c r="B1178" s="14" t="str">
        <f>VLOOKUP(O1178,'护理记录单文书字典(数据)'!B$4:C$99,2,0)</f>
        <v>D335B6350CFAB2116C90F1ACA3474419</v>
      </c>
      <c r="C1178" s="170" t="s">
        <v>2691</v>
      </c>
      <c r="D1178" s="170" t="s">
        <v>2692</v>
      </c>
      <c r="E1178" s="171">
        <v>2</v>
      </c>
      <c r="F1178" s="171">
        <v>2</v>
      </c>
      <c r="G1178" s="170">
        <v>1</v>
      </c>
      <c r="H1178" s="170">
        <v>1</v>
      </c>
      <c r="I1178" s="170"/>
      <c r="J1178" s="170" t="s">
        <v>162</v>
      </c>
      <c r="K1178" s="170" t="s">
        <v>509</v>
      </c>
      <c r="L1178" s="170" t="s">
        <v>535</v>
      </c>
      <c r="M1178" s="170" t="s">
        <v>509</v>
      </c>
      <c r="N1178" s="170" t="s">
        <v>535</v>
      </c>
      <c r="O1178" s="170" t="s">
        <v>2667</v>
      </c>
    </row>
    <row r="1179" spans="1:15">
      <c r="A1179" s="63" t="s">
        <v>849</v>
      </c>
      <c r="B1179" s="14" t="str">
        <f>VLOOKUP(O1179,'护理记录单文书字典(数据)'!B$4:C$99,2,0)</f>
        <v>D335B6350CFAB2116C90F1ACA3474419</v>
      </c>
      <c r="C1179" s="170" t="s">
        <v>2691</v>
      </c>
      <c r="D1179" s="170" t="s">
        <v>2692</v>
      </c>
      <c r="E1179" s="171">
        <v>3</v>
      </c>
      <c r="F1179" s="171">
        <v>3</v>
      </c>
      <c r="G1179" s="170">
        <v>2</v>
      </c>
      <c r="H1179" s="170">
        <v>2</v>
      </c>
      <c r="I1179" s="170"/>
      <c r="J1179" s="170" t="s">
        <v>162</v>
      </c>
      <c r="K1179" s="170" t="s">
        <v>509</v>
      </c>
      <c r="L1179" s="170" t="s">
        <v>535</v>
      </c>
      <c r="M1179" s="170" t="s">
        <v>509</v>
      </c>
      <c r="N1179" s="170" t="s">
        <v>535</v>
      </c>
      <c r="O1179" s="170" t="s">
        <v>2667</v>
      </c>
    </row>
    <row r="1180" spans="1:15">
      <c r="A1180" s="63" t="s">
        <v>849</v>
      </c>
      <c r="B1180" s="14" t="str">
        <f>VLOOKUP(O1180,'护理记录单文书字典(数据)'!B$4:C$99,2,0)</f>
        <v>D335B6350CFAB2116C90F1ACA3474419</v>
      </c>
      <c r="C1180" s="170" t="s">
        <v>2691</v>
      </c>
      <c r="D1180" s="170" t="s">
        <v>2692</v>
      </c>
      <c r="E1180" s="171">
        <v>4</v>
      </c>
      <c r="F1180" s="171">
        <v>4</v>
      </c>
      <c r="G1180" s="170">
        <v>3</v>
      </c>
      <c r="H1180" s="170">
        <v>3</v>
      </c>
      <c r="I1180" s="170"/>
      <c r="J1180" s="170" t="s">
        <v>162</v>
      </c>
      <c r="K1180" s="170" t="s">
        <v>509</v>
      </c>
      <c r="L1180" s="170" t="s">
        <v>535</v>
      </c>
      <c r="M1180" s="170" t="s">
        <v>509</v>
      </c>
      <c r="N1180" s="170" t="s">
        <v>535</v>
      </c>
      <c r="O1180" s="170" t="s">
        <v>2667</v>
      </c>
    </row>
    <row r="1181" spans="1:15">
      <c r="A1181" s="63" t="s">
        <v>849</v>
      </c>
      <c r="B1181" s="14" t="str">
        <f>VLOOKUP(O1181,'护理记录单文书字典(数据)'!B$4:C$99,2,0)</f>
        <v>D335B6350CFAB2116C90F1ACA3474419</v>
      </c>
      <c r="C1181" s="170" t="s">
        <v>2691</v>
      </c>
      <c r="D1181" s="170" t="s">
        <v>2692</v>
      </c>
      <c r="E1181" s="171">
        <v>5</v>
      </c>
      <c r="F1181" s="171">
        <v>5</v>
      </c>
      <c r="G1181" s="170">
        <v>4</v>
      </c>
      <c r="H1181" s="170">
        <v>4</v>
      </c>
      <c r="I1181" s="170"/>
      <c r="J1181" s="170" t="s">
        <v>162</v>
      </c>
      <c r="K1181" s="170" t="s">
        <v>509</v>
      </c>
      <c r="L1181" s="170" t="s">
        <v>535</v>
      </c>
      <c r="M1181" s="170" t="s">
        <v>509</v>
      </c>
      <c r="N1181" s="170" t="s">
        <v>535</v>
      </c>
      <c r="O1181" s="170" t="s">
        <v>2667</v>
      </c>
    </row>
    <row r="1182" spans="1:15">
      <c r="A1182" s="63" t="s">
        <v>849</v>
      </c>
      <c r="B1182" s="14" t="str">
        <f>VLOOKUP(O1182,'护理记录单文书字典(数据)'!B$4:C$99,2,0)</f>
        <v>D335B6350CFAB2116C90F1ACA3474419</v>
      </c>
      <c r="C1182" s="170" t="s">
        <v>2693</v>
      </c>
      <c r="D1182" s="170" t="s">
        <v>2694</v>
      </c>
      <c r="E1182" s="171">
        <v>1</v>
      </c>
      <c r="F1182" s="171">
        <v>1</v>
      </c>
      <c r="G1182" s="170">
        <v>0</v>
      </c>
      <c r="H1182" s="170">
        <v>0</v>
      </c>
      <c r="I1182" s="170"/>
      <c r="J1182" s="170" t="s">
        <v>162</v>
      </c>
      <c r="K1182" s="170" t="s">
        <v>509</v>
      </c>
      <c r="L1182" s="170" t="s">
        <v>535</v>
      </c>
      <c r="M1182" s="170" t="s">
        <v>509</v>
      </c>
      <c r="N1182" s="170" t="s">
        <v>535</v>
      </c>
      <c r="O1182" s="170" t="s">
        <v>2667</v>
      </c>
    </row>
    <row r="1183" spans="1:15">
      <c r="A1183" s="63" t="s">
        <v>849</v>
      </c>
      <c r="B1183" s="14" t="str">
        <f>VLOOKUP(O1183,'护理记录单文书字典(数据)'!B$4:C$99,2,0)</f>
        <v>D335B6350CFAB2116C90F1ACA3474419</v>
      </c>
      <c r="C1183" s="170" t="s">
        <v>2693</v>
      </c>
      <c r="D1183" s="170" t="s">
        <v>2694</v>
      </c>
      <c r="E1183" s="171">
        <v>2</v>
      </c>
      <c r="F1183" s="171">
        <v>2</v>
      </c>
      <c r="G1183" s="170">
        <v>1</v>
      </c>
      <c r="H1183" s="170">
        <v>1</v>
      </c>
      <c r="I1183" s="170"/>
      <c r="J1183" s="170" t="s">
        <v>162</v>
      </c>
      <c r="K1183" s="170" t="s">
        <v>509</v>
      </c>
      <c r="L1183" s="170" t="s">
        <v>535</v>
      </c>
      <c r="M1183" s="170" t="s">
        <v>509</v>
      </c>
      <c r="N1183" s="170" t="s">
        <v>535</v>
      </c>
      <c r="O1183" s="170" t="s">
        <v>2667</v>
      </c>
    </row>
    <row r="1184" spans="1:15">
      <c r="A1184" s="63" t="s">
        <v>849</v>
      </c>
      <c r="B1184" s="14" t="str">
        <f>VLOOKUP(O1184,'护理记录单文书字典(数据)'!B$4:C$99,2,0)</f>
        <v>D335B6350CFAB2116C90F1ACA3474419</v>
      </c>
      <c r="C1184" s="170" t="s">
        <v>2693</v>
      </c>
      <c r="D1184" s="170" t="s">
        <v>2694</v>
      </c>
      <c r="E1184" s="171">
        <v>3</v>
      </c>
      <c r="F1184" s="171">
        <v>3</v>
      </c>
      <c r="G1184" s="170">
        <v>2</v>
      </c>
      <c r="H1184" s="170">
        <v>2</v>
      </c>
      <c r="I1184" s="170"/>
      <c r="J1184" s="170" t="s">
        <v>162</v>
      </c>
      <c r="K1184" s="170" t="s">
        <v>509</v>
      </c>
      <c r="L1184" s="170" t="s">
        <v>535</v>
      </c>
      <c r="M1184" s="170" t="s">
        <v>509</v>
      </c>
      <c r="N1184" s="170" t="s">
        <v>535</v>
      </c>
      <c r="O1184" s="170" t="s">
        <v>2667</v>
      </c>
    </row>
    <row r="1185" spans="1:15">
      <c r="A1185" s="63" t="s">
        <v>849</v>
      </c>
      <c r="B1185" s="14" t="str">
        <f>VLOOKUP(O1185,'护理记录单文书字典(数据)'!B$4:C$99,2,0)</f>
        <v>D335B6350CFAB2116C90F1ACA3474419</v>
      </c>
      <c r="C1185" s="170" t="s">
        <v>2693</v>
      </c>
      <c r="D1185" s="170" t="s">
        <v>2694</v>
      </c>
      <c r="E1185" s="171">
        <v>4</v>
      </c>
      <c r="F1185" s="171">
        <v>4</v>
      </c>
      <c r="G1185" s="170">
        <v>3</v>
      </c>
      <c r="H1185" s="170">
        <v>3</v>
      </c>
      <c r="I1185" s="170"/>
      <c r="J1185" s="170" t="s">
        <v>162</v>
      </c>
      <c r="K1185" s="170" t="s">
        <v>509</v>
      </c>
      <c r="L1185" s="170" t="s">
        <v>535</v>
      </c>
      <c r="M1185" s="170" t="s">
        <v>509</v>
      </c>
      <c r="N1185" s="170" t="s">
        <v>535</v>
      </c>
      <c r="O1185" s="170" t="s">
        <v>2667</v>
      </c>
    </row>
    <row r="1186" spans="1:15">
      <c r="A1186" s="63" t="s">
        <v>849</v>
      </c>
      <c r="B1186" s="14" t="str">
        <f>VLOOKUP(O1186,'护理记录单文书字典(数据)'!B$4:C$99,2,0)</f>
        <v>D335B6350CFAB2116C90F1ACA3474419</v>
      </c>
      <c r="C1186" s="170" t="s">
        <v>2693</v>
      </c>
      <c r="D1186" s="170" t="s">
        <v>2694</v>
      </c>
      <c r="E1186" s="171">
        <v>5</v>
      </c>
      <c r="F1186" s="171">
        <v>5</v>
      </c>
      <c r="G1186" s="170">
        <v>4</v>
      </c>
      <c r="H1186" s="170">
        <v>4</v>
      </c>
      <c r="I1186" s="170"/>
      <c r="J1186" s="170" t="s">
        <v>162</v>
      </c>
      <c r="K1186" s="170" t="s">
        <v>509</v>
      </c>
      <c r="L1186" s="170" t="s">
        <v>535</v>
      </c>
      <c r="M1186" s="170" t="s">
        <v>509</v>
      </c>
      <c r="N1186" s="170" t="s">
        <v>535</v>
      </c>
      <c r="O1186" s="170" t="s">
        <v>2667</v>
      </c>
    </row>
    <row r="1187" spans="1:15">
      <c r="A1187" s="63" t="s">
        <v>849</v>
      </c>
      <c r="B1187" s="14" t="str">
        <f>VLOOKUP(O1187,'护理记录单文书字典(数据)'!B$4:C$99,2,0)</f>
        <v>D335B6350CFAB2116C90F1ACA3474419</v>
      </c>
      <c r="C1187" s="170" t="s">
        <v>2695</v>
      </c>
      <c r="D1187" s="170" t="s">
        <v>2696</v>
      </c>
      <c r="E1187" s="171">
        <v>1</v>
      </c>
      <c r="F1187" s="171">
        <v>1</v>
      </c>
      <c r="G1187" s="170">
        <v>0</v>
      </c>
      <c r="H1187" s="170">
        <v>0</v>
      </c>
      <c r="I1187" s="170"/>
      <c r="J1187" s="170" t="s">
        <v>162</v>
      </c>
      <c r="K1187" s="170" t="s">
        <v>509</v>
      </c>
      <c r="L1187" s="170" t="s">
        <v>535</v>
      </c>
      <c r="M1187" s="170" t="s">
        <v>509</v>
      </c>
      <c r="N1187" s="170" t="s">
        <v>535</v>
      </c>
      <c r="O1187" s="170" t="s">
        <v>2667</v>
      </c>
    </row>
    <row r="1188" spans="1:15">
      <c r="A1188" s="63" t="s">
        <v>849</v>
      </c>
      <c r="B1188" s="14" t="str">
        <f>VLOOKUP(O1188,'护理记录单文书字典(数据)'!B$4:C$99,2,0)</f>
        <v>D335B6350CFAB2116C90F1ACA3474419</v>
      </c>
      <c r="C1188" s="170" t="s">
        <v>2695</v>
      </c>
      <c r="D1188" s="170" t="s">
        <v>2696</v>
      </c>
      <c r="E1188" s="171">
        <v>2</v>
      </c>
      <c r="F1188" s="171">
        <v>2</v>
      </c>
      <c r="G1188" s="170">
        <v>1</v>
      </c>
      <c r="H1188" s="170">
        <v>1</v>
      </c>
      <c r="I1188" s="170"/>
      <c r="J1188" s="170" t="s">
        <v>162</v>
      </c>
      <c r="K1188" s="170" t="s">
        <v>509</v>
      </c>
      <c r="L1188" s="170" t="s">
        <v>535</v>
      </c>
      <c r="M1188" s="170" t="s">
        <v>509</v>
      </c>
      <c r="N1188" s="170" t="s">
        <v>535</v>
      </c>
      <c r="O1188" s="170" t="s">
        <v>2667</v>
      </c>
    </row>
    <row r="1189" spans="1:15">
      <c r="A1189" s="63" t="s">
        <v>849</v>
      </c>
      <c r="B1189" s="14" t="str">
        <f>VLOOKUP(O1189,'护理记录单文书字典(数据)'!B$4:C$99,2,0)</f>
        <v>D335B6350CFAB2116C90F1ACA3474419</v>
      </c>
      <c r="C1189" s="170" t="s">
        <v>2695</v>
      </c>
      <c r="D1189" s="170" t="s">
        <v>2696</v>
      </c>
      <c r="E1189" s="171">
        <v>3</v>
      </c>
      <c r="F1189" s="171">
        <v>3</v>
      </c>
      <c r="G1189" s="170">
        <v>2</v>
      </c>
      <c r="H1189" s="170">
        <v>2</v>
      </c>
      <c r="I1189" s="170"/>
      <c r="J1189" s="170" t="s">
        <v>162</v>
      </c>
      <c r="K1189" s="170" t="s">
        <v>509</v>
      </c>
      <c r="L1189" s="170" t="s">
        <v>535</v>
      </c>
      <c r="M1189" s="170" t="s">
        <v>509</v>
      </c>
      <c r="N1189" s="170" t="s">
        <v>535</v>
      </c>
      <c r="O1189" s="170" t="s">
        <v>2667</v>
      </c>
    </row>
    <row r="1190" spans="1:15">
      <c r="A1190" s="63" t="s">
        <v>849</v>
      </c>
      <c r="B1190" s="14" t="str">
        <f>VLOOKUP(O1190,'护理记录单文书字典(数据)'!B$4:C$99,2,0)</f>
        <v>D335B6350CFAB2116C90F1ACA3474419</v>
      </c>
      <c r="C1190" s="170" t="s">
        <v>2695</v>
      </c>
      <c r="D1190" s="170" t="s">
        <v>2696</v>
      </c>
      <c r="E1190" s="171">
        <v>4</v>
      </c>
      <c r="F1190" s="171">
        <v>4</v>
      </c>
      <c r="G1190" s="170">
        <v>3</v>
      </c>
      <c r="H1190" s="170">
        <v>3</v>
      </c>
      <c r="I1190" s="170"/>
      <c r="J1190" s="170" t="s">
        <v>162</v>
      </c>
      <c r="K1190" s="170" t="s">
        <v>509</v>
      </c>
      <c r="L1190" s="170" t="s">
        <v>535</v>
      </c>
      <c r="M1190" s="170" t="s">
        <v>509</v>
      </c>
      <c r="N1190" s="170" t="s">
        <v>535</v>
      </c>
      <c r="O1190" s="170" t="s">
        <v>2667</v>
      </c>
    </row>
    <row r="1191" spans="1:15">
      <c r="A1191" s="63" t="s">
        <v>849</v>
      </c>
      <c r="B1191" s="14" t="str">
        <f>VLOOKUP(O1191,'护理记录单文书字典(数据)'!B$4:C$99,2,0)</f>
        <v>D335B6350CFAB2116C90F1ACA3474419</v>
      </c>
      <c r="C1191" s="170" t="s">
        <v>2695</v>
      </c>
      <c r="D1191" s="170" t="s">
        <v>2696</v>
      </c>
      <c r="E1191" s="171">
        <v>5</v>
      </c>
      <c r="F1191" s="171">
        <v>5</v>
      </c>
      <c r="G1191" s="170">
        <v>4</v>
      </c>
      <c r="H1191" s="170">
        <v>4</v>
      </c>
      <c r="I1191" s="170"/>
      <c r="J1191" s="170" t="s">
        <v>162</v>
      </c>
      <c r="K1191" s="170" t="s">
        <v>509</v>
      </c>
      <c r="L1191" s="170" t="s">
        <v>535</v>
      </c>
      <c r="M1191" s="170" t="s">
        <v>509</v>
      </c>
      <c r="N1191" s="170" t="s">
        <v>535</v>
      </c>
      <c r="O1191" s="170" t="s">
        <v>2667</v>
      </c>
    </row>
    <row r="1192" spans="1:15">
      <c r="A1192" s="63" t="s">
        <v>849</v>
      </c>
      <c r="B1192" s="14" t="str">
        <f>VLOOKUP(O1192,'护理记录单文书字典(数据)'!B$4:C$99,2,0)</f>
        <v>D335B6350CFAB2116C90F1ACA3474419</v>
      </c>
      <c r="C1192" s="170" t="s">
        <v>2697</v>
      </c>
      <c r="D1192" s="170" t="s">
        <v>2698</v>
      </c>
      <c r="E1192" s="171">
        <v>1</v>
      </c>
      <c r="F1192" s="171">
        <v>1</v>
      </c>
      <c r="G1192" s="170">
        <v>0</v>
      </c>
      <c r="H1192" s="170">
        <v>0</v>
      </c>
      <c r="I1192" s="170"/>
      <c r="J1192" s="170" t="s">
        <v>162</v>
      </c>
      <c r="K1192" s="170" t="s">
        <v>509</v>
      </c>
      <c r="L1192" s="170" t="s">
        <v>535</v>
      </c>
      <c r="M1192" s="170" t="s">
        <v>509</v>
      </c>
      <c r="N1192" s="170" t="s">
        <v>535</v>
      </c>
      <c r="O1192" s="170" t="s">
        <v>2667</v>
      </c>
    </row>
    <row r="1193" spans="1:15">
      <c r="A1193" s="63" t="s">
        <v>849</v>
      </c>
      <c r="B1193" s="14" t="str">
        <f>VLOOKUP(O1193,'护理记录单文书字典(数据)'!B$4:C$99,2,0)</f>
        <v>D335B6350CFAB2116C90F1ACA3474419</v>
      </c>
      <c r="C1193" s="170" t="s">
        <v>2697</v>
      </c>
      <c r="D1193" s="170" t="s">
        <v>2698</v>
      </c>
      <c r="E1193" s="171">
        <v>2</v>
      </c>
      <c r="F1193" s="171">
        <v>2</v>
      </c>
      <c r="G1193" s="170">
        <v>1</v>
      </c>
      <c r="H1193" s="170">
        <v>1</v>
      </c>
      <c r="I1193" s="170"/>
      <c r="J1193" s="170" t="s">
        <v>162</v>
      </c>
      <c r="K1193" s="170" t="s">
        <v>509</v>
      </c>
      <c r="L1193" s="170" t="s">
        <v>535</v>
      </c>
      <c r="M1193" s="170" t="s">
        <v>509</v>
      </c>
      <c r="N1193" s="170" t="s">
        <v>535</v>
      </c>
      <c r="O1193" s="170" t="s">
        <v>2667</v>
      </c>
    </row>
    <row r="1194" spans="1:15">
      <c r="A1194" s="63" t="s">
        <v>849</v>
      </c>
      <c r="B1194" s="14" t="str">
        <f>VLOOKUP(O1194,'护理记录单文书字典(数据)'!B$4:C$99,2,0)</f>
        <v>D335B6350CFAB2116C90F1ACA3474419</v>
      </c>
      <c r="C1194" s="170" t="s">
        <v>2697</v>
      </c>
      <c r="D1194" s="170" t="s">
        <v>2698</v>
      </c>
      <c r="E1194" s="171">
        <v>3</v>
      </c>
      <c r="F1194" s="171">
        <v>3</v>
      </c>
      <c r="G1194" s="170">
        <v>2</v>
      </c>
      <c r="H1194" s="170">
        <v>2</v>
      </c>
      <c r="I1194" s="170"/>
      <c r="J1194" s="170" t="s">
        <v>162</v>
      </c>
      <c r="K1194" s="170" t="s">
        <v>509</v>
      </c>
      <c r="L1194" s="170" t="s">
        <v>535</v>
      </c>
      <c r="M1194" s="170" t="s">
        <v>509</v>
      </c>
      <c r="N1194" s="170" t="s">
        <v>535</v>
      </c>
      <c r="O1194" s="170" t="s">
        <v>2667</v>
      </c>
    </row>
    <row r="1195" spans="1:15">
      <c r="A1195" s="63" t="s">
        <v>849</v>
      </c>
      <c r="B1195" s="14" t="str">
        <f>VLOOKUP(O1195,'护理记录单文书字典(数据)'!B$4:C$99,2,0)</f>
        <v>D335B6350CFAB2116C90F1ACA3474419</v>
      </c>
      <c r="C1195" s="170" t="s">
        <v>2697</v>
      </c>
      <c r="D1195" s="170" t="s">
        <v>2698</v>
      </c>
      <c r="E1195" s="171">
        <v>4</v>
      </c>
      <c r="F1195" s="171">
        <v>4</v>
      </c>
      <c r="G1195" s="170">
        <v>3</v>
      </c>
      <c r="H1195" s="170">
        <v>3</v>
      </c>
      <c r="I1195" s="170"/>
      <c r="J1195" s="170" t="s">
        <v>162</v>
      </c>
      <c r="K1195" s="170" t="s">
        <v>509</v>
      </c>
      <c r="L1195" s="170" t="s">
        <v>535</v>
      </c>
      <c r="M1195" s="170" t="s">
        <v>509</v>
      </c>
      <c r="N1195" s="170" t="s">
        <v>535</v>
      </c>
      <c r="O1195" s="170" t="s">
        <v>2667</v>
      </c>
    </row>
    <row r="1196" spans="1:15">
      <c r="A1196" s="63" t="s">
        <v>849</v>
      </c>
      <c r="B1196" s="14" t="str">
        <f>VLOOKUP(O1196,'护理记录单文书字典(数据)'!B$4:C$99,2,0)</f>
        <v>D335B6350CFAB2116C90F1ACA3474419</v>
      </c>
      <c r="C1196" s="170" t="s">
        <v>2697</v>
      </c>
      <c r="D1196" s="170" t="s">
        <v>2698</v>
      </c>
      <c r="E1196" s="171">
        <v>5</v>
      </c>
      <c r="F1196" s="171">
        <v>5</v>
      </c>
      <c r="G1196" s="170">
        <v>4</v>
      </c>
      <c r="H1196" s="170">
        <v>4</v>
      </c>
      <c r="I1196" s="170"/>
      <c r="J1196" s="170" t="s">
        <v>162</v>
      </c>
      <c r="K1196" s="170" t="s">
        <v>509</v>
      </c>
      <c r="L1196" s="170" t="s">
        <v>535</v>
      </c>
      <c r="M1196" s="170" t="s">
        <v>509</v>
      </c>
      <c r="N1196" s="170" t="s">
        <v>535</v>
      </c>
      <c r="O1196" s="170" t="s">
        <v>2667</v>
      </c>
    </row>
    <row r="1197" spans="1:15">
      <c r="A1197" s="63" t="s">
        <v>849</v>
      </c>
      <c r="B1197" s="14" t="str">
        <f>VLOOKUP(O1197,'护理记录单文书字典(数据)'!B$4:C$99,2,0)</f>
        <v>7C10BC350CFAB211FBB2DA70E6E0B948</v>
      </c>
      <c r="C1197" s="170" t="s">
        <v>2699</v>
      </c>
      <c r="D1197" s="170" t="s">
        <v>2700</v>
      </c>
      <c r="E1197" s="171">
        <v>1</v>
      </c>
      <c r="F1197" s="171">
        <v>1</v>
      </c>
      <c r="G1197" s="170">
        <v>0</v>
      </c>
      <c r="H1197" s="170">
        <v>0</v>
      </c>
      <c r="I1197" s="170"/>
      <c r="J1197" s="170" t="s">
        <v>162</v>
      </c>
      <c r="K1197" s="170" t="s">
        <v>509</v>
      </c>
      <c r="L1197" s="170" t="s">
        <v>535</v>
      </c>
      <c r="M1197" s="170" t="s">
        <v>509</v>
      </c>
      <c r="N1197" s="170" t="s">
        <v>535</v>
      </c>
      <c r="O1197" s="170" t="s">
        <v>2701</v>
      </c>
    </row>
    <row r="1198" spans="1:15">
      <c r="A1198" s="63" t="s">
        <v>849</v>
      </c>
      <c r="B1198" s="14" t="str">
        <f>VLOOKUP(O1198,'护理记录单文书字典(数据)'!B$4:C$99,2,0)</f>
        <v>7C10BC350CFAB211FBB2DA70E6E0B948</v>
      </c>
      <c r="C1198" s="170" t="s">
        <v>2699</v>
      </c>
      <c r="D1198" s="170" t="s">
        <v>2700</v>
      </c>
      <c r="E1198" s="171">
        <v>2</v>
      </c>
      <c r="F1198" s="171">
        <v>2</v>
      </c>
      <c r="G1198" s="170">
        <v>1</v>
      </c>
      <c r="H1198" s="170">
        <v>1</v>
      </c>
      <c r="I1198" s="170"/>
      <c r="J1198" s="170" t="s">
        <v>162</v>
      </c>
      <c r="K1198" s="170" t="s">
        <v>509</v>
      </c>
      <c r="L1198" s="170" t="s">
        <v>535</v>
      </c>
      <c r="M1198" s="170" t="s">
        <v>509</v>
      </c>
      <c r="N1198" s="170" t="s">
        <v>535</v>
      </c>
      <c r="O1198" s="170" t="s">
        <v>2701</v>
      </c>
    </row>
    <row r="1199" spans="1:15">
      <c r="A1199" s="63" t="s">
        <v>849</v>
      </c>
      <c r="B1199" s="14" t="str">
        <f>VLOOKUP(O1199,'护理记录单文书字典(数据)'!B$4:C$99,2,0)</f>
        <v>7C10BC350CFAB211FBB2DA70E6E0B948</v>
      </c>
      <c r="C1199" s="170" t="s">
        <v>2699</v>
      </c>
      <c r="D1199" s="170" t="s">
        <v>2700</v>
      </c>
      <c r="E1199" s="171">
        <v>3</v>
      </c>
      <c r="F1199" s="171">
        <v>3</v>
      </c>
      <c r="G1199" s="170">
        <v>2</v>
      </c>
      <c r="H1199" s="170">
        <v>2</v>
      </c>
      <c r="I1199" s="170"/>
      <c r="J1199" s="170" t="s">
        <v>162</v>
      </c>
      <c r="K1199" s="170" t="s">
        <v>509</v>
      </c>
      <c r="L1199" s="170" t="s">
        <v>535</v>
      </c>
      <c r="M1199" s="170" t="s">
        <v>509</v>
      </c>
      <c r="N1199" s="170" t="s">
        <v>535</v>
      </c>
      <c r="O1199" s="170" t="s">
        <v>2701</v>
      </c>
    </row>
    <row r="1200" spans="1:15">
      <c r="A1200" s="63" t="s">
        <v>849</v>
      </c>
      <c r="B1200" s="14" t="str">
        <f>VLOOKUP(O1200,'护理记录单文书字典(数据)'!B$4:C$99,2,0)</f>
        <v>7C10BC350CFAB211FBB2DA70E6E0B948</v>
      </c>
      <c r="C1200" s="170" t="s">
        <v>2699</v>
      </c>
      <c r="D1200" s="170" t="s">
        <v>2700</v>
      </c>
      <c r="E1200" s="171">
        <v>4</v>
      </c>
      <c r="F1200" s="171">
        <v>4</v>
      </c>
      <c r="G1200" s="170">
        <v>3</v>
      </c>
      <c r="H1200" s="170">
        <v>3</v>
      </c>
      <c r="I1200" s="170"/>
      <c r="J1200" s="170" t="s">
        <v>162</v>
      </c>
      <c r="K1200" s="170" t="s">
        <v>509</v>
      </c>
      <c r="L1200" s="170" t="s">
        <v>535</v>
      </c>
      <c r="M1200" s="170" t="s">
        <v>509</v>
      </c>
      <c r="N1200" s="170" t="s">
        <v>535</v>
      </c>
      <c r="O1200" s="170" t="s">
        <v>2701</v>
      </c>
    </row>
    <row r="1201" spans="1:15">
      <c r="A1201" s="63" t="s">
        <v>849</v>
      </c>
      <c r="B1201" s="14" t="str">
        <f>VLOOKUP(O1201,'护理记录单文书字典(数据)'!B$4:C$99,2,0)</f>
        <v>7C10BC350CFAB211FBB2DA70E6E0B948</v>
      </c>
      <c r="C1201" s="170" t="s">
        <v>2702</v>
      </c>
      <c r="D1201" s="170" t="s">
        <v>2703</v>
      </c>
      <c r="E1201" s="171">
        <v>1</v>
      </c>
      <c r="F1201" s="171">
        <v>1</v>
      </c>
      <c r="G1201" s="170">
        <v>0</v>
      </c>
      <c r="H1201" s="170">
        <v>0</v>
      </c>
      <c r="I1201" s="170"/>
      <c r="J1201" s="170" t="s">
        <v>162</v>
      </c>
      <c r="K1201" s="170" t="s">
        <v>509</v>
      </c>
      <c r="L1201" s="170" t="s">
        <v>535</v>
      </c>
      <c r="M1201" s="170" t="s">
        <v>509</v>
      </c>
      <c r="N1201" s="170" t="s">
        <v>535</v>
      </c>
      <c r="O1201" s="170" t="s">
        <v>2701</v>
      </c>
    </row>
    <row r="1202" spans="1:15">
      <c r="A1202" s="63" t="s">
        <v>849</v>
      </c>
      <c r="B1202" s="14" t="str">
        <f>VLOOKUP(O1202,'护理记录单文书字典(数据)'!B$4:C$99,2,0)</f>
        <v>7C10BC350CFAB211FBB2DA70E6E0B948</v>
      </c>
      <c r="C1202" s="170" t="s">
        <v>2702</v>
      </c>
      <c r="D1202" s="170" t="s">
        <v>2703</v>
      </c>
      <c r="E1202" s="171">
        <v>2</v>
      </c>
      <c r="F1202" s="171">
        <v>2</v>
      </c>
      <c r="G1202" s="170">
        <v>1</v>
      </c>
      <c r="H1202" s="170">
        <v>1</v>
      </c>
      <c r="I1202" s="170"/>
      <c r="J1202" s="170" t="s">
        <v>162</v>
      </c>
      <c r="K1202" s="170" t="s">
        <v>509</v>
      </c>
      <c r="L1202" s="170" t="s">
        <v>535</v>
      </c>
      <c r="M1202" s="170" t="s">
        <v>509</v>
      </c>
      <c r="N1202" s="170" t="s">
        <v>535</v>
      </c>
      <c r="O1202" s="170" t="s">
        <v>2701</v>
      </c>
    </row>
    <row r="1203" spans="1:15">
      <c r="A1203" s="63" t="s">
        <v>849</v>
      </c>
      <c r="B1203" s="14" t="str">
        <f>VLOOKUP(O1203,'护理记录单文书字典(数据)'!B$4:C$99,2,0)</f>
        <v>7C10BC350CFAB211FBB2DA70E6E0B948</v>
      </c>
      <c r="C1203" s="170" t="s">
        <v>2702</v>
      </c>
      <c r="D1203" s="170" t="s">
        <v>2703</v>
      </c>
      <c r="E1203" s="171">
        <v>3</v>
      </c>
      <c r="F1203" s="171">
        <v>3</v>
      </c>
      <c r="G1203" s="170">
        <v>2</v>
      </c>
      <c r="H1203" s="170">
        <v>2</v>
      </c>
      <c r="I1203" s="170"/>
      <c r="J1203" s="170" t="s">
        <v>162</v>
      </c>
      <c r="K1203" s="170" t="s">
        <v>509</v>
      </c>
      <c r="L1203" s="170" t="s">
        <v>535</v>
      </c>
      <c r="M1203" s="170" t="s">
        <v>509</v>
      </c>
      <c r="N1203" s="170" t="s">
        <v>535</v>
      </c>
      <c r="O1203" s="170" t="s">
        <v>2701</v>
      </c>
    </row>
    <row r="1204" spans="1:15">
      <c r="A1204" s="63" t="s">
        <v>849</v>
      </c>
      <c r="B1204" s="14" t="str">
        <f>VLOOKUP(O1204,'护理记录单文书字典(数据)'!B$4:C$99,2,0)</f>
        <v>7C10BC350CFAB211FBB2DA70E6E0B948</v>
      </c>
      <c r="C1204" s="170" t="s">
        <v>2702</v>
      </c>
      <c r="D1204" s="170" t="s">
        <v>2703</v>
      </c>
      <c r="E1204" s="171">
        <v>4</v>
      </c>
      <c r="F1204" s="171">
        <v>4</v>
      </c>
      <c r="G1204" s="170">
        <v>3</v>
      </c>
      <c r="H1204" s="170">
        <v>3</v>
      </c>
      <c r="I1204" s="170"/>
      <c r="J1204" s="170" t="s">
        <v>162</v>
      </c>
      <c r="K1204" s="170" t="s">
        <v>509</v>
      </c>
      <c r="L1204" s="170" t="s">
        <v>535</v>
      </c>
      <c r="M1204" s="170" t="s">
        <v>509</v>
      </c>
      <c r="N1204" s="170" t="s">
        <v>535</v>
      </c>
      <c r="O1204" s="170" t="s">
        <v>2701</v>
      </c>
    </row>
    <row r="1205" spans="1:15">
      <c r="A1205" s="63" t="s">
        <v>849</v>
      </c>
      <c r="B1205" s="14" t="str">
        <f>VLOOKUP(O1205,'护理记录单文书字典(数据)'!B$4:C$99,2,0)</f>
        <v>7C10BC350CFAB211FBB2DA70E6E0B948</v>
      </c>
      <c r="C1205" s="170" t="s">
        <v>2704</v>
      </c>
      <c r="D1205" s="170" t="s">
        <v>2705</v>
      </c>
      <c r="E1205" s="171">
        <v>1</v>
      </c>
      <c r="F1205" s="171">
        <v>1</v>
      </c>
      <c r="G1205" s="170">
        <v>0</v>
      </c>
      <c r="H1205" s="170">
        <v>0</v>
      </c>
      <c r="I1205" s="170"/>
      <c r="J1205" s="170" t="s">
        <v>162</v>
      </c>
      <c r="K1205" s="170" t="s">
        <v>509</v>
      </c>
      <c r="L1205" s="170" t="s">
        <v>535</v>
      </c>
      <c r="M1205" s="170" t="s">
        <v>509</v>
      </c>
      <c r="N1205" s="170" t="s">
        <v>535</v>
      </c>
      <c r="O1205" s="170" t="s">
        <v>2701</v>
      </c>
    </row>
    <row r="1206" spans="1:15">
      <c r="A1206" s="63" t="s">
        <v>849</v>
      </c>
      <c r="B1206" s="14" t="str">
        <f>VLOOKUP(O1206,'护理记录单文书字典(数据)'!B$4:C$99,2,0)</f>
        <v>7C10BC350CFAB211FBB2DA70E6E0B948</v>
      </c>
      <c r="C1206" s="170" t="s">
        <v>2704</v>
      </c>
      <c r="D1206" s="170" t="s">
        <v>2705</v>
      </c>
      <c r="E1206" s="171">
        <v>2</v>
      </c>
      <c r="F1206" s="171">
        <v>2</v>
      </c>
      <c r="G1206" s="170">
        <v>1</v>
      </c>
      <c r="H1206" s="170">
        <v>1</v>
      </c>
      <c r="I1206" s="170"/>
      <c r="J1206" s="170" t="s">
        <v>162</v>
      </c>
      <c r="K1206" s="170" t="s">
        <v>509</v>
      </c>
      <c r="L1206" s="170" t="s">
        <v>535</v>
      </c>
      <c r="M1206" s="170" t="s">
        <v>509</v>
      </c>
      <c r="N1206" s="170" t="s">
        <v>535</v>
      </c>
      <c r="O1206" s="170" t="s">
        <v>2701</v>
      </c>
    </row>
    <row r="1207" spans="1:15">
      <c r="A1207" s="63" t="s">
        <v>849</v>
      </c>
      <c r="B1207" s="14" t="str">
        <f>VLOOKUP(O1207,'护理记录单文书字典(数据)'!B$4:C$99,2,0)</f>
        <v>7C10BC350CFAB211FBB2DA70E6E0B948</v>
      </c>
      <c r="C1207" s="170" t="s">
        <v>2704</v>
      </c>
      <c r="D1207" s="170" t="s">
        <v>2705</v>
      </c>
      <c r="E1207" s="171">
        <v>3</v>
      </c>
      <c r="F1207" s="171">
        <v>3</v>
      </c>
      <c r="G1207" s="170">
        <v>2</v>
      </c>
      <c r="H1207" s="170">
        <v>2</v>
      </c>
      <c r="I1207" s="170"/>
      <c r="J1207" s="170" t="s">
        <v>162</v>
      </c>
      <c r="K1207" s="170" t="s">
        <v>509</v>
      </c>
      <c r="L1207" s="170" t="s">
        <v>535</v>
      </c>
      <c r="M1207" s="170" t="s">
        <v>509</v>
      </c>
      <c r="N1207" s="170" t="s">
        <v>535</v>
      </c>
      <c r="O1207" s="170" t="s">
        <v>2701</v>
      </c>
    </row>
    <row r="1208" spans="1:15">
      <c r="A1208" s="63" t="s">
        <v>849</v>
      </c>
      <c r="B1208" s="14" t="str">
        <f>VLOOKUP(O1208,'护理记录单文书字典(数据)'!B$4:C$99,2,0)</f>
        <v>7C10BC350CFAB211FBB2DA70E6E0B948</v>
      </c>
      <c r="C1208" s="170" t="s">
        <v>2704</v>
      </c>
      <c r="D1208" s="170" t="s">
        <v>2705</v>
      </c>
      <c r="E1208" s="171">
        <v>4</v>
      </c>
      <c r="F1208" s="171">
        <v>4</v>
      </c>
      <c r="G1208" s="170">
        <v>3</v>
      </c>
      <c r="H1208" s="170">
        <v>3</v>
      </c>
      <c r="I1208" s="170"/>
      <c r="J1208" s="170" t="s">
        <v>162</v>
      </c>
      <c r="K1208" s="170" t="s">
        <v>509</v>
      </c>
      <c r="L1208" s="170" t="s">
        <v>535</v>
      </c>
      <c r="M1208" s="170" t="s">
        <v>509</v>
      </c>
      <c r="N1208" s="170" t="s">
        <v>535</v>
      </c>
      <c r="O1208" s="170" t="s">
        <v>2701</v>
      </c>
    </row>
    <row r="1209" spans="1:15">
      <c r="A1209" s="63" t="s">
        <v>849</v>
      </c>
      <c r="B1209" s="14" t="str">
        <f>VLOOKUP(O1209,'护理记录单文书字典(数据)'!B$4:C$99,2,0)</f>
        <v>7C10BC350CFAB211FBB2DA70E6E0B948</v>
      </c>
      <c r="C1209" s="170" t="s">
        <v>2706</v>
      </c>
      <c r="D1209" s="170" t="s">
        <v>2707</v>
      </c>
      <c r="E1209" s="171">
        <v>1</v>
      </c>
      <c r="F1209" s="171">
        <v>1</v>
      </c>
      <c r="G1209" s="170">
        <v>0</v>
      </c>
      <c r="H1209" s="170">
        <v>0</v>
      </c>
      <c r="I1209" s="170"/>
      <c r="J1209" s="170" t="s">
        <v>162</v>
      </c>
      <c r="K1209" s="170" t="s">
        <v>509</v>
      </c>
      <c r="L1209" s="170" t="s">
        <v>535</v>
      </c>
      <c r="M1209" s="170" t="s">
        <v>509</v>
      </c>
      <c r="N1209" s="170" t="s">
        <v>535</v>
      </c>
      <c r="O1209" s="170" t="s">
        <v>2701</v>
      </c>
    </row>
    <row r="1210" spans="1:15">
      <c r="A1210" s="63" t="s">
        <v>849</v>
      </c>
      <c r="B1210" s="14" t="str">
        <f>VLOOKUP(O1210,'护理记录单文书字典(数据)'!B$4:C$99,2,0)</f>
        <v>7C10BC350CFAB211FBB2DA70E6E0B948</v>
      </c>
      <c r="C1210" s="170" t="s">
        <v>2706</v>
      </c>
      <c r="D1210" s="170" t="s">
        <v>2707</v>
      </c>
      <c r="E1210" s="171">
        <v>2</v>
      </c>
      <c r="F1210" s="171">
        <v>2</v>
      </c>
      <c r="G1210" s="170">
        <v>1</v>
      </c>
      <c r="H1210" s="170">
        <v>1</v>
      </c>
      <c r="I1210" s="170"/>
      <c r="J1210" s="170" t="s">
        <v>162</v>
      </c>
      <c r="K1210" s="170" t="s">
        <v>509</v>
      </c>
      <c r="L1210" s="170" t="s">
        <v>535</v>
      </c>
      <c r="M1210" s="170" t="s">
        <v>509</v>
      </c>
      <c r="N1210" s="170" t="s">
        <v>535</v>
      </c>
      <c r="O1210" s="170" t="s">
        <v>2701</v>
      </c>
    </row>
    <row r="1211" spans="1:15">
      <c r="A1211" s="63" t="s">
        <v>849</v>
      </c>
      <c r="B1211" s="14" t="str">
        <f>VLOOKUP(O1211,'护理记录单文书字典(数据)'!B$4:C$99,2,0)</f>
        <v>7C10BC350CFAB211FBB2DA70E6E0B948</v>
      </c>
      <c r="C1211" s="170" t="s">
        <v>2706</v>
      </c>
      <c r="D1211" s="170" t="s">
        <v>2707</v>
      </c>
      <c r="E1211" s="171">
        <v>3</v>
      </c>
      <c r="F1211" s="171">
        <v>3</v>
      </c>
      <c r="G1211" s="170">
        <v>2</v>
      </c>
      <c r="H1211" s="170">
        <v>2</v>
      </c>
      <c r="I1211" s="170"/>
      <c r="J1211" s="170" t="s">
        <v>162</v>
      </c>
      <c r="K1211" s="170" t="s">
        <v>509</v>
      </c>
      <c r="L1211" s="170" t="s">
        <v>535</v>
      </c>
      <c r="M1211" s="170" t="s">
        <v>509</v>
      </c>
      <c r="N1211" s="170" t="s">
        <v>535</v>
      </c>
      <c r="O1211" s="170" t="s">
        <v>2701</v>
      </c>
    </row>
    <row r="1212" spans="1:15">
      <c r="A1212" s="63" t="s">
        <v>849</v>
      </c>
      <c r="B1212" s="14" t="str">
        <f>VLOOKUP(O1212,'护理记录单文书字典(数据)'!B$4:C$99,2,0)</f>
        <v>7C10BC350CFAB211FBB2DA70E6E0B948</v>
      </c>
      <c r="C1212" s="170" t="s">
        <v>2706</v>
      </c>
      <c r="D1212" s="170" t="s">
        <v>2707</v>
      </c>
      <c r="E1212" s="171">
        <v>4</v>
      </c>
      <c r="F1212" s="171">
        <v>4</v>
      </c>
      <c r="G1212" s="170">
        <v>3</v>
      </c>
      <c r="H1212" s="170">
        <v>3</v>
      </c>
      <c r="I1212" s="170"/>
      <c r="J1212" s="170" t="s">
        <v>162</v>
      </c>
      <c r="K1212" s="170" t="s">
        <v>509</v>
      </c>
      <c r="L1212" s="170" t="s">
        <v>535</v>
      </c>
      <c r="M1212" s="170" t="s">
        <v>509</v>
      </c>
      <c r="N1212" s="170" t="s">
        <v>535</v>
      </c>
      <c r="O1212" s="170" t="s">
        <v>2701</v>
      </c>
    </row>
    <row r="1213" spans="1:15">
      <c r="A1213" s="63" t="s">
        <v>849</v>
      </c>
      <c r="B1213" s="14" t="str">
        <f>VLOOKUP(O1213,'护理记录单文书字典(数据)'!B$4:C$99,2,0)</f>
        <v>7C10BC350CFAB211FBB2DA70E6E0B948</v>
      </c>
      <c r="C1213" s="170" t="s">
        <v>2708</v>
      </c>
      <c r="D1213" s="170" t="s">
        <v>2709</v>
      </c>
      <c r="E1213" s="171">
        <v>1</v>
      </c>
      <c r="F1213" s="171">
        <v>1</v>
      </c>
      <c r="G1213" s="170">
        <v>0</v>
      </c>
      <c r="H1213" s="170">
        <v>0</v>
      </c>
      <c r="I1213" s="170"/>
      <c r="J1213" s="170" t="s">
        <v>162</v>
      </c>
      <c r="K1213" s="170" t="s">
        <v>509</v>
      </c>
      <c r="L1213" s="170" t="s">
        <v>535</v>
      </c>
      <c r="M1213" s="170" t="s">
        <v>509</v>
      </c>
      <c r="N1213" s="170" t="s">
        <v>535</v>
      </c>
      <c r="O1213" s="170" t="s">
        <v>2701</v>
      </c>
    </row>
    <row r="1214" spans="1:15">
      <c r="A1214" s="63" t="s">
        <v>849</v>
      </c>
      <c r="B1214" s="14" t="str">
        <f>VLOOKUP(O1214,'护理记录单文书字典(数据)'!B$4:C$99,2,0)</f>
        <v>7C10BC350CFAB211FBB2DA70E6E0B948</v>
      </c>
      <c r="C1214" s="170" t="s">
        <v>2708</v>
      </c>
      <c r="D1214" s="170" t="s">
        <v>2709</v>
      </c>
      <c r="E1214" s="171">
        <v>2</v>
      </c>
      <c r="F1214" s="171">
        <v>2</v>
      </c>
      <c r="G1214" s="170">
        <v>1</v>
      </c>
      <c r="H1214" s="170">
        <v>1</v>
      </c>
      <c r="I1214" s="170"/>
      <c r="J1214" s="170" t="s">
        <v>162</v>
      </c>
      <c r="K1214" s="170" t="s">
        <v>509</v>
      </c>
      <c r="L1214" s="170" t="s">
        <v>535</v>
      </c>
      <c r="M1214" s="170" t="s">
        <v>509</v>
      </c>
      <c r="N1214" s="170" t="s">
        <v>535</v>
      </c>
      <c r="O1214" s="170" t="s">
        <v>2701</v>
      </c>
    </row>
    <row r="1215" spans="1:15">
      <c r="A1215" s="63" t="s">
        <v>849</v>
      </c>
      <c r="B1215" s="14" t="str">
        <f>VLOOKUP(O1215,'护理记录单文书字典(数据)'!B$4:C$99,2,0)</f>
        <v>7C10BC350CFAB211FBB2DA70E6E0B948</v>
      </c>
      <c r="C1215" s="170" t="s">
        <v>2708</v>
      </c>
      <c r="D1215" s="170" t="s">
        <v>2709</v>
      </c>
      <c r="E1215" s="171">
        <v>3</v>
      </c>
      <c r="F1215" s="171">
        <v>3</v>
      </c>
      <c r="G1215" s="170">
        <v>2</v>
      </c>
      <c r="H1215" s="170">
        <v>2</v>
      </c>
      <c r="I1215" s="170"/>
      <c r="J1215" s="170" t="s">
        <v>162</v>
      </c>
      <c r="K1215" s="170" t="s">
        <v>509</v>
      </c>
      <c r="L1215" s="170" t="s">
        <v>535</v>
      </c>
      <c r="M1215" s="170" t="s">
        <v>509</v>
      </c>
      <c r="N1215" s="170" t="s">
        <v>535</v>
      </c>
      <c r="O1215" s="170" t="s">
        <v>2701</v>
      </c>
    </row>
    <row r="1216" spans="1:15">
      <c r="A1216" s="63" t="s">
        <v>849</v>
      </c>
      <c r="B1216" s="14" t="str">
        <f>VLOOKUP(O1216,'护理记录单文书字典(数据)'!B$4:C$99,2,0)</f>
        <v>7C10BC350CFAB211FBB2DA70E6E0B948</v>
      </c>
      <c r="C1216" s="170" t="s">
        <v>2708</v>
      </c>
      <c r="D1216" s="170" t="s">
        <v>2709</v>
      </c>
      <c r="E1216" s="171">
        <v>4</v>
      </c>
      <c r="F1216" s="171">
        <v>4</v>
      </c>
      <c r="G1216" s="170">
        <v>3</v>
      </c>
      <c r="H1216" s="170">
        <v>3</v>
      </c>
      <c r="I1216" s="170"/>
      <c r="J1216" s="170" t="s">
        <v>162</v>
      </c>
      <c r="K1216" s="170" t="s">
        <v>509</v>
      </c>
      <c r="L1216" s="170" t="s">
        <v>535</v>
      </c>
      <c r="M1216" s="170" t="s">
        <v>509</v>
      </c>
      <c r="N1216" s="170" t="s">
        <v>535</v>
      </c>
      <c r="O1216" s="170" t="s">
        <v>2701</v>
      </c>
    </row>
    <row r="1217" spans="1:15">
      <c r="A1217" s="63" t="s">
        <v>849</v>
      </c>
      <c r="B1217" s="14" t="str">
        <f>VLOOKUP(O1217,'护理记录单文书字典(数据)'!B$4:C$99,2,0)</f>
        <v>7C10BC350CFAB211FBB2DA70E6E0B948</v>
      </c>
      <c r="C1217" s="170" t="s">
        <v>2710</v>
      </c>
      <c r="D1217" s="170" t="s">
        <v>2711</v>
      </c>
      <c r="E1217" s="171">
        <v>1</v>
      </c>
      <c r="F1217" s="171">
        <v>1</v>
      </c>
      <c r="G1217" s="170">
        <v>0</v>
      </c>
      <c r="H1217" s="170">
        <v>0</v>
      </c>
      <c r="I1217" s="170"/>
      <c r="J1217" s="170" t="s">
        <v>162</v>
      </c>
      <c r="K1217" s="170" t="s">
        <v>509</v>
      </c>
      <c r="L1217" s="170" t="s">
        <v>535</v>
      </c>
      <c r="M1217" s="170" t="s">
        <v>509</v>
      </c>
      <c r="N1217" s="170" t="s">
        <v>535</v>
      </c>
      <c r="O1217" s="170" t="s">
        <v>2701</v>
      </c>
    </row>
    <row r="1218" spans="1:15">
      <c r="A1218" s="63" t="s">
        <v>849</v>
      </c>
      <c r="B1218" s="14" t="str">
        <f>VLOOKUP(O1218,'护理记录单文书字典(数据)'!B$4:C$99,2,0)</f>
        <v>7C10BC350CFAB211FBB2DA70E6E0B948</v>
      </c>
      <c r="C1218" s="170" t="s">
        <v>2710</v>
      </c>
      <c r="D1218" s="170" t="s">
        <v>2711</v>
      </c>
      <c r="E1218" s="171">
        <v>2</v>
      </c>
      <c r="F1218" s="171">
        <v>2</v>
      </c>
      <c r="G1218" s="170">
        <v>1</v>
      </c>
      <c r="H1218" s="170">
        <v>1</v>
      </c>
      <c r="I1218" s="170"/>
      <c r="J1218" s="170" t="s">
        <v>162</v>
      </c>
      <c r="K1218" s="170" t="s">
        <v>509</v>
      </c>
      <c r="L1218" s="170" t="s">
        <v>535</v>
      </c>
      <c r="M1218" s="170" t="s">
        <v>509</v>
      </c>
      <c r="N1218" s="170" t="s">
        <v>535</v>
      </c>
      <c r="O1218" s="170" t="s">
        <v>2701</v>
      </c>
    </row>
    <row r="1219" spans="1:15">
      <c r="A1219" s="63" t="s">
        <v>849</v>
      </c>
      <c r="B1219" s="14" t="str">
        <f>VLOOKUP(O1219,'护理记录单文书字典(数据)'!B$4:C$99,2,0)</f>
        <v>7C10BC350CFAB211FBB2DA70E6E0B948</v>
      </c>
      <c r="C1219" s="170" t="s">
        <v>2710</v>
      </c>
      <c r="D1219" s="170" t="s">
        <v>2711</v>
      </c>
      <c r="E1219" s="171">
        <v>3</v>
      </c>
      <c r="F1219" s="171">
        <v>3</v>
      </c>
      <c r="G1219" s="170">
        <v>2</v>
      </c>
      <c r="H1219" s="170">
        <v>2</v>
      </c>
      <c r="I1219" s="170"/>
      <c r="J1219" s="170" t="s">
        <v>162</v>
      </c>
      <c r="K1219" s="170" t="s">
        <v>509</v>
      </c>
      <c r="L1219" s="170" t="s">
        <v>535</v>
      </c>
      <c r="M1219" s="170" t="s">
        <v>509</v>
      </c>
      <c r="N1219" s="170" t="s">
        <v>535</v>
      </c>
      <c r="O1219" s="170" t="s">
        <v>2701</v>
      </c>
    </row>
    <row r="1220" spans="1:15">
      <c r="A1220" s="63" t="s">
        <v>849</v>
      </c>
      <c r="B1220" s="14" t="str">
        <f>VLOOKUP(O1220,'护理记录单文书字典(数据)'!B$4:C$99,2,0)</f>
        <v>7C10BC350CFAB211FBB2DA70E6E0B948</v>
      </c>
      <c r="C1220" s="170" t="s">
        <v>2710</v>
      </c>
      <c r="D1220" s="170" t="s">
        <v>2711</v>
      </c>
      <c r="E1220" s="171">
        <v>4</v>
      </c>
      <c r="F1220" s="171">
        <v>4</v>
      </c>
      <c r="G1220" s="170">
        <v>3</v>
      </c>
      <c r="H1220" s="170">
        <v>3</v>
      </c>
      <c r="I1220" s="170"/>
      <c r="J1220" s="170" t="s">
        <v>162</v>
      </c>
      <c r="K1220" s="170" t="s">
        <v>509</v>
      </c>
      <c r="L1220" s="170" t="s">
        <v>535</v>
      </c>
      <c r="M1220" s="170" t="s">
        <v>509</v>
      </c>
      <c r="N1220" s="170" t="s">
        <v>535</v>
      </c>
      <c r="O1220" s="170" t="s">
        <v>2701</v>
      </c>
    </row>
    <row r="1221" spans="1:15">
      <c r="A1221" s="63" t="s">
        <v>849</v>
      </c>
      <c r="B1221" s="14" t="str">
        <f>VLOOKUP(O1221,'护理记录单文书字典(数据)'!B$4:C$99,2,0)</f>
        <v>7C10BC350CFAB211FBB2DA70E6E0B948</v>
      </c>
      <c r="C1221" s="170" t="s">
        <v>2712</v>
      </c>
      <c r="D1221" s="170" t="s">
        <v>2713</v>
      </c>
      <c r="E1221" s="171">
        <v>1</v>
      </c>
      <c r="F1221" s="171">
        <v>1</v>
      </c>
      <c r="G1221" s="170">
        <v>0</v>
      </c>
      <c r="H1221" s="170">
        <v>0</v>
      </c>
      <c r="I1221" s="170"/>
      <c r="J1221" s="170" t="s">
        <v>162</v>
      </c>
      <c r="K1221" s="170" t="s">
        <v>509</v>
      </c>
      <c r="L1221" s="170" t="s">
        <v>535</v>
      </c>
      <c r="M1221" s="170" t="s">
        <v>509</v>
      </c>
      <c r="N1221" s="170" t="s">
        <v>535</v>
      </c>
      <c r="O1221" s="170" t="s">
        <v>2701</v>
      </c>
    </row>
    <row r="1222" spans="1:15">
      <c r="A1222" s="63" t="s">
        <v>849</v>
      </c>
      <c r="B1222" s="14" t="str">
        <f>VLOOKUP(O1222,'护理记录单文书字典(数据)'!B$4:C$99,2,0)</f>
        <v>7C10BC350CFAB211FBB2DA70E6E0B948</v>
      </c>
      <c r="C1222" s="170" t="s">
        <v>2712</v>
      </c>
      <c r="D1222" s="170" t="s">
        <v>2713</v>
      </c>
      <c r="E1222" s="171">
        <v>2</v>
      </c>
      <c r="F1222" s="171">
        <v>2</v>
      </c>
      <c r="G1222" s="170">
        <v>1</v>
      </c>
      <c r="H1222" s="170">
        <v>1</v>
      </c>
      <c r="I1222" s="170"/>
      <c r="J1222" s="170" t="s">
        <v>162</v>
      </c>
      <c r="K1222" s="170" t="s">
        <v>509</v>
      </c>
      <c r="L1222" s="170" t="s">
        <v>535</v>
      </c>
      <c r="M1222" s="170" t="s">
        <v>509</v>
      </c>
      <c r="N1222" s="170" t="s">
        <v>535</v>
      </c>
      <c r="O1222" s="170" t="s">
        <v>2701</v>
      </c>
    </row>
    <row r="1223" spans="1:15">
      <c r="A1223" s="63" t="s">
        <v>849</v>
      </c>
      <c r="B1223" s="14" t="str">
        <f>VLOOKUP(O1223,'护理记录单文书字典(数据)'!B$4:C$99,2,0)</f>
        <v>7C10BC350CFAB211FBB2DA70E6E0B948</v>
      </c>
      <c r="C1223" s="170" t="s">
        <v>2712</v>
      </c>
      <c r="D1223" s="170" t="s">
        <v>2713</v>
      </c>
      <c r="E1223" s="171">
        <v>3</v>
      </c>
      <c r="F1223" s="171">
        <v>3</v>
      </c>
      <c r="G1223" s="170">
        <v>2</v>
      </c>
      <c r="H1223" s="170">
        <v>2</v>
      </c>
      <c r="I1223" s="170"/>
      <c r="J1223" s="170" t="s">
        <v>162</v>
      </c>
      <c r="K1223" s="170" t="s">
        <v>509</v>
      </c>
      <c r="L1223" s="170" t="s">
        <v>535</v>
      </c>
      <c r="M1223" s="170" t="s">
        <v>509</v>
      </c>
      <c r="N1223" s="170" t="s">
        <v>535</v>
      </c>
      <c r="O1223" s="170" t="s">
        <v>2701</v>
      </c>
    </row>
    <row r="1224" spans="1:15">
      <c r="A1224" s="63" t="s">
        <v>849</v>
      </c>
      <c r="B1224" s="14" t="str">
        <f>VLOOKUP(O1224,'护理记录单文书字典(数据)'!B$4:C$99,2,0)</f>
        <v>7C10BC350CFAB211FBB2DA70E6E0B948</v>
      </c>
      <c r="C1224" s="170" t="s">
        <v>2712</v>
      </c>
      <c r="D1224" s="170" t="s">
        <v>2713</v>
      </c>
      <c r="E1224" s="171">
        <v>4</v>
      </c>
      <c r="F1224" s="171">
        <v>4</v>
      </c>
      <c r="G1224" s="170">
        <v>3</v>
      </c>
      <c r="H1224" s="170">
        <v>3</v>
      </c>
      <c r="I1224" s="170"/>
      <c r="J1224" s="170" t="s">
        <v>162</v>
      </c>
      <c r="K1224" s="170" t="s">
        <v>509</v>
      </c>
      <c r="L1224" s="170" t="s">
        <v>535</v>
      </c>
      <c r="M1224" s="170" t="s">
        <v>509</v>
      </c>
      <c r="N1224" s="170" t="s">
        <v>535</v>
      </c>
      <c r="O1224" s="170" t="s">
        <v>2701</v>
      </c>
    </row>
    <row r="1225" spans="1:15">
      <c r="A1225" s="63" t="s">
        <v>849</v>
      </c>
      <c r="B1225" s="14" t="str">
        <f>VLOOKUP(O1225,'护理记录单文书字典(数据)'!B$4:C$99,2,0)</f>
        <v>7C10BC350CFAB211FBB2DA70E6E0B948</v>
      </c>
      <c r="C1225" s="170" t="s">
        <v>2714</v>
      </c>
      <c r="D1225" s="170" t="s">
        <v>2715</v>
      </c>
      <c r="E1225" s="171">
        <v>1</v>
      </c>
      <c r="F1225" s="171">
        <v>1</v>
      </c>
      <c r="G1225" s="170">
        <v>0</v>
      </c>
      <c r="H1225" s="170">
        <v>0</v>
      </c>
      <c r="I1225" s="170"/>
      <c r="J1225" s="170" t="s">
        <v>162</v>
      </c>
      <c r="K1225" s="170" t="s">
        <v>509</v>
      </c>
      <c r="L1225" s="170" t="s">
        <v>535</v>
      </c>
      <c r="M1225" s="170" t="s">
        <v>509</v>
      </c>
      <c r="N1225" s="170" t="s">
        <v>535</v>
      </c>
      <c r="O1225" s="170" t="s">
        <v>2701</v>
      </c>
    </row>
    <row r="1226" spans="1:15">
      <c r="A1226" s="63" t="s">
        <v>849</v>
      </c>
      <c r="B1226" s="14" t="str">
        <f>VLOOKUP(O1226,'护理记录单文书字典(数据)'!B$4:C$99,2,0)</f>
        <v>7C10BC350CFAB211FBB2DA70E6E0B948</v>
      </c>
      <c r="C1226" s="170" t="s">
        <v>2714</v>
      </c>
      <c r="D1226" s="170" t="s">
        <v>2715</v>
      </c>
      <c r="E1226" s="171">
        <v>2</v>
      </c>
      <c r="F1226" s="171">
        <v>2</v>
      </c>
      <c r="G1226" s="170">
        <v>1</v>
      </c>
      <c r="H1226" s="170">
        <v>1</v>
      </c>
      <c r="I1226" s="170"/>
      <c r="J1226" s="170" t="s">
        <v>162</v>
      </c>
      <c r="K1226" s="170" t="s">
        <v>509</v>
      </c>
      <c r="L1226" s="170" t="s">
        <v>535</v>
      </c>
      <c r="M1226" s="170" t="s">
        <v>509</v>
      </c>
      <c r="N1226" s="170" t="s">
        <v>535</v>
      </c>
      <c r="O1226" s="170" t="s">
        <v>2701</v>
      </c>
    </row>
    <row r="1227" spans="1:15">
      <c r="A1227" s="63" t="s">
        <v>849</v>
      </c>
      <c r="B1227" s="14" t="str">
        <f>VLOOKUP(O1227,'护理记录单文书字典(数据)'!B$4:C$99,2,0)</f>
        <v>7C10BC350CFAB211FBB2DA70E6E0B948</v>
      </c>
      <c r="C1227" s="170" t="s">
        <v>2714</v>
      </c>
      <c r="D1227" s="170" t="s">
        <v>2715</v>
      </c>
      <c r="E1227" s="171">
        <v>3</v>
      </c>
      <c r="F1227" s="171">
        <v>3</v>
      </c>
      <c r="G1227" s="170">
        <v>2</v>
      </c>
      <c r="H1227" s="170">
        <v>2</v>
      </c>
      <c r="I1227" s="170"/>
      <c r="J1227" s="170" t="s">
        <v>162</v>
      </c>
      <c r="K1227" s="170" t="s">
        <v>509</v>
      </c>
      <c r="L1227" s="170" t="s">
        <v>535</v>
      </c>
      <c r="M1227" s="170" t="s">
        <v>509</v>
      </c>
      <c r="N1227" s="170" t="s">
        <v>535</v>
      </c>
      <c r="O1227" s="170" t="s">
        <v>2701</v>
      </c>
    </row>
    <row r="1228" spans="1:15">
      <c r="A1228" s="63" t="s">
        <v>849</v>
      </c>
      <c r="B1228" s="14" t="str">
        <f>VLOOKUP(O1228,'护理记录单文书字典(数据)'!B$4:C$99,2,0)</f>
        <v>7C10BC350CFAB211FBB2DA70E6E0B948</v>
      </c>
      <c r="C1228" s="170" t="s">
        <v>2714</v>
      </c>
      <c r="D1228" s="170" t="s">
        <v>2715</v>
      </c>
      <c r="E1228" s="171">
        <v>4</v>
      </c>
      <c r="F1228" s="171">
        <v>4</v>
      </c>
      <c r="G1228" s="170">
        <v>3</v>
      </c>
      <c r="H1228" s="170">
        <v>3</v>
      </c>
      <c r="I1228" s="170"/>
      <c r="J1228" s="170" t="s">
        <v>162</v>
      </c>
      <c r="K1228" s="170" t="s">
        <v>509</v>
      </c>
      <c r="L1228" s="170" t="s">
        <v>535</v>
      </c>
      <c r="M1228" s="170" t="s">
        <v>509</v>
      </c>
      <c r="N1228" s="170" t="s">
        <v>535</v>
      </c>
      <c r="O1228" s="170" t="s">
        <v>2701</v>
      </c>
    </row>
    <row r="1229" spans="1:15">
      <c r="A1229" s="63" t="s">
        <v>849</v>
      </c>
      <c r="B1229" s="14" t="str">
        <f>VLOOKUP(O1229,'护理记录单文书字典(数据)'!B$4:C$99,2,0)</f>
        <v>7C10BC350CFAB211FBB2DA70E6E0B948</v>
      </c>
      <c r="C1229" s="170" t="s">
        <v>2716</v>
      </c>
      <c r="D1229" s="170" t="s">
        <v>2717</v>
      </c>
      <c r="E1229" s="171">
        <v>1</v>
      </c>
      <c r="F1229" s="171">
        <v>1</v>
      </c>
      <c r="G1229" s="170">
        <v>0</v>
      </c>
      <c r="H1229" s="170">
        <v>0</v>
      </c>
      <c r="I1229" s="170"/>
      <c r="J1229" s="170" t="s">
        <v>162</v>
      </c>
      <c r="K1229" s="170" t="s">
        <v>509</v>
      </c>
      <c r="L1229" s="170" t="s">
        <v>535</v>
      </c>
      <c r="M1229" s="170" t="s">
        <v>509</v>
      </c>
      <c r="N1229" s="170" t="s">
        <v>535</v>
      </c>
      <c r="O1229" s="170" t="s">
        <v>2701</v>
      </c>
    </row>
    <row r="1230" spans="1:15">
      <c r="A1230" s="63" t="s">
        <v>849</v>
      </c>
      <c r="B1230" s="14" t="str">
        <f>VLOOKUP(O1230,'护理记录单文书字典(数据)'!B$4:C$99,2,0)</f>
        <v>7C10BC350CFAB211FBB2DA70E6E0B948</v>
      </c>
      <c r="C1230" s="170" t="s">
        <v>2716</v>
      </c>
      <c r="D1230" s="170" t="s">
        <v>2717</v>
      </c>
      <c r="E1230" s="171">
        <v>2</v>
      </c>
      <c r="F1230" s="171">
        <v>2</v>
      </c>
      <c r="G1230" s="170">
        <v>1</v>
      </c>
      <c r="H1230" s="170">
        <v>1</v>
      </c>
      <c r="I1230" s="170"/>
      <c r="J1230" s="170" t="s">
        <v>162</v>
      </c>
      <c r="K1230" s="170" t="s">
        <v>509</v>
      </c>
      <c r="L1230" s="170" t="s">
        <v>535</v>
      </c>
      <c r="M1230" s="170" t="s">
        <v>509</v>
      </c>
      <c r="N1230" s="170" t="s">
        <v>535</v>
      </c>
      <c r="O1230" s="170" t="s">
        <v>2701</v>
      </c>
    </row>
    <row r="1231" spans="1:15">
      <c r="A1231" s="63" t="s">
        <v>849</v>
      </c>
      <c r="B1231" s="14" t="str">
        <f>VLOOKUP(O1231,'护理记录单文书字典(数据)'!B$4:C$99,2,0)</f>
        <v>7C10BC350CFAB211FBB2DA70E6E0B948</v>
      </c>
      <c r="C1231" s="170" t="s">
        <v>2716</v>
      </c>
      <c r="D1231" s="170" t="s">
        <v>2717</v>
      </c>
      <c r="E1231" s="171">
        <v>3</v>
      </c>
      <c r="F1231" s="171">
        <v>3</v>
      </c>
      <c r="G1231" s="170">
        <v>2</v>
      </c>
      <c r="H1231" s="170">
        <v>2</v>
      </c>
      <c r="I1231" s="170"/>
      <c r="J1231" s="170" t="s">
        <v>162</v>
      </c>
      <c r="K1231" s="170" t="s">
        <v>509</v>
      </c>
      <c r="L1231" s="170" t="s">
        <v>535</v>
      </c>
      <c r="M1231" s="170" t="s">
        <v>509</v>
      </c>
      <c r="N1231" s="170" t="s">
        <v>535</v>
      </c>
      <c r="O1231" s="170" t="s">
        <v>2701</v>
      </c>
    </row>
    <row r="1232" spans="1:15">
      <c r="A1232" s="63" t="s">
        <v>849</v>
      </c>
      <c r="B1232" s="14" t="str">
        <f>VLOOKUP(O1232,'护理记录单文书字典(数据)'!B$4:C$99,2,0)</f>
        <v>7C10BC350CFAB211FBB2DA70E6E0B948</v>
      </c>
      <c r="C1232" s="170" t="s">
        <v>2716</v>
      </c>
      <c r="D1232" s="170" t="s">
        <v>2717</v>
      </c>
      <c r="E1232" s="171">
        <v>4</v>
      </c>
      <c r="F1232" s="171">
        <v>4</v>
      </c>
      <c r="G1232" s="170">
        <v>3</v>
      </c>
      <c r="H1232" s="170">
        <v>3</v>
      </c>
      <c r="I1232" s="170"/>
      <c r="J1232" s="170" t="s">
        <v>162</v>
      </c>
      <c r="K1232" s="170" t="s">
        <v>509</v>
      </c>
      <c r="L1232" s="170" t="s">
        <v>535</v>
      </c>
      <c r="M1232" s="170" t="s">
        <v>509</v>
      </c>
      <c r="N1232" s="170" t="s">
        <v>535</v>
      </c>
      <c r="O1232" s="170" t="s">
        <v>2701</v>
      </c>
    </row>
    <row r="1233" spans="1:15">
      <c r="A1233" s="63" t="s">
        <v>849</v>
      </c>
      <c r="B1233" s="14" t="str">
        <f>VLOOKUP(O1233,'护理记录单文书字典(数据)'!B$4:C$99,2,0)</f>
        <v>7C10BC350CFAB211FBB2DA70E6E0B948</v>
      </c>
      <c r="C1233" s="170" t="s">
        <v>1212</v>
      </c>
      <c r="D1233" s="170" t="s">
        <v>2718</v>
      </c>
      <c r="E1233" s="171">
        <v>1</v>
      </c>
      <c r="F1233" s="171">
        <v>1</v>
      </c>
      <c r="G1233" s="170">
        <v>0</v>
      </c>
      <c r="H1233" s="170">
        <v>0</v>
      </c>
      <c r="I1233" s="170"/>
      <c r="J1233" s="170" t="s">
        <v>162</v>
      </c>
      <c r="K1233" s="170" t="s">
        <v>509</v>
      </c>
      <c r="L1233" s="170" t="s">
        <v>535</v>
      </c>
      <c r="M1233" s="170" t="s">
        <v>509</v>
      </c>
      <c r="N1233" s="170" t="s">
        <v>535</v>
      </c>
      <c r="O1233" s="170" t="s">
        <v>2701</v>
      </c>
    </row>
    <row r="1234" spans="1:15">
      <c r="A1234" s="63" t="s">
        <v>849</v>
      </c>
      <c r="B1234" s="14" t="str">
        <f>VLOOKUP(O1234,'护理记录单文书字典(数据)'!B$4:C$99,2,0)</f>
        <v>7C10BC350CFAB211FBB2DA70E6E0B948</v>
      </c>
      <c r="C1234" s="170" t="s">
        <v>1212</v>
      </c>
      <c r="D1234" s="170" t="s">
        <v>2718</v>
      </c>
      <c r="E1234" s="171">
        <v>2</v>
      </c>
      <c r="F1234" s="171">
        <v>2</v>
      </c>
      <c r="G1234" s="170">
        <v>1</v>
      </c>
      <c r="H1234" s="170">
        <v>1</v>
      </c>
      <c r="I1234" s="170"/>
      <c r="J1234" s="170" t="s">
        <v>162</v>
      </c>
      <c r="K1234" s="170" t="s">
        <v>509</v>
      </c>
      <c r="L1234" s="170" t="s">
        <v>535</v>
      </c>
      <c r="M1234" s="170" t="s">
        <v>509</v>
      </c>
      <c r="N1234" s="170" t="s">
        <v>535</v>
      </c>
      <c r="O1234" s="170" t="s">
        <v>2701</v>
      </c>
    </row>
    <row r="1235" spans="1:15">
      <c r="A1235" s="63" t="s">
        <v>849</v>
      </c>
      <c r="B1235" s="14" t="str">
        <f>VLOOKUP(O1235,'护理记录单文书字典(数据)'!B$4:C$99,2,0)</f>
        <v>7C10BC350CFAB211FBB2DA70E6E0B948</v>
      </c>
      <c r="C1235" s="170" t="s">
        <v>1212</v>
      </c>
      <c r="D1235" s="170" t="s">
        <v>2718</v>
      </c>
      <c r="E1235" s="171">
        <v>3</v>
      </c>
      <c r="F1235" s="171">
        <v>3</v>
      </c>
      <c r="G1235" s="170">
        <v>2</v>
      </c>
      <c r="H1235" s="170">
        <v>2</v>
      </c>
      <c r="I1235" s="170"/>
      <c r="J1235" s="170" t="s">
        <v>162</v>
      </c>
      <c r="K1235" s="170" t="s">
        <v>509</v>
      </c>
      <c r="L1235" s="170" t="s">
        <v>535</v>
      </c>
      <c r="M1235" s="170" t="s">
        <v>509</v>
      </c>
      <c r="N1235" s="170" t="s">
        <v>535</v>
      </c>
      <c r="O1235" s="170" t="s">
        <v>2701</v>
      </c>
    </row>
    <row r="1236" spans="1:15">
      <c r="A1236" s="63" t="s">
        <v>849</v>
      </c>
      <c r="B1236" s="14" t="str">
        <f>VLOOKUP(O1236,'护理记录单文书字典(数据)'!B$4:C$99,2,0)</f>
        <v>7C10BC350CFAB211FBB2DA70E6E0B948</v>
      </c>
      <c r="C1236" s="170" t="s">
        <v>1212</v>
      </c>
      <c r="D1236" s="170" t="s">
        <v>2718</v>
      </c>
      <c r="E1236" s="171">
        <v>4</v>
      </c>
      <c r="F1236" s="171">
        <v>4</v>
      </c>
      <c r="G1236" s="170">
        <v>3</v>
      </c>
      <c r="H1236" s="170">
        <v>3</v>
      </c>
      <c r="I1236" s="170"/>
      <c r="J1236" s="170" t="s">
        <v>162</v>
      </c>
      <c r="K1236" s="170" t="s">
        <v>509</v>
      </c>
      <c r="L1236" s="170" t="s">
        <v>535</v>
      </c>
      <c r="M1236" s="170" t="s">
        <v>509</v>
      </c>
      <c r="N1236" s="170" t="s">
        <v>535</v>
      </c>
      <c r="O1236" s="170" t="s">
        <v>2701</v>
      </c>
    </row>
    <row r="1237" spans="1:15">
      <c r="A1237" s="63" t="s">
        <v>849</v>
      </c>
      <c r="B1237" s="14" t="str">
        <f>VLOOKUP(O1237,'护理记录单文书字典(数据)'!B$4:C$99,2,0)</f>
        <v>7C10BC350CFAB211FBB2DA70E6E0B948</v>
      </c>
      <c r="C1237" s="170" t="s">
        <v>2719</v>
      </c>
      <c r="D1237" s="170" t="s">
        <v>2720</v>
      </c>
      <c r="E1237" s="171">
        <v>1</v>
      </c>
      <c r="F1237" s="171">
        <v>1</v>
      </c>
      <c r="G1237" s="170">
        <v>0</v>
      </c>
      <c r="H1237" s="170">
        <v>0</v>
      </c>
      <c r="I1237" s="170"/>
      <c r="J1237" s="170" t="s">
        <v>162</v>
      </c>
      <c r="K1237" s="170" t="s">
        <v>509</v>
      </c>
      <c r="L1237" s="170" t="s">
        <v>535</v>
      </c>
      <c r="M1237" s="170" t="s">
        <v>509</v>
      </c>
      <c r="N1237" s="170" t="s">
        <v>535</v>
      </c>
      <c r="O1237" s="170" t="s">
        <v>2701</v>
      </c>
    </row>
    <row r="1238" spans="1:15">
      <c r="A1238" s="63" t="s">
        <v>849</v>
      </c>
      <c r="B1238" s="14" t="str">
        <f>VLOOKUP(O1238,'护理记录单文书字典(数据)'!B$4:C$99,2,0)</f>
        <v>7C10BC350CFAB211FBB2DA70E6E0B948</v>
      </c>
      <c r="C1238" s="170" t="s">
        <v>2719</v>
      </c>
      <c r="D1238" s="170" t="s">
        <v>2720</v>
      </c>
      <c r="E1238" s="171">
        <v>2</v>
      </c>
      <c r="F1238" s="171">
        <v>2</v>
      </c>
      <c r="G1238" s="170">
        <v>1</v>
      </c>
      <c r="H1238" s="170">
        <v>1</v>
      </c>
      <c r="I1238" s="170"/>
      <c r="J1238" s="170" t="s">
        <v>162</v>
      </c>
      <c r="K1238" s="170" t="s">
        <v>509</v>
      </c>
      <c r="L1238" s="170" t="s">
        <v>535</v>
      </c>
      <c r="M1238" s="170" t="s">
        <v>509</v>
      </c>
      <c r="N1238" s="170" t="s">
        <v>535</v>
      </c>
      <c r="O1238" s="170" t="s">
        <v>2701</v>
      </c>
    </row>
    <row r="1239" spans="1:15">
      <c r="A1239" s="63" t="s">
        <v>849</v>
      </c>
      <c r="B1239" s="14" t="str">
        <f>VLOOKUP(O1239,'护理记录单文书字典(数据)'!B$4:C$99,2,0)</f>
        <v>7C10BC350CFAB211FBB2DA70E6E0B948</v>
      </c>
      <c r="C1239" s="170" t="s">
        <v>2719</v>
      </c>
      <c r="D1239" s="170" t="s">
        <v>2720</v>
      </c>
      <c r="E1239" s="171">
        <v>3</v>
      </c>
      <c r="F1239" s="171">
        <v>3</v>
      </c>
      <c r="G1239" s="170">
        <v>2</v>
      </c>
      <c r="H1239" s="170">
        <v>2</v>
      </c>
      <c r="I1239" s="170"/>
      <c r="J1239" s="170" t="s">
        <v>162</v>
      </c>
      <c r="K1239" s="170" t="s">
        <v>509</v>
      </c>
      <c r="L1239" s="170" t="s">
        <v>535</v>
      </c>
      <c r="M1239" s="170" t="s">
        <v>509</v>
      </c>
      <c r="N1239" s="170" t="s">
        <v>535</v>
      </c>
      <c r="O1239" s="170" t="s">
        <v>2701</v>
      </c>
    </row>
    <row r="1240" spans="1:15">
      <c r="A1240" s="63" t="s">
        <v>849</v>
      </c>
      <c r="B1240" s="14" t="str">
        <f>VLOOKUP(O1240,'护理记录单文书字典(数据)'!B$4:C$99,2,0)</f>
        <v>7C10BC350CFAB211FBB2DA70E6E0B948</v>
      </c>
      <c r="C1240" s="170" t="s">
        <v>2719</v>
      </c>
      <c r="D1240" s="170" t="s">
        <v>2720</v>
      </c>
      <c r="E1240" s="171">
        <v>4</v>
      </c>
      <c r="F1240" s="171">
        <v>4</v>
      </c>
      <c r="G1240" s="170">
        <v>3</v>
      </c>
      <c r="H1240" s="170">
        <v>3</v>
      </c>
      <c r="I1240" s="170"/>
      <c r="J1240" s="170" t="s">
        <v>162</v>
      </c>
      <c r="K1240" s="170" t="s">
        <v>509</v>
      </c>
      <c r="L1240" s="170" t="s">
        <v>535</v>
      </c>
      <c r="M1240" s="170" t="s">
        <v>509</v>
      </c>
      <c r="N1240" s="170" t="s">
        <v>535</v>
      </c>
      <c r="O1240" s="170" t="s">
        <v>2701</v>
      </c>
    </row>
    <row r="1241" spans="1:15">
      <c r="A1241" s="63" t="s">
        <v>849</v>
      </c>
      <c r="B1241" s="14" t="str">
        <f>VLOOKUP(O1241,'护理记录单文书字典(数据)'!B$4:C$99,2,0)</f>
        <v>7C10BC350CFAB211FBB2DA70E6E0B948</v>
      </c>
      <c r="C1241" s="170" t="s">
        <v>2721</v>
      </c>
      <c r="D1241" s="170" t="s">
        <v>2722</v>
      </c>
      <c r="E1241" s="171">
        <v>1</v>
      </c>
      <c r="F1241" s="171">
        <v>1</v>
      </c>
      <c r="G1241" s="170">
        <v>0</v>
      </c>
      <c r="H1241" s="170">
        <v>0</v>
      </c>
      <c r="I1241" s="170"/>
      <c r="J1241" s="170" t="s">
        <v>162</v>
      </c>
      <c r="K1241" s="170" t="s">
        <v>509</v>
      </c>
      <c r="L1241" s="170" t="s">
        <v>535</v>
      </c>
      <c r="M1241" s="170" t="s">
        <v>509</v>
      </c>
      <c r="N1241" s="170" t="s">
        <v>535</v>
      </c>
      <c r="O1241" s="170" t="s">
        <v>2701</v>
      </c>
    </row>
    <row r="1242" spans="1:15">
      <c r="A1242" s="63" t="s">
        <v>849</v>
      </c>
      <c r="B1242" s="14" t="str">
        <f>VLOOKUP(O1242,'护理记录单文书字典(数据)'!B$4:C$99,2,0)</f>
        <v>7C10BC350CFAB211FBB2DA70E6E0B948</v>
      </c>
      <c r="C1242" s="170" t="s">
        <v>2721</v>
      </c>
      <c r="D1242" s="170" t="s">
        <v>2722</v>
      </c>
      <c r="E1242" s="171">
        <v>2</v>
      </c>
      <c r="F1242" s="171">
        <v>2</v>
      </c>
      <c r="G1242" s="170">
        <v>1</v>
      </c>
      <c r="H1242" s="170">
        <v>1</v>
      </c>
      <c r="I1242" s="170"/>
      <c r="J1242" s="170" t="s">
        <v>162</v>
      </c>
      <c r="K1242" s="170" t="s">
        <v>509</v>
      </c>
      <c r="L1242" s="170" t="s">
        <v>535</v>
      </c>
      <c r="M1242" s="170" t="s">
        <v>509</v>
      </c>
      <c r="N1242" s="170" t="s">
        <v>535</v>
      </c>
      <c r="O1242" s="170" t="s">
        <v>2701</v>
      </c>
    </row>
    <row r="1243" spans="1:15">
      <c r="A1243" s="63" t="s">
        <v>849</v>
      </c>
      <c r="B1243" s="14" t="str">
        <f>VLOOKUP(O1243,'护理记录单文书字典(数据)'!B$4:C$99,2,0)</f>
        <v>7C10BC350CFAB211FBB2DA70E6E0B948</v>
      </c>
      <c r="C1243" s="170" t="s">
        <v>2721</v>
      </c>
      <c r="D1243" s="170" t="s">
        <v>2722</v>
      </c>
      <c r="E1243" s="171">
        <v>3</v>
      </c>
      <c r="F1243" s="171">
        <v>3</v>
      </c>
      <c r="G1243" s="170">
        <v>2</v>
      </c>
      <c r="H1243" s="170">
        <v>2</v>
      </c>
      <c r="I1243" s="170"/>
      <c r="J1243" s="170" t="s">
        <v>162</v>
      </c>
      <c r="K1243" s="170" t="s">
        <v>509</v>
      </c>
      <c r="L1243" s="170" t="s">
        <v>535</v>
      </c>
      <c r="M1243" s="170" t="s">
        <v>509</v>
      </c>
      <c r="N1243" s="170" t="s">
        <v>535</v>
      </c>
      <c r="O1243" s="170" t="s">
        <v>2701</v>
      </c>
    </row>
    <row r="1244" spans="1:15">
      <c r="A1244" s="63" t="s">
        <v>849</v>
      </c>
      <c r="B1244" s="14" t="str">
        <f>VLOOKUP(O1244,'护理记录单文书字典(数据)'!B$4:C$99,2,0)</f>
        <v>7C10BC350CFAB211FBB2DA70E6E0B948</v>
      </c>
      <c r="C1244" s="170" t="s">
        <v>2721</v>
      </c>
      <c r="D1244" s="170" t="s">
        <v>2722</v>
      </c>
      <c r="E1244" s="171">
        <v>4</v>
      </c>
      <c r="F1244" s="171">
        <v>4</v>
      </c>
      <c r="G1244" s="170">
        <v>3</v>
      </c>
      <c r="H1244" s="170">
        <v>3</v>
      </c>
      <c r="I1244" s="170"/>
      <c r="J1244" s="170" t="s">
        <v>162</v>
      </c>
      <c r="K1244" s="170" t="s">
        <v>509</v>
      </c>
      <c r="L1244" s="170" t="s">
        <v>535</v>
      </c>
      <c r="M1244" s="170" t="s">
        <v>509</v>
      </c>
      <c r="N1244" s="170" t="s">
        <v>535</v>
      </c>
      <c r="O1244" s="170" t="s">
        <v>2701</v>
      </c>
    </row>
    <row r="1245" spans="1:15">
      <c r="A1245" s="63" t="s">
        <v>849</v>
      </c>
      <c r="B1245" s="14" t="str">
        <f>VLOOKUP(O1245,'护理记录单文书字典(数据)'!B$4:C$99,2,0)</f>
        <v>7C10BC350CFAB211FBB2DA70E6E0B948</v>
      </c>
      <c r="C1245" s="170" t="s">
        <v>1386</v>
      </c>
      <c r="D1245" s="170" t="s">
        <v>1387</v>
      </c>
      <c r="E1245" s="171">
        <v>1</v>
      </c>
      <c r="F1245" s="171">
        <v>1</v>
      </c>
      <c r="G1245" s="170">
        <v>0</v>
      </c>
      <c r="H1245" s="170">
        <v>0</v>
      </c>
      <c r="I1245" s="170"/>
      <c r="J1245" s="170" t="s">
        <v>162</v>
      </c>
      <c r="K1245" s="170" t="s">
        <v>509</v>
      </c>
      <c r="L1245" s="170" t="s">
        <v>535</v>
      </c>
      <c r="M1245" s="170" t="s">
        <v>509</v>
      </c>
      <c r="N1245" s="170" t="s">
        <v>535</v>
      </c>
      <c r="O1245" s="170" t="s">
        <v>2701</v>
      </c>
    </row>
    <row r="1246" spans="1:15">
      <c r="A1246" s="63" t="s">
        <v>849</v>
      </c>
      <c r="B1246" s="14" t="str">
        <f>VLOOKUP(O1246,'护理记录单文书字典(数据)'!B$4:C$99,2,0)</f>
        <v>7C10BC350CFAB211FBB2DA70E6E0B948</v>
      </c>
      <c r="C1246" s="170" t="s">
        <v>1386</v>
      </c>
      <c r="D1246" s="170" t="s">
        <v>1387</v>
      </c>
      <c r="E1246" s="171">
        <v>2</v>
      </c>
      <c r="F1246" s="171">
        <v>2</v>
      </c>
      <c r="G1246" s="170">
        <v>1</v>
      </c>
      <c r="H1246" s="170">
        <v>1</v>
      </c>
      <c r="I1246" s="170"/>
      <c r="J1246" s="170" t="s">
        <v>162</v>
      </c>
      <c r="K1246" s="170" t="s">
        <v>509</v>
      </c>
      <c r="L1246" s="170" t="s">
        <v>535</v>
      </c>
      <c r="M1246" s="170" t="s">
        <v>509</v>
      </c>
      <c r="N1246" s="170" t="s">
        <v>535</v>
      </c>
      <c r="O1246" s="170" t="s">
        <v>2701</v>
      </c>
    </row>
    <row r="1247" spans="1:15">
      <c r="A1247" s="63" t="s">
        <v>849</v>
      </c>
      <c r="B1247" s="14" t="str">
        <f>VLOOKUP(O1247,'护理记录单文书字典(数据)'!B$4:C$99,2,0)</f>
        <v>7C10BC350CFAB211FBB2DA70E6E0B948</v>
      </c>
      <c r="C1247" s="170" t="s">
        <v>1386</v>
      </c>
      <c r="D1247" s="170" t="s">
        <v>1387</v>
      </c>
      <c r="E1247" s="171">
        <v>3</v>
      </c>
      <c r="F1247" s="171">
        <v>3</v>
      </c>
      <c r="G1247" s="170">
        <v>2</v>
      </c>
      <c r="H1247" s="170">
        <v>2</v>
      </c>
      <c r="I1247" s="170"/>
      <c r="J1247" s="170" t="s">
        <v>162</v>
      </c>
      <c r="K1247" s="170" t="s">
        <v>509</v>
      </c>
      <c r="L1247" s="170" t="s">
        <v>535</v>
      </c>
      <c r="M1247" s="170" t="s">
        <v>509</v>
      </c>
      <c r="N1247" s="170" t="s">
        <v>535</v>
      </c>
      <c r="O1247" s="170" t="s">
        <v>2701</v>
      </c>
    </row>
    <row r="1248" spans="1:15">
      <c r="A1248" s="63" t="s">
        <v>849</v>
      </c>
      <c r="B1248" s="14" t="str">
        <f>VLOOKUP(O1248,'护理记录单文书字典(数据)'!B$4:C$99,2,0)</f>
        <v>7C10BC350CFAB211FBB2DA70E6E0B948</v>
      </c>
      <c r="C1248" s="170" t="s">
        <v>1386</v>
      </c>
      <c r="D1248" s="170" t="s">
        <v>1387</v>
      </c>
      <c r="E1248" s="171">
        <v>4</v>
      </c>
      <c r="F1248" s="171">
        <v>4</v>
      </c>
      <c r="G1248" s="170">
        <v>3</v>
      </c>
      <c r="H1248" s="170">
        <v>3</v>
      </c>
      <c r="I1248" s="170"/>
      <c r="J1248" s="170" t="s">
        <v>162</v>
      </c>
      <c r="K1248" s="170" t="s">
        <v>509</v>
      </c>
      <c r="L1248" s="170" t="s">
        <v>535</v>
      </c>
      <c r="M1248" s="170" t="s">
        <v>509</v>
      </c>
      <c r="N1248" s="170" t="s">
        <v>535</v>
      </c>
      <c r="O1248" s="170" t="s">
        <v>2701</v>
      </c>
    </row>
    <row r="1249" spans="1:15">
      <c r="A1249" s="63" t="s">
        <v>849</v>
      </c>
      <c r="B1249" s="14" t="str">
        <f>VLOOKUP(O1249,'护理记录单文书字典(数据)'!B$4:C$99,2,0)</f>
        <v>7C10BC350CFAB211FBB2DA70E6E0B948</v>
      </c>
      <c r="C1249" s="170" t="s">
        <v>2723</v>
      </c>
      <c r="D1249" s="170" t="s">
        <v>2724</v>
      </c>
      <c r="E1249" s="171">
        <v>1</v>
      </c>
      <c r="F1249" s="171">
        <v>1</v>
      </c>
      <c r="G1249" s="170">
        <v>0</v>
      </c>
      <c r="H1249" s="170">
        <v>0</v>
      </c>
      <c r="I1249" s="170"/>
      <c r="J1249" s="170" t="s">
        <v>162</v>
      </c>
      <c r="K1249" s="170" t="s">
        <v>509</v>
      </c>
      <c r="L1249" s="170" t="s">
        <v>535</v>
      </c>
      <c r="M1249" s="170" t="s">
        <v>509</v>
      </c>
      <c r="N1249" s="170" t="s">
        <v>535</v>
      </c>
      <c r="O1249" s="170" t="s">
        <v>2701</v>
      </c>
    </row>
    <row r="1250" spans="1:15">
      <c r="A1250" s="63" t="s">
        <v>849</v>
      </c>
      <c r="B1250" s="14" t="str">
        <f>VLOOKUP(O1250,'护理记录单文书字典(数据)'!B$4:C$99,2,0)</f>
        <v>7C10BC350CFAB211FBB2DA70E6E0B948</v>
      </c>
      <c r="C1250" s="170" t="s">
        <v>2723</v>
      </c>
      <c r="D1250" s="170" t="s">
        <v>2724</v>
      </c>
      <c r="E1250" s="171">
        <v>2</v>
      </c>
      <c r="F1250" s="171">
        <v>2</v>
      </c>
      <c r="G1250" s="170">
        <v>1</v>
      </c>
      <c r="H1250" s="170">
        <v>1</v>
      </c>
      <c r="I1250" s="170"/>
      <c r="J1250" s="170" t="s">
        <v>162</v>
      </c>
      <c r="K1250" s="170" t="s">
        <v>509</v>
      </c>
      <c r="L1250" s="170" t="s">
        <v>535</v>
      </c>
      <c r="M1250" s="170" t="s">
        <v>509</v>
      </c>
      <c r="N1250" s="170" t="s">
        <v>535</v>
      </c>
      <c r="O1250" s="170" t="s">
        <v>2701</v>
      </c>
    </row>
    <row r="1251" spans="1:15">
      <c r="A1251" s="63" t="s">
        <v>849</v>
      </c>
      <c r="B1251" s="14" t="str">
        <f>VLOOKUP(O1251,'护理记录单文书字典(数据)'!B$4:C$99,2,0)</f>
        <v>7C10BC350CFAB211FBB2DA70E6E0B948</v>
      </c>
      <c r="C1251" s="170" t="s">
        <v>2723</v>
      </c>
      <c r="D1251" s="170" t="s">
        <v>2724</v>
      </c>
      <c r="E1251" s="171">
        <v>3</v>
      </c>
      <c r="F1251" s="171">
        <v>3</v>
      </c>
      <c r="G1251" s="170">
        <v>2</v>
      </c>
      <c r="H1251" s="170">
        <v>2</v>
      </c>
      <c r="I1251" s="170"/>
      <c r="J1251" s="170" t="s">
        <v>162</v>
      </c>
      <c r="K1251" s="170" t="s">
        <v>509</v>
      </c>
      <c r="L1251" s="170" t="s">
        <v>535</v>
      </c>
      <c r="M1251" s="170" t="s">
        <v>509</v>
      </c>
      <c r="N1251" s="170" t="s">
        <v>535</v>
      </c>
      <c r="O1251" s="170" t="s">
        <v>2701</v>
      </c>
    </row>
    <row r="1252" spans="1:15">
      <c r="A1252" s="63" t="s">
        <v>849</v>
      </c>
      <c r="B1252" s="14" t="str">
        <f>VLOOKUP(O1252,'护理记录单文书字典(数据)'!B$4:C$99,2,0)</f>
        <v>7C10BC350CFAB211FBB2DA70E6E0B948</v>
      </c>
      <c r="C1252" s="170" t="s">
        <v>2723</v>
      </c>
      <c r="D1252" s="170" t="s">
        <v>2724</v>
      </c>
      <c r="E1252" s="171">
        <v>4</v>
      </c>
      <c r="F1252" s="171">
        <v>4</v>
      </c>
      <c r="G1252" s="170">
        <v>3</v>
      </c>
      <c r="H1252" s="170">
        <v>3</v>
      </c>
      <c r="I1252" s="170"/>
      <c r="J1252" s="170" t="s">
        <v>162</v>
      </c>
      <c r="K1252" s="170" t="s">
        <v>509</v>
      </c>
      <c r="L1252" s="170" t="s">
        <v>535</v>
      </c>
      <c r="M1252" s="170" t="s">
        <v>509</v>
      </c>
      <c r="N1252" s="170" t="s">
        <v>535</v>
      </c>
      <c r="O1252" s="170" t="s">
        <v>2701</v>
      </c>
    </row>
    <row r="1253" spans="1:15">
      <c r="A1253" s="63" t="s">
        <v>849</v>
      </c>
      <c r="B1253" s="14" t="str">
        <f>VLOOKUP(O1253,'护理记录单文书字典(数据)'!B$4:C$99,2,0)</f>
        <v>7C10BC350CFAB211FBB2DA70E6E0B948</v>
      </c>
      <c r="C1253" s="170" t="s">
        <v>2725</v>
      </c>
      <c r="D1253" s="170" t="s">
        <v>2726</v>
      </c>
      <c r="E1253" s="171">
        <v>1</v>
      </c>
      <c r="F1253" s="171">
        <v>1</v>
      </c>
      <c r="G1253" s="170">
        <v>0</v>
      </c>
      <c r="H1253" s="170">
        <v>0</v>
      </c>
      <c r="I1253" s="170"/>
      <c r="J1253" s="170" t="s">
        <v>162</v>
      </c>
      <c r="K1253" s="170" t="s">
        <v>509</v>
      </c>
      <c r="L1253" s="170" t="s">
        <v>535</v>
      </c>
      <c r="M1253" s="170" t="s">
        <v>509</v>
      </c>
      <c r="N1253" s="170" t="s">
        <v>535</v>
      </c>
      <c r="O1253" s="170" t="s">
        <v>2701</v>
      </c>
    </row>
    <row r="1254" spans="1:15">
      <c r="A1254" s="63" t="s">
        <v>849</v>
      </c>
      <c r="B1254" s="14" t="str">
        <f>VLOOKUP(O1254,'护理记录单文书字典(数据)'!B$4:C$99,2,0)</f>
        <v>7C10BC350CFAB211FBB2DA70E6E0B948</v>
      </c>
      <c r="C1254" s="170" t="s">
        <v>2725</v>
      </c>
      <c r="D1254" s="170" t="s">
        <v>2726</v>
      </c>
      <c r="E1254" s="171">
        <v>2</v>
      </c>
      <c r="F1254" s="171">
        <v>2</v>
      </c>
      <c r="G1254" s="170">
        <v>1</v>
      </c>
      <c r="H1254" s="170">
        <v>1</v>
      </c>
      <c r="I1254" s="170"/>
      <c r="J1254" s="170" t="s">
        <v>162</v>
      </c>
      <c r="K1254" s="170" t="s">
        <v>509</v>
      </c>
      <c r="L1254" s="170" t="s">
        <v>535</v>
      </c>
      <c r="M1254" s="170" t="s">
        <v>509</v>
      </c>
      <c r="N1254" s="170" t="s">
        <v>535</v>
      </c>
      <c r="O1254" s="170" t="s">
        <v>2701</v>
      </c>
    </row>
    <row r="1255" spans="1:15">
      <c r="A1255" s="63" t="s">
        <v>849</v>
      </c>
      <c r="B1255" s="14" t="str">
        <f>VLOOKUP(O1255,'护理记录单文书字典(数据)'!B$4:C$99,2,0)</f>
        <v>7C10BC350CFAB211FBB2DA70E6E0B948</v>
      </c>
      <c r="C1255" s="170" t="s">
        <v>2725</v>
      </c>
      <c r="D1255" s="170" t="s">
        <v>2726</v>
      </c>
      <c r="E1255" s="171">
        <v>3</v>
      </c>
      <c r="F1255" s="171">
        <v>3</v>
      </c>
      <c r="G1255" s="170">
        <v>2</v>
      </c>
      <c r="H1255" s="170">
        <v>2</v>
      </c>
      <c r="I1255" s="170"/>
      <c r="J1255" s="170" t="s">
        <v>162</v>
      </c>
      <c r="K1255" s="170" t="s">
        <v>509</v>
      </c>
      <c r="L1255" s="170" t="s">
        <v>535</v>
      </c>
      <c r="M1255" s="170" t="s">
        <v>509</v>
      </c>
      <c r="N1255" s="170" t="s">
        <v>535</v>
      </c>
      <c r="O1255" s="170" t="s">
        <v>2701</v>
      </c>
    </row>
    <row r="1256" spans="1:15">
      <c r="A1256" s="63" t="s">
        <v>849</v>
      </c>
      <c r="B1256" s="14" t="str">
        <f>VLOOKUP(O1256,'护理记录单文书字典(数据)'!B$4:C$99,2,0)</f>
        <v>7C10BC350CFAB211FBB2DA70E6E0B948</v>
      </c>
      <c r="C1256" s="170" t="s">
        <v>2725</v>
      </c>
      <c r="D1256" s="170" t="s">
        <v>2726</v>
      </c>
      <c r="E1256" s="171">
        <v>4</v>
      </c>
      <c r="F1256" s="171">
        <v>4</v>
      </c>
      <c r="G1256" s="170">
        <v>3</v>
      </c>
      <c r="H1256" s="170">
        <v>3</v>
      </c>
      <c r="I1256" s="170"/>
      <c r="J1256" s="170" t="s">
        <v>162</v>
      </c>
      <c r="K1256" s="170" t="s">
        <v>509</v>
      </c>
      <c r="L1256" s="170" t="s">
        <v>535</v>
      </c>
      <c r="M1256" s="170" t="s">
        <v>509</v>
      </c>
      <c r="N1256" s="170" t="s">
        <v>535</v>
      </c>
      <c r="O1256" s="170" t="s">
        <v>2701</v>
      </c>
    </row>
    <row r="1257" spans="1:15">
      <c r="A1257" s="63" t="s">
        <v>849</v>
      </c>
      <c r="B1257" s="14" t="str">
        <f>VLOOKUP(O1257,'护理记录单文书字典(数据)'!B$4:C$99,2,0)</f>
        <v>7C10BC350CFAB211FBB2DA70E6E0B948</v>
      </c>
      <c r="C1257" s="170" t="s">
        <v>2727</v>
      </c>
      <c r="D1257" s="170" t="s">
        <v>2728</v>
      </c>
      <c r="E1257" s="171">
        <v>1</v>
      </c>
      <c r="F1257" s="171">
        <v>1</v>
      </c>
      <c r="G1257" s="170">
        <v>0</v>
      </c>
      <c r="H1257" s="170">
        <v>0</v>
      </c>
      <c r="I1257" s="170"/>
      <c r="J1257" s="170" t="s">
        <v>162</v>
      </c>
      <c r="K1257" s="170" t="s">
        <v>509</v>
      </c>
      <c r="L1257" s="170" t="s">
        <v>535</v>
      </c>
      <c r="M1257" s="170" t="s">
        <v>509</v>
      </c>
      <c r="N1257" s="170" t="s">
        <v>535</v>
      </c>
      <c r="O1257" s="170" t="s">
        <v>2701</v>
      </c>
    </row>
    <row r="1258" spans="1:15">
      <c r="A1258" s="63" t="s">
        <v>849</v>
      </c>
      <c r="B1258" s="14" t="str">
        <f>VLOOKUP(O1258,'护理记录单文书字典(数据)'!B$4:C$99,2,0)</f>
        <v>7C10BC350CFAB211FBB2DA70E6E0B948</v>
      </c>
      <c r="C1258" s="170" t="s">
        <v>2727</v>
      </c>
      <c r="D1258" s="170" t="s">
        <v>2728</v>
      </c>
      <c r="E1258" s="171">
        <v>2</v>
      </c>
      <c r="F1258" s="171">
        <v>2</v>
      </c>
      <c r="G1258" s="170">
        <v>1</v>
      </c>
      <c r="H1258" s="170">
        <v>1</v>
      </c>
      <c r="I1258" s="170"/>
      <c r="J1258" s="170" t="s">
        <v>162</v>
      </c>
      <c r="K1258" s="170" t="s">
        <v>509</v>
      </c>
      <c r="L1258" s="170" t="s">
        <v>535</v>
      </c>
      <c r="M1258" s="170" t="s">
        <v>509</v>
      </c>
      <c r="N1258" s="170" t="s">
        <v>535</v>
      </c>
      <c r="O1258" s="170" t="s">
        <v>2701</v>
      </c>
    </row>
    <row r="1259" spans="1:15">
      <c r="A1259" s="63" t="s">
        <v>849</v>
      </c>
      <c r="B1259" s="14" t="str">
        <f>VLOOKUP(O1259,'护理记录单文书字典(数据)'!B$4:C$99,2,0)</f>
        <v>7C10BC350CFAB211FBB2DA70E6E0B948</v>
      </c>
      <c r="C1259" s="170" t="s">
        <v>2727</v>
      </c>
      <c r="D1259" s="170" t="s">
        <v>2728</v>
      </c>
      <c r="E1259" s="171">
        <v>3</v>
      </c>
      <c r="F1259" s="171">
        <v>3</v>
      </c>
      <c r="G1259" s="170">
        <v>2</v>
      </c>
      <c r="H1259" s="170">
        <v>2</v>
      </c>
      <c r="I1259" s="170"/>
      <c r="J1259" s="170" t="s">
        <v>162</v>
      </c>
      <c r="K1259" s="170" t="s">
        <v>509</v>
      </c>
      <c r="L1259" s="170" t="s">
        <v>535</v>
      </c>
      <c r="M1259" s="170" t="s">
        <v>509</v>
      </c>
      <c r="N1259" s="170" t="s">
        <v>535</v>
      </c>
      <c r="O1259" s="170" t="s">
        <v>2701</v>
      </c>
    </row>
    <row r="1260" spans="1:15">
      <c r="A1260" s="63" t="s">
        <v>849</v>
      </c>
      <c r="B1260" s="14" t="str">
        <f>VLOOKUP(O1260,'护理记录单文书字典(数据)'!B$4:C$99,2,0)</f>
        <v>7C10BC350CFAB211FBB2DA70E6E0B948</v>
      </c>
      <c r="C1260" s="170" t="s">
        <v>2727</v>
      </c>
      <c r="D1260" s="170" t="s">
        <v>2728</v>
      </c>
      <c r="E1260" s="171">
        <v>4</v>
      </c>
      <c r="F1260" s="171">
        <v>4</v>
      </c>
      <c r="G1260" s="170">
        <v>3</v>
      </c>
      <c r="H1260" s="170">
        <v>3</v>
      </c>
      <c r="I1260" s="170"/>
      <c r="J1260" s="170" t="s">
        <v>162</v>
      </c>
      <c r="K1260" s="170" t="s">
        <v>509</v>
      </c>
      <c r="L1260" s="170" t="s">
        <v>535</v>
      </c>
      <c r="M1260" s="170" t="s">
        <v>509</v>
      </c>
      <c r="N1260" s="170" t="s">
        <v>535</v>
      </c>
      <c r="O1260" s="170" t="s">
        <v>2701</v>
      </c>
    </row>
    <row r="1261" spans="1:15">
      <c r="A1261" s="63" t="s">
        <v>849</v>
      </c>
      <c r="B1261" s="14" t="str">
        <f>VLOOKUP(O1261,'护理记录单文书字典(数据)'!B$4:C$99,2,0)</f>
        <v>7C10BC350CFAB211FBB2DA70E6E0B948</v>
      </c>
      <c r="C1261" s="170" t="s">
        <v>2729</v>
      </c>
      <c r="D1261" s="170" t="s">
        <v>2730</v>
      </c>
      <c r="E1261" s="171">
        <v>1</v>
      </c>
      <c r="F1261" s="171">
        <v>1</v>
      </c>
      <c r="G1261" s="170">
        <v>0</v>
      </c>
      <c r="H1261" s="170">
        <v>0</v>
      </c>
      <c r="I1261" s="170"/>
      <c r="J1261" s="170" t="s">
        <v>162</v>
      </c>
      <c r="K1261" s="170" t="s">
        <v>509</v>
      </c>
      <c r="L1261" s="170" t="s">
        <v>535</v>
      </c>
      <c r="M1261" s="170" t="s">
        <v>509</v>
      </c>
      <c r="N1261" s="170" t="s">
        <v>535</v>
      </c>
      <c r="O1261" s="170" t="s">
        <v>2701</v>
      </c>
    </row>
    <row r="1262" spans="1:15">
      <c r="A1262" s="63" t="s">
        <v>849</v>
      </c>
      <c r="B1262" s="14" t="str">
        <f>VLOOKUP(O1262,'护理记录单文书字典(数据)'!B$4:C$99,2,0)</f>
        <v>7C10BC350CFAB211FBB2DA70E6E0B948</v>
      </c>
      <c r="C1262" s="170" t="s">
        <v>2729</v>
      </c>
      <c r="D1262" s="170" t="s">
        <v>2730</v>
      </c>
      <c r="E1262" s="171">
        <v>2</v>
      </c>
      <c r="F1262" s="171">
        <v>2</v>
      </c>
      <c r="G1262" s="170">
        <v>1</v>
      </c>
      <c r="H1262" s="170">
        <v>1</v>
      </c>
      <c r="I1262" s="170"/>
      <c r="J1262" s="170" t="s">
        <v>162</v>
      </c>
      <c r="K1262" s="170" t="s">
        <v>509</v>
      </c>
      <c r="L1262" s="170" t="s">
        <v>535</v>
      </c>
      <c r="M1262" s="170" t="s">
        <v>509</v>
      </c>
      <c r="N1262" s="170" t="s">
        <v>535</v>
      </c>
      <c r="O1262" s="170" t="s">
        <v>2701</v>
      </c>
    </row>
    <row r="1263" spans="1:15">
      <c r="A1263" s="63" t="s">
        <v>849</v>
      </c>
      <c r="B1263" s="14" t="str">
        <f>VLOOKUP(O1263,'护理记录单文书字典(数据)'!B$4:C$99,2,0)</f>
        <v>7C10BC350CFAB211FBB2DA70E6E0B948</v>
      </c>
      <c r="C1263" s="170" t="s">
        <v>2729</v>
      </c>
      <c r="D1263" s="170" t="s">
        <v>2730</v>
      </c>
      <c r="E1263" s="171">
        <v>3</v>
      </c>
      <c r="F1263" s="171">
        <v>3</v>
      </c>
      <c r="G1263" s="170">
        <v>2</v>
      </c>
      <c r="H1263" s="170">
        <v>2</v>
      </c>
      <c r="I1263" s="170"/>
      <c r="J1263" s="170" t="s">
        <v>162</v>
      </c>
      <c r="K1263" s="170" t="s">
        <v>509</v>
      </c>
      <c r="L1263" s="170" t="s">
        <v>535</v>
      </c>
      <c r="M1263" s="170" t="s">
        <v>509</v>
      </c>
      <c r="N1263" s="170" t="s">
        <v>535</v>
      </c>
      <c r="O1263" s="170" t="s">
        <v>2701</v>
      </c>
    </row>
    <row r="1264" spans="1:15">
      <c r="A1264" s="63" t="s">
        <v>849</v>
      </c>
      <c r="B1264" s="14" t="str">
        <f>VLOOKUP(O1264,'护理记录单文书字典(数据)'!B$4:C$99,2,0)</f>
        <v>7C10BC350CFAB211FBB2DA70E6E0B948</v>
      </c>
      <c r="C1264" s="170" t="s">
        <v>2729</v>
      </c>
      <c r="D1264" s="170" t="s">
        <v>2730</v>
      </c>
      <c r="E1264" s="171">
        <v>4</v>
      </c>
      <c r="F1264" s="171">
        <v>4</v>
      </c>
      <c r="G1264" s="170">
        <v>3</v>
      </c>
      <c r="H1264" s="170">
        <v>3</v>
      </c>
      <c r="I1264" s="170"/>
      <c r="J1264" s="170" t="s">
        <v>162</v>
      </c>
      <c r="K1264" s="170" t="s">
        <v>509</v>
      </c>
      <c r="L1264" s="170" t="s">
        <v>535</v>
      </c>
      <c r="M1264" s="170" t="s">
        <v>509</v>
      </c>
      <c r="N1264" s="170" t="s">
        <v>535</v>
      </c>
      <c r="O1264" s="170" t="s">
        <v>2701</v>
      </c>
    </row>
    <row r="1265" spans="1:15">
      <c r="A1265" s="63" t="s">
        <v>849</v>
      </c>
      <c r="B1265" s="14" t="str">
        <f>VLOOKUP(O1265,'护理记录单文书字典(数据)'!B$4:C$99,2,0)</f>
        <v>7C10BC350CFAB211FBB2DA70E6E0B948</v>
      </c>
      <c r="C1265" s="170" t="s">
        <v>2731</v>
      </c>
      <c r="D1265" s="170" t="s">
        <v>2732</v>
      </c>
      <c r="E1265" s="171">
        <v>1</v>
      </c>
      <c r="F1265" s="171">
        <v>1</v>
      </c>
      <c r="G1265" s="170">
        <v>0</v>
      </c>
      <c r="H1265" s="170">
        <v>0</v>
      </c>
      <c r="I1265" s="170"/>
      <c r="J1265" s="170" t="s">
        <v>162</v>
      </c>
      <c r="K1265" s="170" t="s">
        <v>509</v>
      </c>
      <c r="L1265" s="170" t="s">
        <v>535</v>
      </c>
      <c r="M1265" s="170" t="s">
        <v>509</v>
      </c>
      <c r="N1265" s="170" t="s">
        <v>535</v>
      </c>
      <c r="O1265" s="170" t="s">
        <v>2701</v>
      </c>
    </row>
    <row r="1266" spans="1:15">
      <c r="A1266" s="63" t="s">
        <v>849</v>
      </c>
      <c r="B1266" s="14" t="str">
        <f>VLOOKUP(O1266,'护理记录单文书字典(数据)'!B$4:C$99,2,0)</f>
        <v>7C10BC350CFAB211FBB2DA70E6E0B948</v>
      </c>
      <c r="C1266" s="170" t="s">
        <v>2731</v>
      </c>
      <c r="D1266" s="170" t="s">
        <v>2732</v>
      </c>
      <c r="E1266" s="171">
        <v>2</v>
      </c>
      <c r="F1266" s="171">
        <v>2</v>
      </c>
      <c r="G1266" s="170">
        <v>1</v>
      </c>
      <c r="H1266" s="170">
        <v>1</v>
      </c>
      <c r="I1266" s="170"/>
      <c r="J1266" s="170" t="s">
        <v>162</v>
      </c>
      <c r="K1266" s="170" t="s">
        <v>509</v>
      </c>
      <c r="L1266" s="170" t="s">
        <v>535</v>
      </c>
      <c r="M1266" s="170" t="s">
        <v>509</v>
      </c>
      <c r="N1266" s="170" t="s">
        <v>535</v>
      </c>
      <c r="O1266" s="170" t="s">
        <v>2701</v>
      </c>
    </row>
    <row r="1267" spans="1:15">
      <c r="A1267" s="63" t="s">
        <v>849</v>
      </c>
      <c r="B1267" s="14" t="str">
        <f>VLOOKUP(O1267,'护理记录单文书字典(数据)'!B$4:C$99,2,0)</f>
        <v>7C10BC350CFAB211FBB2DA70E6E0B948</v>
      </c>
      <c r="C1267" s="170" t="s">
        <v>2731</v>
      </c>
      <c r="D1267" s="170" t="s">
        <v>2732</v>
      </c>
      <c r="E1267" s="171">
        <v>3</v>
      </c>
      <c r="F1267" s="171">
        <v>3</v>
      </c>
      <c r="G1267" s="170">
        <v>2</v>
      </c>
      <c r="H1267" s="170">
        <v>2</v>
      </c>
      <c r="I1267" s="170"/>
      <c r="J1267" s="170" t="s">
        <v>162</v>
      </c>
      <c r="K1267" s="170" t="s">
        <v>509</v>
      </c>
      <c r="L1267" s="170" t="s">
        <v>535</v>
      </c>
      <c r="M1267" s="170" t="s">
        <v>509</v>
      </c>
      <c r="N1267" s="170" t="s">
        <v>535</v>
      </c>
      <c r="O1267" s="170" t="s">
        <v>2701</v>
      </c>
    </row>
    <row r="1268" spans="1:15">
      <c r="A1268" s="63" t="s">
        <v>849</v>
      </c>
      <c r="B1268" s="14" t="str">
        <f>VLOOKUP(O1268,'护理记录单文书字典(数据)'!B$4:C$99,2,0)</f>
        <v>7C10BC350CFAB211FBB2DA70E6E0B948</v>
      </c>
      <c r="C1268" s="170" t="s">
        <v>2731</v>
      </c>
      <c r="D1268" s="170" t="s">
        <v>2732</v>
      </c>
      <c r="E1268" s="171">
        <v>4</v>
      </c>
      <c r="F1268" s="171">
        <v>4</v>
      </c>
      <c r="G1268" s="170">
        <v>3</v>
      </c>
      <c r="H1268" s="170">
        <v>3</v>
      </c>
      <c r="I1268" s="170"/>
      <c r="J1268" s="170" t="s">
        <v>162</v>
      </c>
      <c r="K1268" s="170" t="s">
        <v>509</v>
      </c>
      <c r="L1268" s="170" t="s">
        <v>535</v>
      </c>
      <c r="M1268" s="170" t="s">
        <v>509</v>
      </c>
      <c r="N1268" s="170" t="s">
        <v>535</v>
      </c>
      <c r="O1268" s="170" t="s">
        <v>2701</v>
      </c>
    </row>
    <row r="1269" spans="1:15">
      <c r="A1269" s="63" t="s">
        <v>849</v>
      </c>
      <c r="B1269" s="14" t="str">
        <f>VLOOKUP(O1269,'护理记录单文书字典(数据)'!B$4:C$99,2,0)</f>
        <v>7C10BC350CFAB211FBB2DA70E6E0B948</v>
      </c>
      <c r="C1269" s="170" t="s">
        <v>2733</v>
      </c>
      <c r="D1269" s="170" t="s">
        <v>2734</v>
      </c>
      <c r="E1269" s="171">
        <v>1</v>
      </c>
      <c r="F1269" s="171">
        <v>1</v>
      </c>
      <c r="G1269" s="170">
        <v>0</v>
      </c>
      <c r="H1269" s="170">
        <v>0</v>
      </c>
      <c r="I1269" s="170"/>
      <c r="J1269" s="170" t="s">
        <v>162</v>
      </c>
      <c r="K1269" s="170" t="s">
        <v>509</v>
      </c>
      <c r="L1269" s="170" t="s">
        <v>535</v>
      </c>
      <c r="M1269" s="170" t="s">
        <v>509</v>
      </c>
      <c r="N1269" s="170" t="s">
        <v>535</v>
      </c>
      <c r="O1269" s="170" t="s">
        <v>2701</v>
      </c>
    </row>
    <row r="1270" spans="1:15">
      <c r="A1270" s="63" t="s">
        <v>849</v>
      </c>
      <c r="B1270" s="14" t="str">
        <f>VLOOKUP(O1270,'护理记录单文书字典(数据)'!B$4:C$99,2,0)</f>
        <v>7C10BC350CFAB211FBB2DA70E6E0B948</v>
      </c>
      <c r="C1270" s="170" t="s">
        <v>2733</v>
      </c>
      <c r="D1270" s="170" t="s">
        <v>2734</v>
      </c>
      <c r="E1270" s="171">
        <v>2</v>
      </c>
      <c r="F1270" s="171">
        <v>2</v>
      </c>
      <c r="G1270" s="170">
        <v>1</v>
      </c>
      <c r="H1270" s="170">
        <v>1</v>
      </c>
      <c r="I1270" s="170"/>
      <c r="J1270" s="170" t="s">
        <v>162</v>
      </c>
      <c r="K1270" s="170" t="s">
        <v>509</v>
      </c>
      <c r="L1270" s="170" t="s">
        <v>535</v>
      </c>
      <c r="M1270" s="170" t="s">
        <v>509</v>
      </c>
      <c r="N1270" s="170" t="s">
        <v>535</v>
      </c>
      <c r="O1270" s="170" t="s">
        <v>2701</v>
      </c>
    </row>
    <row r="1271" spans="1:15">
      <c r="A1271" s="63" t="s">
        <v>849</v>
      </c>
      <c r="B1271" s="14" t="str">
        <f>VLOOKUP(O1271,'护理记录单文书字典(数据)'!B$4:C$99,2,0)</f>
        <v>7C10BC350CFAB211FBB2DA70E6E0B948</v>
      </c>
      <c r="C1271" s="170" t="s">
        <v>2733</v>
      </c>
      <c r="D1271" s="170" t="s">
        <v>2734</v>
      </c>
      <c r="E1271" s="171">
        <v>3</v>
      </c>
      <c r="F1271" s="171">
        <v>3</v>
      </c>
      <c r="G1271" s="170">
        <v>2</v>
      </c>
      <c r="H1271" s="170">
        <v>2</v>
      </c>
      <c r="I1271" s="170"/>
      <c r="J1271" s="170" t="s">
        <v>162</v>
      </c>
      <c r="K1271" s="170" t="s">
        <v>509</v>
      </c>
      <c r="L1271" s="170" t="s">
        <v>535</v>
      </c>
      <c r="M1271" s="170" t="s">
        <v>509</v>
      </c>
      <c r="N1271" s="170" t="s">
        <v>535</v>
      </c>
      <c r="O1271" s="170" t="s">
        <v>2701</v>
      </c>
    </row>
    <row r="1272" spans="1:15">
      <c r="A1272" s="63" t="s">
        <v>849</v>
      </c>
      <c r="B1272" s="14" t="str">
        <f>VLOOKUP(O1272,'护理记录单文书字典(数据)'!B$4:C$99,2,0)</f>
        <v>7C10BC350CFAB211FBB2DA70E6E0B948</v>
      </c>
      <c r="C1272" s="170" t="s">
        <v>2733</v>
      </c>
      <c r="D1272" s="170" t="s">
        <v>2734</v>
      </c>
      <c r="E1272" s="171">
        <v>4</v>
      </c>
      <c r="F1272" s="171">
        <v>4</v>
      </c>
      <c r="G1272" s="170">
        <v>3</v>
      </c>
      <c r="H1272" s="170">
        <v>3</v>
      </c>
      <c r="I1272" s="170"/>
      <c r="J1272" s="170" t="s">
        <v>162</v>
      </c>
      <c r="K1272" s="170" t="s">
        <v>509</v>
      </c>
      <c r="L1272" s="170" t="s">
        <v>535</v>
      </c>
      <c r="M1272" s="170" t="s">
        <v>509</v>
      </c>
      <c r="N1272" s="170" t="s">
        <v>535</v>
      </c>
      <c r="O1272" s="170" t="s">
        <v>2701</v>
      </c>
    </row>
    <row r="1273" spans="1:15">
      <c r="A1273" s="63" t="s">
        <v>849</v>
      </c>
      <c r="B1273" s="14" t="str">
        <f>VLOOKUP(O1273,'护理记录单文书字典(数据)'!B$4:C$99,2,0)</f>
        <v>7C10BC350CFAB211FBB2DA70E6E0B948</v>
      </c>
      <c r="C1273" s="170" t="s">
        <v>2735</v>
      </c>
      <c r="D1273" s="170" t="s">
        <v>2736</v>
      </c>
      <c r="E1273" s="171">
        <v>1</v>
      </c>
      <c r="F1273" s="171">
        <v>1</v>
      </c>
      <c r="G1273" s="170">
        <v>0</v>
      </c>
      <c r="H1273" s="170">
        <v>0</v>
      </c>
      <c r="I1273" s="170"/>
      <c r="J1273" s="170" t="s">
        <v>162</v>
      </c>
      <c r="K1273" s="170" t="s">
        <v>509</v>
      </c>
      <c r="L1273" s="170" t="s">
        <v>535</v>
      </c>
      <c r="M1273" s="170" t="s">
        <v>509</v>
      </c>
      <c r="N1273" s="170" t="s">
        <v>535</v>
      </c>
      <c r="O1273" s="170" t="s">
        <v>2701</v>
      </c>
    </row>
    <row r="1274" spans="1:15">
      <c r="A1274" s="63" t="s">
        <v>849</v>
      </c>
      <c r="B1274" s="14" t="str">
        <f>VLOOKUP(O1274,'护理记录单文书字典(数据)'!B$4:C$99,2,0)</f>
        <v>7C10BC350CFAB211FBB2DA70E6E0B948</v>
      </c>
      <c r="C1274" s="170" t="s">
        <v>2735</v>
      </c>
      <c r="D1274" s="170" t="s">
        <v>2736</v>
      </c>
      <c r="E1274" s="171">
        <v>2</v>
      </c>
      <c r="F1274" s="171">
        <v>2</v>
      </c>
      <c r="G1274" s="170">
        <v>1</v>
      </c>
      <c r="H1274" s="170">
        <v>1</v>
      </c>
      <c r="I1274" s="170"/>
      <c r="J1274" s="170" t="s">
        <v>162</v>
      </c>
      <c r="K1274" s="170" t="s">
        <v>509</v>
      </c>
      <c r="L1274" s="170" t="s">
        <v>535</v>
      </c>
      <c r="M1274" s="170" t="s">
        <v>509</v>
      </c>
      <c r="N1274" s="170" t="s">
        <v>535</v>
      </c>
      <c r="O1274" s="170" t="s">
        <v>2701</v>
      </c>
    </row>
    <row r="1275" spans="1:15">
      <c r="A1275" s="63" t="s">
        <v>849</v>
      </c>
      <c r="B1275" s="14" t="str">
        <f>VLOOKUP(O1275,'护理记录单文书字典(数据)'!B$4:C$99,2,0)</f>
        <v>7C10BC350CFAB211FBB2DA70E6E0B948</v>
      </c>
      <c r="C1275" s="170" t="s">
        <v>2735</v>
      </c>
      <c r="D1275" s="170" t="s">
        <v>2736</v>
      </c>
      <c r="E1275" s="171">
        <v>3</v>
      </c>
      <c r="F1275" s="171">
        <v>3</v>
      </c>
      <c r="G1275" s="170">
        <v>2</v>
      </c>
      <c r="H1275" s="170">
        <v>2</v>
      </c>
      <c r="I1275" s="170"/>
      <c r="J1275" s="170" t="s">
        <v>162</v>
      </c>
      <c r="K1275" s="170" t="s">
        <v>509</v>
      </c>
      <c r="L1275" s="170" t="s">
        <v>535</v>
      </c>
      <c r="M1275" s="170" t="s">
        <v>509</v>
      </c>
      <c r="N1275" s="170" t="s">
        <v>535</v>
      </c>
      <c r="O1275" s="170" t="s">
        <v>2701</v>
      </c>
    </row>
    <row r="1276" spans="1:15">
      <c r="A1276" s="63" t="s">
        <v>849</v>
      </c>
      <c r="B1276" s="14" t="str">
        <f>VLOOKUP(O1276,'护理记录单文书字典(数据)'!B$4:C$99,2,0)</f>
        <v>7C10BC350CFAB211FBB2DA70E6E0B948</v>
      </c>
      <c r="C1276" s="170" t="s">
        <v>2735</v>
      </c>
      <c r="D1276" s="170" t="s">
        <v>2736</v>
      </c>
      <c r="E1276" s="171">
        <v>4</v>
      </c>
      <c r="F1276" s="171">
        <v>4</v>
      </c>
      <c r="G1276" s="170">
        <v>3</v>
      </c>
      <c r="H1276" s="170">
        <v>3</v>
      </c>
      <c r="I1276" s="170"/>
      <c r="J1276" s="170" t="s">
        <v>162</v>
      </c>
      <c r="K1276" s="170" t="s">
        <v>509</v>
      </c>
      <c r="L1276" s="170" t="s">
        <v>535</v>
      </c>
      <c r="M1276" s="170" t="s">
        <v>509</v>
      </c>
      <c r="N1276" s="170" t="s">
        <v>535</v>
      </c>
      <c r="O1276" s="170" t="s">
        <v>2701</v>
      </c>
    </row>
    <row r="1277" spans="1:15">
      <c r="A1277" s="63" t="s">
        <v>849</v>
      </c>
      <c r="B1277" s="14" t="str">
        <f>VLOOKUP(O1277,'护理记录单文书字典(数据)'!B$4:C$99,2,0)</f>
        <v>E2D940706900B31198A9659D229FBD1F</v>
      </c>
      <c r="C1277" s="170" t="s">
        <v>4062</v>
      </c>
      <c r="D1277" s="170" t="s">
        <v>4063</v>
      </c>
      <c r="E1277" s="171">
        <v>1</v>
      </c>
      <c r="F1277" s="171">
        <v>1</v>
      </c>
      <c r="G1277" s="170" t="s">
        <v>4064</v>
      </c>
      <c r="H1277" s="170"/>
      <c r="I1277" s="170"/>
      <c r="J1277" s="170" t="s">
        <v>162</v>
      </c>
      <c r="K1277" s="170" t="s">
        <v>509</v>
      </c>
      <c r="L1277" s="170" t="s">
        <v>535</v>
      </c>
      <c r="M1277" s="170" t="s">
        <v>509</v>
      </c>
      <c r="N1277" s="170" t="s">
        <v>535</v>
      </c>
      <c r="O1277" s="170" t="s">
        <v>4061</v>
      </c>
    </row>
    <row r="1278" spans="1:15">
      <c r="A1278" s="63" t="s">
        <v>849</v>
      </c>
      <c r="B1278" s="14" t="str">
        <f>VLOOKUP(O1278,'护理记录单文书字典(数据)'!B$4:C$99,2,0)</f>
        <v>E2D940706900B31198A9659D229FBD1F</v>
      </c>
      <c r="C1278" s="170" t="s">
        <v>4062</v>
      </c>
      <c r="D1278" s="170" t="s">
        <v>4063</v>
      </c>
      <c r="E1278" s="171">
        <v>2</v>
      </c>
      <c r="F1278" s="171">
        <v>2</v>
      </c>
      <c r="G1278" s="170" t="s">
        <v>4065</v>
      </c>
      <c r="H1278" s="170"/>
      <c r="I1278" s="170"/>
      <c r="J1278" s="170" t="s">
        <v>162</v>
      </c>
      <c r="K1278" s="170" t="s">
        <v>509</v>
      </c>
      <c r="L1278" s="170" t="s">
        <v>535</v>
      </c>
      <c r="M1278" s="170" t="s">
        <v>509</v>
      </c>
      <c r="N1278" s="170" t="s">
        <v>535</v>
      </c>
      <c r="O1278" s="170" t="s">
        <v>4061</v>
      </c>
    </row>
    <row r="1279" spans="1:15">
      <c r="A1279" s="63" t="s">
        <v>849</v>
      </c>
      <c r="B1279" s="14" t="str">
        <f>VLOOKUP(O1279,'护理记录单文书字典(数据)'!B$4:C$99,2,0)</f>
        <v>E2D940706900B31198A9659D229FBD1F</v>
      </c>
      <c r="C1279" s="170" t="s">
        <v>4062</v>
      </c>
      <c r="D1279" s="170" t="s">
        <v>4063</v>
      </c>
      <c r="E1279" s="171">
        <v>3</v>
      </c>
      <c r="F1279" s="171">
        <v>3</v>
      </c>
      <c r="G1279" s="170" t="s">
        <v>4066</v>
      </c>
      <c r="H1279" s="170"/>
      <c r="I1279" s="170"/>
      <c r="J1279" s="170" t="s">
        <v>162</v>
      </c>
      <c r="K1279" s="170" t="s">
        <v>509</v>
      </c>
      <c r="L1279" s="170" t="s">
        <v>535</v>
      </c>
      <c r="M1279" s="170" t="s">
        <v>509</v>
      </c>
      <c r="N1279" s="170" t="s">
        <v>535</v>
      </c>
      <c r="O1279" s="170" t="s">
        <v>4061</v>
      </c>
    </row>
    <row r="1280" spans="1:15">
      <c r="A1280" s="63" t="s">
        <v>849</v>
      </c>
      <c r="B1280" s="14" t="str">
        <f>VLOOKUP(O1280,'护理记录单文书字典(数据)'!B$4:C$99,2,0)</f>
        <v>E2D940706900B31198A9659D229FBD1F</v>
      </c>
      <c r="C1280" s="170" t="s">
        <v>4062</v>
      </c>
      <c r="D1280" s="170" t="s">
        <v>4063</v>
      </c>
      <c r="E1280" s="171">
        <v>4</v>
      </c>
      <c r="F1280" s="171">
        <v>4</v>
      </c>
      <c r="G1280" s="170" t="s">
        <v>4067</v>
      </c>
      <c r="H1280" s="170"/>
      <c r="I1280" s="170"/>
      <c r="J1280" s="170" t="s">
        <v>162</v>
      </c>
      <c r="K1280" s="170" t="s">
        <v>509</v>
      </c>
      <c r="L1280" s="170" t="s">
        <v>535</v>
      </c>
      <c r="M1280" s="170" t="s">
        <v>509</v>
      </c>
      <c r="N1280" s="170" t="s">
        <v>535</v>
      </c>
      <c r="O1280" s="170" t="s">
        <v>4061</v>
      </c>
    </row>
    <row r="1281" spans="1:15">
      <c r="A1281" s="63" t="s">
        <v>849</v>
      </c>
      <c r="B1281" s="14" t="str">
        <f>VLOOKUP(O1281,'护理记录单文书字典(数据)'!B$4:C$99,2,0)</f>
        <v>E2D940706900B31198A9659D229FBD1F</v>
      </c>
      <c r="C1281" s="170" t="s">
        <v>4062</v>
      </c>
      <c r="D1281" s="170" t="s">
        <v>4063</v>
      </c>
      <c r="E1281" s="171">
        <v>5</v>
      </c>
      <c r="F1281" s="171">
        <v>5</v>
      </c>
      <c r="G1281" s="170" t="s">
        <v>4068</v>
      </c>
      <c r="H1281" s="170"/>
      <c r="I1281" s="170"/>
      <c r="J1281" s="170" t="s">
        <v>162</v>
      </c>
      <c r="K1281" s="170" t="s">
        <v>509</v>
      </c>
      <c r="L1281" s="170" t="s">
        <v>535</v>
      </c>
      <c r="M1281" s="170" t="s">
        <v>509</v>
      </c>
      <c r="N1281" s="170" t="s">
        <v>535</v>
      </c>
      <c r="O1281" s="170" t="s">
        <v>4061</v>
      </c>
    </row>
    <row r="1282" spans="1:15">
      <c r="A1282" s="63" t="s">
        <v>849</v>
      </c>
      <c r="B1282" s="14" t="str">
        <f>VLOOKUP(O1282,'护理记录单文书字典(数据)'!B$4:C$99,2,0)</f>
        <v>E2D940706900B31198A9659D229FBD1F</v>
      </c>
      <c r="C1282" s="170" t="s">
        <v>4062</v>
      </c>
      <c r="D1282" s="170" t="s">
        <v>4063</v>
      </c>
      <c r="E1282" s="171">
        <v>6</v>
      </c>
      <c r="F1282" s="171">
        <v>6</v>
      </c>
      <c r="G1282" s="170" t="s">
        <v>4069</v>
      </c>
      <c r="H1282" s="170"/>
      <c r="I1282" s="170"/>
      <c r="J1282" s="170" t="s">
        <v>162</v>
      </c>
      <c r="K1282" s="170" t="s">
        <v>509</v>
      </c>
      <c r="L1282" s="170" t="s">
        <v>535</v>
      </c>
      <c r="M1282" s="170" t="s">
        <v>509</v>
      </c>
      <c r="N1282" s="170" t="s">
        <v>535</v>
      </c>
      <c r="O1282" s="170" t="s">
        <v>4061</v>
      </c>
    </row>
    <row r="1283" spans="1:15">
      <c r="A1283" s="63" t="s">
        <v>849</v>
      </c>
      <c r="B1283" s="14" t="str">
        <f>VLOOKUP(O1283,'护理记录单文书字典(数据)'!B$4:C$99,2,0)</f>
        <v>E2D940706900B31198A9659D229FBD1F</v>
      </c>
      <c r="C1283" s="170" t="s">
        <v>4062</v>
      </c>
      <c r="D1283" s="170" t="s">
        <v>4063</v>
      </c>
      <c r="E1283" s="171">
        <v>7</v>
      </c>
      <c r="F1283" s="171">
        <v>7</v>
      </c>
      <c r="G1283" s="170" t="s">
        <v>4070</v>
      </c>
      <c r="H1283" s="170"/>
      <c r="I1283" s="170"/>
      <c r="J1283" s="170" t="s">
        <v>162</v>
      </c>
      <c r="K1283" s="170" t="s">
        <v>509</v>
      </c>
      <c r="L1283" s="170" t="s">
        <v>535</v>
      </c>
      <c r="M1283" s="170" t="s">
        <v>509</v>
      </c>
      <c r="N1283" s="170" t="s">
        <v>535</v>
      </c>
      <c r="O1283" s="170" t="s">
        <v>4061</v>
      </c>
    </row>
    <row r="1284" spans="1:15">
      <c r="A1284" s="63" t="s">
        <v>849</v>
      </c>
      <c r="B1284" s="14" t="str">
        <f>VLOOKUP(O1284,'护理记录单文书字典(数据)'!B$4:C$99,2,0)</f>
        <v>E2D940706900B31198A9659D229FBD1F</v>
      </c>
      <c r="C1284" s="170" t="s">
        <v>4062</v>
      </c>
      <c r="D1284" s="170" t="s">
        <v>4063</v>
      </c>
      <c r="E1284" s="171">
        <v>8</v>
      </c>
      <c r="F1284" s="171">
        <v>8</v>
      </c>
      <c r="G1284" s="170" t="s">
        <v>4071</v>
      </c>
      <c r="H1284" s="170"/>
      <c r="I1284" s="170"/>
      <c r="J1284" s="170" t="s">
        <v>162</v>
      </c>
      <c r="K1284" s="170" t="s">
        <v>509</v>
      </c>
      <c r="L1284" s="170" t="s">
        <v>535</v>
      </c>
      <c r="M1284" s="170" t="s">
        <v>509</v>
      </c>
      <c r="N1284" s="170" t="s">
        <v>535</v>
      </c>
      <c r="O1284" s="170" t="s">
        <v>4061</v>
      </c>
    </row>
    <row r="1285" spans="1:15">
      <c r="A1285" s="63" t="s">
        <v>849</v>
      </c>
      <c r="B1285" s="14" t="str">
        <f>VLOOKUP(O1285,'护理记录单文书字典(数据)'!B$4:C$99,2,0)</f>
        <v>E2D940706900B31198A9659D229FBD1F</v>
      </c>
      <c r="C1285" s="170" t="s">
        <v>4062</v>
      </c>
      <c r="D1285" s="170" t="s">
        <v>4063</v>
      </c>
      <c r="E1285" s="171">
        <v>9</v>
      </c>
      <c r="F1285" s="171">
        <v>9</v>
      </c>
      <c r="G1285" s="170" t="s">
        <v>4072</v>
      </c>
      <c r="H1285" s="170"/>
      <c r="I1285" s="170"/>
      <c r="J1285" s="170" t="s">
        <v>162</v>
      </c>
      <c r="K1285" s="170" t="s">
        <v>509</v>
      </c>
      <c r="L1285" s="170" t="s">
        <v>535</v>
      </c>
      <c r="M1285" s="170" t="s">
        <v>509</v>
      </c>
      <c r="N1285" s="170" t="s">
        <v>535</v>
      </c>
      <c r="O1285" s="170" t="s">
        <v>4061</v>
      </c>
    </row>
    <row r="1286" spans="1:15">
      <c r="A1286" s="63" t="s">
        <v>849</v>
      </c>
      <c r="B1286" s="14" t="str">
        <f>VLOOKUP(O1286,'护理记录单文书字典(数据)'!B$4:C$99,2,0)</f>
        <v>E2D940706900B31198A9659D229FBD1F</v>
      </c>
      <c r="C1286" s="170" t="s">
        <v>4062</v>
      </c>
      <c r="D1286" s="170" t="s">
        <v>4063</v>
      </c>
      <c r="E1286" s="171">
        <v>10</v>
      </c>
      <c r="F1286" s="171">
        <v>10</v>
      </c>
      <c r="G1286" s="170" t="s">
        <v>4073</v>
      </c>
      <c r="H1286" s="170"/>
      <c r="I1286" s="170"/>
      <c r="J1286" s="170" t="s">
        <v>162</v>
      </c>
      <c r="K1286" s="170" t="s">
        <v>509</v>
      </c>
      <c r="L1286" s="170" t="s">
        <v>535</v>
      </c>
      <c r="M1286" s="170" t="s">
        <v>509</v>
      </c>
      <c r="N1286" s="170" t="s">
        <v>535</v>
      </c>
      <c r="O1286" s="170" t="s">
        <v>4061</v>
      </c>
    </row>
    <row r="1287" spans="1:15">
      <c r="A1287" s="63" t="s">
        <v>849</v>
      </c>
      <c r="B1287" s="14" t="str">
        <f>VLOOKUP(O1287,'护理记录单文书字典(数据)'!B$4:C$99,2,0)</f>
        <v>E2D940706900B31198A9659D229FBD1F</v>
      </c>
      <c r="C1287" s="170" t="s">
        <v>4062</v>
      </c>
      <c r="D1287" s="170" t="s">
        <v>4063</v>
      </c>
      <c r="E1287" s="171">
        <v>11</v>
      </c>
      <c r="F1287" s="171">
        <v>11</v>
      </c>
      <c r="G1287" s="170" t="s">
        <v>2584</v>
      </c>
      <c r="H1287" s="170"/>
      <c r="I1287" s="170"/>
      <c r="J1287" s="170" t="s">
        <v>162</v>
      </c>
      <c r="K1287" s="170" t="s">
        <v>509</v>
      </c>
      <c r="L1287" s="170" t="s">
        <v>535</v>
      </c>
      <c r="M1287" s="170" t="s">
        <v>509</v>
      </c>
      <c r="N1287" s="170" t="s">
        <v>535</v>
      </c>
      <c r="O1287" s="170" t="s">
        <v>4061</v>
      </c>
    </row>
    <row r="1288" spans="1:15">
      <c r="A1288" s="63" t="s">
        <v>849</v>
      </c>
      <c r="B1288" s="14" t="str">
        <f>VLOOKUP(O1288,'护理记录单文书字典(数据)'!B$4:C$99,2,0)</f>
        <v>F68276350CFAB2117CA29A7607F3D50F</v>
      </c>
      <c r="C1288" s="170" t="s">
        <v>4062</v>
      </c>
      <c r="D1288" s="170" t="s">
        <v>4063</v>
      </c>
      <c r="E1288" s="171">
        <v>1</v>
      </c>
      <c r="F1288" s="171">
        <v>1</v>
      </c>
      <c r="G1288" s="170" t="s">
        <v>4064</v>
      </c>
      <c r="H1288" s="170"/>
      <c r="I1288" s="170"/>
      <c r="J1288" s="170" t="s">
        <v>162</v>
      </c>
      <c r="K1288" s="170" t="s">
        <v>509</v>
      </c>
      <c r="L1288" s="170" t="s">
        <v>535</v>
      </c>
      <c r="M1288" s="170" t="s">
        <v>509</v>
      </c>
      <c r="N1288" s="170" t="s">
        <v>535</v>
      </c>
      <c r="O1288" s="170" t="s">
        <v>2961</v>
      </c>
    </row>
    <row r="1289" spans="1:15">
      <c r="A1289" s="63" t="s">
        <v>849</v>
      </c>
      <c r="B1289" s="14" t="str">
        <f>VLOOKUP(O1289,'护理记录单文书字典(数据)'!B$4:C$99,2,0)</f>
        <v>F68276350CFAB2117CA29A7607F3D50F</v>
      </c>
      <c r="C1289" s="170" t="s">
        <v>4062</v>
      </c>
      <c r="D1289" s="170" t="s">
        <v>4063</v>
      </c>
      <c r="E1289" s="171">
        <v>2</v>
      </c>
      <c r="F1289" s="171">
        <v>2</v>
      </c>
      <c r="G1289" s="170" t="s">
        <v>4065</v>
      </c>
      <c r="H1289" s="170"/>
      <c r="I1289" s="170"/>
      <c r="J1289" s="170" t="s">
        <v>162</v>
      </c>
      <c r="K1289" s="170" t="s">
        <v>509</v>
      </c>
      <c r="L1289" s="170" t="s">
        <v>535</v>
      </c>
      <c r="M1289" s="170" t="s">
        <v>509</v>
      </c>
      <c r="N1289" s="170" t="s">
        <v>535</v>
      </c>
      <c r="O1289" s="170" t="s">
        <v>2961</v>
      </c>
    </row>
    <row r="1290" spans="1:15">
      <c r="A1290" s="63" t="s">
        <v>849</v>
      </c>
      <c r="B1290" s="14" t="str">
        <f>VLOOKUP(O1290,'护理记录单文书字典(数据)'!B$4:C$99,2,0)</f>
        <v>F68276350CFAB2117CA29A7607F3D50F</v>
      </c>
      <c r="C1290" s="170" t="s">
        <v>4062</v>
      </c>
      <c r="D1290" s="170" t="s">
        <v>4063</v>
      </c>
      <c r="E1290" s="171">
        <v>3</v>
      </c>
      <c r="F1290" s="171">
        <v>3</v>
      </c>
      <c r="G1290" s="170" t="s">
        <v>4066</v>
      </c>
      <c r="H1290" s="170"/>
      <c r="I1290" s="170"/>
      <c r="J1290" s="170" t="s">
        <v>162</v>
      </c>
      <c r="K1290" s="170" t="s">
        <v>509</v>
      </c>
      <c r="L1290" s="170" t="s">
        <v>535</v>
      </c>
      <c r="M1290" s="170" t="s">
        <v>509</v>
      </c>
      <c r="N1290" s="170" t="s">
        <v>535</v>
      </c>
      <c r="O1290" s="170" t="s">
        <v>2961</v>
      </c>
    </row>
    <row r="1291" spans="1:15">
      <c r="A1291" s="63" t="s">
        <v>849</v>
      </c>
      <c r="B1291" s="14" t="str">
        <f>VLOOKUP(O1291,'护理记录单文书字典(数据)'!B$4:C$99,2,0)</f>
        <v>F68276350CFAB2117CA29A7607F3D50F</v>
      </c>
      <c r="C1291" s="170" t="s">
        <v>4062</v>
      </c>
      <c r="D1291" s="170" t="s">
        <v>4063</v>
      </c>
      <c r="E1291" s="171">
        <v>4</v>
      </c>
      <c r="F1291" s="171">
        <v>4</v>
      </c>
      <c r="G1291" s="170" t="s">
        <v>4067</v>
      </c>
      <c r="H1291" s="170"/>
      <c r="I1291" s="170"/>
      <c r="J1291" s="170" t="s">
        <v>162</v>
      </c>
      <c r="K1291" s="170" t="s">
        <v>509</v>
      </c>
      <c r="L1291" s="170" t="s">
        <v>535</v>
      </c>
      <c r="M1291" s="170" t="s">
        <v>509</v>
      </c>
      <c r="N1291" s="170" t="s">
        <v>535</v>
      </c>
      <c r="O1291" s="170" t="s">
        <v>2961</v>
      </c>
    </row>
    <row r="1292" spans="1:15">
      <c r="A1292" s="63" t="s">
        <v>849</v>
      </c>
      <c r="B1292" s="14" t="str">
        <f>VLOOKUP(O1292,'护理记录单文书字典(数据)'!B$4:C$99,2,0)</f>
        <v>F68276350CFAB2117CA29A7607F3D50F</v>
      </c>
      <c r="C1292" s="170" t="s">
        <v>4062</v>
      </c>
      <c r="D1292" s="170" t="s">
        <v>4063</v>
      </c>
      <c r="E1292" s="171">
        <v>5</v>
      </c>
      <c r="F1292" s="171">
        <v>5</v>
      </c>
      <c r="G1292" s="170" t="s">
        <v>4068</v>
      </c>
      <c r="H1292" s="170"/>
      <c r="I1292" s="170"/>
      <c r="J1292" s="170" t="s">
        <v>162</v>
      </c>
      <c r="K1292" s="170" t="s">
        <v>509</v>
      </c>
      <c r="L1292" s="170" t="s">
        <v>535</v>
      </c>
      <c r="M1292" s="170" t="s">
        <v>509</v>
      </c>
      <c r="N1292" s="170" t="s">
        <v>535</v>
      </c>
      <c r="O1292" s="170" t="s">
        <v>2961</v>
      </c>
    </row>
    <row r="1293" spans="1:15">
      <c r="A1293" s="63" t="s">
        <v>849</v>
      </c>
      <c r="B1293" s="14" t="str">
        <f>VLOOKUP(O1293,'护理记录单文书字典(数据)'!B$4:C$99,2,0)</f>
        <v>F68276350CFAB2117CA29A7607F3D50F</v>
      </c>
      <c r="C1293" s="170" t="s">
        <v>4062</v>
      </c>
      <c r="D1293" s="170" t="s">
        <v>4063</v>
      </c>
      <c r="E1293" s="171">
        <v>6</v>
      </c>
      <c r="F1293" s="171">
        <v>6</v>
      </c>
      <c r="G1293" s="170" t="s">
        <v>4069</v>
      </c>
      <c r="H1293" s="170"/>
      <c r="I1293" s="170"/>
      <c r="J1293" s="170" t="s">
        <v>162</v>
      </c>
      <c r="K1293" s="170" t="s">
        <v>509</v>
      </c>
      <c r="L1293" s="170" t="s">
        <v>535</v>
      </c>
      <c r="M1293" s="170" t="s">
        <v>509</v>
      </c>
      <c r="N1293" s="170" t="s">
        <v>535</v>
      </c>
      <c r="O1293" s="170" t="s">
        <v>2961</v>
      </c>
    </row>
    <row r="1294" spans="1:15">
      <c r="A1294" s="63" t="s">
        <v>849</v>
      </c>
      <c r="B1294" s="14" t="str">
        <f>VLOOKUP(O1294,'护理记录单文书字典(数据)'!B$4:C$99,2,0)</f>
        <v>F68276350CFAB2117CA29A7607F3D50F</v>
      </c>
      <c r="C1294" s="170" t="s">
        <v>4062</v>
      </c>
      <c r="D1294" s="170" t="s">
        <v>4063</v>
      </c>
      <c r="E1294" s="171">
        <v>7</v>
      </c>
      <c r="F1294" s="171">
        <v>7</v>
      </c>
      <c r="G1294" s="170" t="s">
        <v>4070</v>
      </c>
      <c r="H1294" s="170"/>
      <c r="I1294" s="170"/>
      <c r="J1294" s="170" t="s">
        <v>162</v>
      </c>
      <c r="K1294" s="170" t="s">
        <v>509</v>
      </c>
      <c r="L1294" s="170" t="s">
        <v>535</v>
      </c>
      <c r="M1294" s="170" t="s">
        <v>509</v>
      </c>
      <c r="N1294" s="170" t="s">
        <v>535</v>
      </c>
      <c r="O1294" s="170" t="s">
        <v>2961</v>
      </c>
    </row>
    <row r="1295" spans="1:15">
      <c r="A1295" s="63" t="s">
        <v>849</v>
      </c>
      <c r="B1295" s="14" t="str">
        <f>VLOOKUP(O1295,'护理记录单文书字典(数据)'!B$4:C$99,2,0)</f>
        <v>F68276350CFAB2117CA29A7607F3D50F</v>
      </c>
      <c r="C1295" s="170" t="s">
        <v>4062</v>
      </c>
      <c r="D1295" s="170" t="s">
        <v>4063</v>
      </c>
      <c r="E1295" s="171">
        <v>8</v>
      </c>
      <c r="F1295" s="171">
        <v>8</v>
      </c>
      <c r="G1295" s="170" t="s">
        <v>4071</v>
      </c>
      <c r="H1295" s="170"/>
      <c r="I1295" s="170"/>
      <c r="J1295" s="170" t="s">
        <v>162</v>
      </c>
      <c r="K1295" s="170" t="s">
        <v>509</v>
      </c>
      <c r="L1295" s="170" t="s">
        <v>535</v>
      </c>
      <c r="M1295" s="170" t="s">
        <v>509</v>
      </c>
      <c r="N1295" s="170" t="s">
        <v>535</v>
      </c>
      <c r="O1295" s="170" t="s">
        <v>2961</v>
      </c>
    </row>
    <row r="1296" spans="1:15">
      <c r="A1296" s="63" t="s">
        <v>849</v>
      </c>
      <c r="B1296" s="14" t="str">
        <f>VLOOKUP(O1296,'护理记录单文书字典(数据)'!B$4:C$99,2,0)</f>
        <v>F68276350CFAB2117CA29A7607F3D50F</v>
      </c>
      <c r="C1296" s="170" t="s">
        <v>4062</v>
      </c>
      <c r="D1296" s="170" t="s">
        <v>4063</v>
      </c>
      <c r="E1296" s="171">
        <v>9</v>
      </c>
      <c r="F1296" s="171">
        <v>9</v>
      </c>
      <c r="G1296" s="170" t="s">
        <v>4072</v>
      </c>
      <c r="H1296" s="170"/>
      <c r="I1296" s="170"/>
      <c r="J1296" s="170" t="s">
        <v>162</v>
      </c>
      <c r="K1296" s="170" t="s">
        <v>509</v>
      </c>
      <c r="L1296" s="170" t="s">
        <v>535</v>
      </c>
      <c r="M1296" s="170" t="s">
        <v>509</v>
      </c>
      <c r="N1296" s="170" t="s">
        <v>535</v>
      </c>
      <c r="O1296" s="170" t="s">
        <v>2961</v>
      </c>
    </row>
    <row r="1297" spans="1:15">
      <c r="A1297" s="63" t="s">
        <v>849</v>
      </c>
      <c r="B1297" s="14" t="str">
        <f>VLOOKUP(O1297,'护理记录单文书字典(数据)'!B$4:C$99,2,0)</f>
        <v>F68276350CFAB2117CA29A7607F3D50F</v>
      </c>
      <c r="C1297" s="170" t="s">
        <v>4062</v>
      </c>
      <c r="D1297" s="170" t="s">
        <v>4063</v>
      </c>
      <c r="E1297" s="171">
        <v>10</v>
      </c>
      <c r="F1297" s="171">
        <v>10</v>
      </c>
      <c r="G1297" s="170" t="s">
        <v>4073</v>
      </c>
      <c r="H1297" s="170"/>
      <c r="I1297" s="170"/>
      <c r="J1297" s="170" t="s">
        <v>162</v>
      </c>
      <c r="K1297" s="170" t="s">
        <v>509</v>
      </c>
      <c r="L1297" s="170" t="s">
        <v>535</v>
      </c>
      <c r="M1297" s="170" t="s">
        <v>509</v>
      </c>
      <c r="N1297" s="170" t="s">
        <v>535</v>
      </c>
      <c r="O1297" s="170" t="s">
        <v>2961</v>
      </c>
    </row>
    <row r="1298" spans="1:15">
      <c r="A1298" s="63" t="s">
        <v>849</v>
      </c>
      <c r="B1298" s="14" t="str">
        <f>VLOOKUP(O1298,'护理记录单文书字典(数据)'!B$4:C$99,2,0)</f>
        <v>F68276350CFAB2117CA29A7607F3D50F</v>
      </c>
      <c r="C1298" s="170" t="s">
        <v>4062</v>
      </c>
      <c r="D1298" s="170" t="s">
        <v>4063</v>
      </c>
      <c r="E1298" s="171">
        <v>11</v>
      </c>
      <c r="F1298" s="171">
        <v>11</v>
      </c>
      <c r="G1298" s="170" t="s">
        <v>2584</v>
      </c>
      <c r="H1298" s="170"/>
      <c r="I1298" s="170"/>
      <c r="J1298" s="170" t="s">
        <v>162</v>
      </c>
      <c r="K1298" s="170" t="s">
        <v>509</v>
      </c>
      <c r="L1298" s="170" t="s">
        <v>535</v>
      </c>
      <c r="M1298" s="170" t="s">
        <v>509</v>
      </c>
      <c r="N1298" s="170" t="s">
        <v>535</v>
      </c>
      <c r="O1298" s="170" t="s">
        <v>2961</v>
      </c>
    </row>
    <row r="1299" spans="1:15">
      <c r="A1299" s="63" t="s">
        <v>849</v>
      </c>
      <c r="B1299" s="14" t="str">
        <f>VLOOKUP(O1299,'护理记录单文书字典(数据)'!B$4:C$99,2,0)</f>
        <v>4DCC68350CFAB2110B8C72B42CBC9602</v>
      </c>
      <c r="C1299" s="75" t="s">
        <v>4076</v>
      </c>
      <c r="D1299" s="84" t="s">
        <v>4135</v>
      </c>
      <c r="E1299" s="92">
        <v>1</v>
      </c>
      <c r="F1299" s="175" t="s">
        <v>4077</v>
      </c>
      <c r="G1299" s="84" t="s">
        <v>4136</v>
      </c>
      <c r="H1299" s="75"/>
      <c r="I1299" s="75"/>
      <c r="J1299" s="170" t="s">
        <v>162</v>
      </c>
      <c r="K1299" s="170" t="s">
        <v>509</v>
      </c>
      <c r="L1299" s="170" t="s">
        <v>535</v>
      </c>
      <c r="M1299" s="170" t="s">
        <v>509</v>
      </c>
      <c r="N1299" s="170" t="s">
        <v>535</v>
      </c>
      <c r="O1299" s="84" t="s">
        <v>4075</v>
      </c>
    </row>
    <row r="1300" spans="1:15">
      <c r="A1300" s="63" t="s">
        <v>849</v>
      </c>
      <c r="B1300" s="14" t="str">
        <f>VLOOKUP(O1300,'护理记录单文书字典(数据)'!B$4:C$99,2,0)</f>
        <v>4DCC68350CFAB2110B8C72B42CBC9602</v>
      </c>
      <c r="C1300" s="75" t="s">
        <v>4076</v>
      </c>
      <c r="D1300" s="84" t="s">
        <v>4135</v>
      </c>
      <c r="E1300" s="92">
        <v>2</v>
      </c>
      <c r="F1300" s="175" t="s">
        <v>4078</v>
      </c>
      <c r="G1300" s="84" t="s">
        <v>4137</v>
      </c>
      <c r="H1300" s="75"/>
      <c r="I1300" s="75"/>
      <c r="J1300" s="170" t="s">
        <v>162</v>
      </c>
      <c r="K1300" s="170" t="s">
        <v>509</v>
      </c>
      <c r="L1300" s="170" t="s">
        <v>535</v>
      </c>
      <c r="M1300" s="170" t="s">
        <v>509</v>
      </c>
      <c r="N1300" s="170" t="s">
        <v>535</v>
      </c>
      <c r="O1300" s="84" t="s">
        <v>4075</v>
      </c>
    </row>
    <row r="1301" spans="1:15">
      <c r="A1301" s="63" t="s">
        <v>849</v>
      </c>
      <c r="B1301" s="14" t="str">
        <f>VLOOKUP(O1301,'护理记录单文书字典(数据)'!B$4:C$99,2,0)</f>
        <v>4DCC68350CFAB2110B8C72B42CBC9602</v>
      </c>
      <c r="C1301" s="75" t="s">
        <v>4076</v>
      </c>
      <c r="D1301" s="84" t="s">
        <v>4135</v>
      </c>
      <c r="E1301" s="92">
        <v>3</v>
      </c>
      <c r="F1301" s="175" t="s">
        <v>4079</v>
      </c>
      <c r="G1301" s="84" t="s">
        <v>4138</v>
      </c>
      <c r="H1301" s="75"/>
      <c r="I1301" s="75"/>
      <c r="J1301" s="170" t="s">
        <v>162</v>
      </c>
      <c r="K1301" s="170" t="s">
        <v>509</v>
      </c>
      <c r="L1301" s="170" t="s">
        <v>535</v>
      </c>
      <c r="M1301" s="170" t="s">
        <v>509</v>
      </c>
      <c r="N1301" s="170" t="s">
        <v>535</v>
      </c>
      <c r="O1301" s="84" t="s">
        <v>4075</v>
      </c>
    </row>
    <row r="1302" spans="1:15">
      <c r="A1302" s="63" t="s">
        <v>849</v>
      </c>
      <c r="B1302" s="14" t="str">
        <f>VLOOKUP(O1302,'护理记录单文书字典(数据)'!B$4:C$99,2,0)</f>
        <v>4DCC68350CFAB2110B8C72B42CBC9602</v>
      </c>
      <c r="C1302" s="75" t="s">
        <v>4076</v>
      </c>
      <c r="D1302" s="84" t="s">
        <v>4135</v>
      </c>
      <c r="E1302" s="92">
        <v>4</v>
      </c>
      <c r="F1302" s="175" t="s">
        <v>4080</v>
      </c>
      <c r="G1302" s="84" t="s">
        <v>4139</v>
      </c>
      <c r="H1302" s="75"/>
      <c r="I1302" s="75"/>
      <c r="J1302" s="170" t="s">
        <v>162</v>
      </c>
      <c r="K1302" s="170" t="s">
        <v>509</v>
      </c>
      <c r="L1302" s="170" t="s">
        <v>535</v>
      </c>
      <c r="M1302" s="170" t="s">
        <v>509</v>
      </c>
      <c r="N1302" s="170" t="s">
        <v>535</v>
      </c>
      <c r="O1302" s="84" t="s">
        <v>4075</v>
      </c>
    </row>
    <row r="1303" spans="1:15">
      <c r="A1303" s="63" t="s">
        <v>849</v>
      </c>
      <c r="B1303" s="14" t="str">
        <f>VLOOKUP(O1303,'护理记录单文书字典(数据)'!B$4:C$99,2,0)</f>
        <v>4DCC68350CFAB2110B8C72B42CBC9602</v>
      </c>
      <c r="C1303" s="75" t="s">
        <v>4076</v>
      </c>
      <c r="D1303" s="84" t="s">
        <v>4135</v>
      </c>
      <c r="E1303" s="92">
        <v>5</v>
      </c>
      <c r="F1303" s="175" t="s">
        <v>4081</v>
      </c>
      <c r="G1303" s="84" t="s">
        <v>4140</v>
      </c>
      <c r="H1303" s="75"/>
      <c r="I1303" s="75"/>
      <c r="J1303" s="170" t="s">
        <v>162</v>
      </c>
      <c r="K1303" s="170" t="s">
        <v>509</v>
      </c>
      <c r="L1303" s="170" t="s">
        <v>535</v>
      </c>
      <c r="M1303" s="170" t="s">
        <v>509</v>
      </c>
      <c r="N1303" s="170" t="s">
        <v>535</v>
      </c>
      <c r="O1303" s="84" t="s">
        <v>4075</v>
      </c>
    </row>
    <row r="1304" spans="1:15">
      <c r="A1304" s="63" t="s">
        <v>849</v>
      </c>
      <c r="B1304" s="14" t="str">
        <f>VLOOKUP(O1304,'护理记录单文书字典(数据)'!B$4:C$99,2,0)</f>
        <v>4DCC68350CFAB2110B8C72B42CBC9602</v>
      </c>
      <c r="C1304" s="75" t="s">
        <v>4076</v>
      </c>
      <c r="D1304" s="84" t="s">
        <v>4135</v>
      </c>
      <c r="E1304" s="92">
        <v>6</v>
      </c>
      <c r="F1304" s="175" t="s">
        <v>4082</v>
      </c>
      <c r="G1304" s="84" t="s">
        <v>4141</v>
      </c>
      <c r="H1304" s="75"/>
      <c r="I1304" s="75"/>
      <c r="J1304" s="170" t="s">
        <v>162</v>
      </c>
      <c r="K1304" s="170" t="s">
        <v>509</v>
      </c>
      <c r="L1304" s="170" t="s">
        <v>535</v>
      </c>
      <c r="M1304" s="170" t="s">
        <v>509</v>
      </c>
      <c r="N1304" s="170" t="s">
        <v>535</v>
      </c>
      <c r="O1304" s="84" t="s">
        <v>4075</v>
      </c>
    </row>
    <row r="1305" spans="1:15">
      <c r="A1305" s="63" t="s">
        <v>849</v>
      </c>
      <c r="B1305" s="14" t="str">
        <f>VLOOKUP(O1305,'护理记录单文书字典(数据)'!B$4:C$99,2,0)</f>
        <v>4DCC68350CFAB2110B8C72B42CBC9602</v>
      </c>
      <c r="C1305" s="75" t="s">
        <v>4076</v>
      </c>
      <c r="D1305" s="84" t="s">
        <v>4135</v>
      </c>
      <c r="E1305" s="92">
        <v>7</v>
      </c>
      <c r="F1305" s="175" t="s">
        <v>4083</v>
      </c>
      <c r="G1305" s="84" t="s">
        <v>4142</v>
      </c>
      <c r="H1305" s="75"/>
      <c r="I1305" s="75"/>
      <c r="J1305" s="170" t="s">
        <v>162</v>
      </c>
      <c r="K1305" s="170" t="s">
        <v>509</v>
      </c>
      <c r="L1305" s="170" t="s">
        <v>535</v>
      </c>
      <c r="M1305" s="170" t="s">
        <v>509</v>
      </c>
      <c r="N1305" s="170" t="s">
        <v>535</v>
      </c>
      <c r="O1305" s="84" t="s">
        <v>4075</v>
      </c>
    </row>
    <row r="1306" spans="1:15">
      <c r="A1306" s="63" t="s">
        <v>849</v>
      </c>
      <c r="B1306" s="14" t="str">
        <f>VLOOKUP(O1306,'护理记录单文书字典(数据)'!B$4:C$99,2,0)</f>
        <v>4DCC68350CFAB2110B8C72B42CBC9602</v>
      </c>
      <c r="C1306" s="75" t="s">
        <v>4076</v>
      </c>
      <c r="D1306" s="84" t="s">
        <v>4135</v>
      </c>
      <c r="E1306" s="92">
        <v>8</v>
      </c>
      <c r="F1306" s="175" t="s">
        <v>4084</v>
      </c>
      <c r="G1306" s="84" t="s">
        <v>4143</v>
      </c>
      <c r="H1306" s="75"/>
      <c r="I1306" s="75"/>
      <c r="J1306" s="170" t="s">
        <v>162</v>
      </c>
      <c r="K1306" s="170" t="s">
        <v>509</v>
      </c>
      <c r="L1306" s="170" t="s">
        <v>535</v>
      </c>
      <c r="M1306" s="170" t="s">
        <v>509</v>
      </c>
      <c r="N1306" s="170" t="s">
        <v>535</v>
      </c>
      <c r="O1306" s="84" t="s">
        <v>4075</v>
      </c>
    </row>
    <row r="1307" spans="1:15">
      <c r="A1307" s="63" t="s">
        <v>849</v>
      </c>
      <c r="B1307" s="14" t="str">
        <f>VLOOKUP(O1307,'护理记录单文书字典(数据)'!B$4:C$99,2,0)</f>
        <v>4DCC68350CFAB2110B8C72B42CBC9602</v>
      </c>
      <c r="C1307" s="75" t="s">
        <v>4076</v>
      </c>
      <c r="D1307" s="84" t="s">
        <v>4135</v>
      </c>
      <c r="E1307" s="92">
        <v>9</v>
      </c>
      <c r="F1307" s="175" t="s">
        <v>4085</v>
      </c>
      <c r="G1307" s="84" t="s">
        <v>4144</v>
      </c>
      <c r="H1307" s="75"/>
      <c r="I1307" s="75"/>
      <c r="J1307" s="170" t="s">
        <v>162</v>
      </c>
      <c r="K1307" s="170" t="s">
        <v>509</v>
      </c>
      <c r="L1307" s="170" t="s">
        <v>535</v>
      </c>
      <c r="M1307" s="170" t="s">
        <v>509</v>
      </c>
      <c r="N1307" s="170" t="s">
        <v>535</v>
      </c>
      <c r="O1307" s="84" t="s">
        <v>4075</v>
      </c>
    </row>
    <row r="1308" spans="1:15">
      <c r="A1308" s="63" t="s">
        <v>849</v>
      </c>
      <c r="B1308" s="14" t="str">
        <f>VLOOKUP(O1308,'护理记录单文书字典(数据)'!B$4:C$99,2,0)</f>
        <v>4DCC68350CFAB2110B8C72B42CBC9602</v>
      </c>
      <c r="C1308" s="75" t="s">
        <v>4076</v>
      </c>
      <c r="D1308" s="84" t="s">
        <v>4135</v>
      </c>
      <c r="E1308" s="92">
        <v>10</v>
      </c>
      <c r="F1308" s="175" t="s">
        <v>4086</v>
      </c>
      <c r="G1308" s="84" t="s">
        <v>4145</v>
      </c>
      <c r="H1308" s="75"/>
      <c r="I1308" s="75"/>
      <c r="J1308" s="170" t="s">
        <v>162</v>
      </c>
      <c r="K1308" s="170" t="s">
        <v>509</v>
      </c>
      <c r="L1308" s="170" t="s">
        <v>535</v>
      </c>
      <c r="M1308" s="170" t="s">
        <v>509</v>
      </c>
      <c r="N1308" s="170" t="s">
        <v>535</v>
      </c>
      <c r="O1308" s="84" t="s">
        <v>4075</v>
      </c>
    </row>
    <row r="1309" spans="1:15">
      <c r="A1309" s="63" t="s">
        <v>849</v>
      </c>
      <c r="B1309" s="14" t="str">
        <f>VLOOKUP(O1309,'护理记录单文书字典(数据)'!B$4:C$99,2,0)</f>
        <v>4DCC68350CFAB2110B8C72B42CBC9602</v>
      </c>
      <c r="C1309" s="75" t="s">
        <v>4076</v>
      </c>
      <c r="D1309" s="84" t="s">
        <v>4135</v>
      </c>
      <c r="E1309" s="92">
        <v>11</v>
      </c>
      <c r="F1309" s="175" t="s">
        <v>4087</v>
      </c>
      <c r="G1309" s="84" t="s">
        <v>4146</v>
      </c>
      <c r="H1309" s="75"/>
      <c r="I1309" s="75"/>
      <c r="J1309" s="170" t="s">
        <v>162</v>
      </c>
      <c r="K1309" s="170" t="s">
        <v>509</v>
      </c>
      <c r="L1309" s="170" t="s">
        <v>535</v>
      </c>
      <c r="M1309" s="170" t="s">
        <v>509</v>
      </c>
      <c r="N1309" s="170" t="s">
        <v>535</v>
      </c>
      <c r="O1309" s="84" t="s">
        <v>4075</v>
      </c>
    </row>
    <row r="1310" spans="1:15">
      <c r="A1310" s="63" t="s">
        <v>849</v>
      </c>
      <c r="B1310" s="14" t="str">
        <f>VLOOKUP(O1310,'护理记录单文书字典(数据)'!B$4:C$99,2,0)</f>
        <v>4DCC68350CFAB2110B8C72B42CBC9602</v>
      </c>
      <c r="C1310" s="75" t="s">
        <v>4076</v>
      </c>
      <c r="D1310" s="84" t="s">
        <v>4135</v>
      </c>
      <c r="E1310" s="92">
        <v>12</v>
      </c>
      <c r="F1310" s="175" t="s">
        <v>4088</v>
      </c>
      <c r="G1310" s="84" t="s">
        <v>4147</v>
      </c>
      <c r="H1310" s="75"/>
      <c r="I1310" s="75"/>
      <c r="J1310" s="170" t="s">
        <v>162</v>
      </c>
      <c r="K1310" s="170" t="s">
        <v>509</v>
      </c>
      <c r="L1310" s="170" t="s">
        <v>535</v>
      </c>
      <c r="M1310" s="170" t="s">
        <v>509</v>
      </c>
      <c r="N1310" s="170" t="s">
        <v>535</v>
      </c>
      <c r="O1310" s="84" t="s">
        <v>4075</v>
      </c>
    </row>
    <row r="1311" spans="1:15">
      <c r="A1311" s="63" t="s">
        <v>849</v>
      </c>
      <c r="B1311" s="14" t="str">
        <f>VLOOKUP(O1311,'护理记录单文书字典(数据)'!B$4:C$99,2,0)</f>
        <v>4DCC68350CFAB2110B8C72B42CBC9602</v>
      </c>
      <c r="C1311" s="75" t="s">
        <v>4076</v>
      </c>
      <c r="D1311" s="84" t="s">
        <v>4135</v>
      </c>
      <c r="E1311" s="92">
        <v>13</v>
      </c>
      <c r="F1311" s="175" t="s">
        <v>4089</v>
      </c>
      <c r="G1311" s="84" t="s">
        <v>4148</v>
      </c>
      <c r="H1311" s="75"/>
      <c r="I1311" s="75"/>
      <c r="J1311" s="170" t="s">
        <v>162</v>
      </c>
      <c r="K1311" s="170" t="s">
        <v>509</v>
      </c>
      <c r="L1311" s="170" t="s">
        <v>535</v>
      </c>
      <c r="M1311" s="170" t="s">
        <v>509</v>
      </c>
      <c r="N1311" s="170" t="s">
        <v>535</v>
      </c>
      <c r="O1311" s="84" t="s">
        <v>4075</v>
      </c>
    </row>
    <row r="1312" spans="1:15">
      <c r="A1312" s="63" t="s">
        <v>849</v>
      </c>
      <c r="B1312" s="14" t="str">
        <f>VLOOKUP(O1312,'护理记录单文书字典(数据)'!B$4:C$99,2,0)</f>
        <v>4DCC68350CFAB2110B8C72B42CBC9602</v>
      </c>
      <c r="C1312" s="75" t="s">
        <v>4076</v>
      </c>
      <c r="D1312" s="84" t="s">
        <v>4135</v>
      </c>
      <c r="E1312" s="92">
        <v>14</v>
      </c>
      <c r="F1312" s="175" t="s">
        <v>4090</v>
      </c>
      <c r="G1312" s="84" t="s">
        <v>4149</v>
      </c>
      <c r="H1312" s="75"/>
      <c r="I1312" s="75"/>
      <c r="J1312" s="170" t="s">
        <v>162</v>
      </c>
      <c r="K1312" s="170" t="s">
        <v>509</v>
      </c>
      <c r="L1312" s="170" t="s">
        <v>535</v>
      </c>
      <c r="M1312" s="170" t="s">
        <v>509</v>
      </c>
      <c r="N1312" s="170" t="s">
        <v>535</v>
      </c>
      <c r="O1312" s="84" t="s">
        <v>4075</v>
      </c>
    </row>
    <row r="1313" spans="1:15">
      <c r="A1313" s="63" t="s">
        <v>849</v>
      </c>
      <c r="B1313" s="14" t="str">
        <f>VLOOKUP(O1313,'护理记录单文书字典(数据)'!B$4:C$99,2,0)</f>
        <v>4DCC68350CFAB2110B8C72B42CBC9602</v>
      </c>
      <c r="C1313" s="75" t="s">
        <v>4076</v>
      </c>
      <c r="D1313" s="84" t="s">
        <v>4135</v>
      </c>
      <c r="E1313" s="92">
        <v>15</v>
      </c>
      <c r="F1313" s="175" t="s">
        <v>4091</v>
      </c>
      <c r="G1313" s="84" t="s">
        <v>4150</v>
      </c>
      <c r="H1313" s="75"/>
      <c r="I1313" s="75"/>
      <c r="J1313" s="170" t="s">
        <v>162</v>
      </c>
      <c r="K1313" s="170" t="s">
        <v>509</v>
      </c>
      <c r="L1313" s="170" t="s">
        <v>535</v>
      </c>
      <c r="M1313" s="170" t="s">
        <v>509</v>
      </c>
      <c r="N1313" s="170" t="s">
        <v>535</v>
      </c>
      <c r="O1313" s="84" t="s">
        <v>4075</v>
      </c>
    </row>
    <row r="1314" spans="1:15">
      <c r="A1314" s="63" t="s">
        <v>849</v>
      </c>
      <c r="B1314" s="14" t="str">
        <f>VLOOKUP(O1314,'护理记录单文书字典(数据)'!B$4:C$99,2,0)</f>
        <v>4DCC68350CFAB2110B8C72B42CBC9602</v>
      </c>
      <c r="C1314" s="75" t="s">
        <v>4076</v>
      </c>
      <c r="D1314" s="84" t="s">
        <v>4135</v>
      </c>
      <c r="E1314" s="92">
        <v>16</v>
      </c>
      <c r="F1314" s="175" t="s">
        <v>4092</v>
      </c>
      <c r="G1314" s="84" t="s">
        <v>4151</v>
      </c>
      <c r="H1314" s="75"/>
      <c r="I1314" s="75"/>
      <c r="J1314" s="170" t="s">
        <v>162</v>
      </c>
      <c r="K1314" s="170" t="s">
        <v>509</v>
      </c>
      <c r="L1314" s="170" t="s">
        <v>535</v>
      </c>
      <c r="M1314" s="170" t="s">
        <v>509</v>
      </c>
      <c r="N1314" s="170" t="s">
        <v>535</v>
      </c>
      <c r="O1314" s="84" t="s">
        <v>4075</v>
      </c>
    </row>
    <row r="1315" spans="1:15">
      <c r="A1315" s="63" t="s">
        <v>849</v>
      </c>
      <c r="B1315" s="14" t="str">
        <f>VLOOKUP(O1315,'护理记录单文书字典(数据)'!B$4:C$99,2,0)</f>
        <v>4DCC68350CFAB2110B8C72B42CBC9602</v>
      </c>
      <c r="C1315" s="75" t="s">
        <v>4076</v>
      </c>
      <c r="D1315" s="84" t="s">
        <v>4135</v>
      </c>
      <c r="E1315" s="92">
        <v>17</v>
      </c>
      <c r="F1315" s="175" t="s">
        <v>4093</v>
      </c>
      <c r="G1315" s="84" t="s">
        <v>4152</v>
      </c>
      <c r="H1315" s="75"/>
      <c r="I1315" s="75"/>
      <c r="J1315" s="170" t="s">
        <v>162</v>
      </c>
      <c r="K1315" s="170" t="s">
        <v>509</v>
      </c>
      <c r="L1315" s="170" t="s">
        <v>535</v>
      </c>
      <c r="M1315" s="170" t="s">
        <v>509</v>
      </c>
      <c r="N1315" s="170" t="s">
        <v>535</v>
      </c>
      <c r="O1315" s="84" t="s">
        <v>4075</v>
      </c>
    </row>
    <row r="1316" spans="1:15">
      <c r="A1316" s="63" t="s">
        <v>849</v>
      </c>
      <c r="B1316" s="14" t="str">
        <f>VLOOKUP(O1316,'护理记录单文书字典(数据)'!B$4:C$99,2,0)</f>
        <v>4DCC68350CFAB2110B8C72B42CBC9602</v>
      </c>
      <c r="C1316" s="75" t="s">
        <v>4076</v>
      </c>
      <c r="D1316" s="84" t="s">
        <v>4135</v>
      </c>
      <c r="E1316" s="92">
        <v>18</v>
      </c>
      <c r="F1316" s="175" t="s">
        <v>4094</v>
      </c>
      <c r="G1316" s="84" t="s">
        <v>4153</v>
      </c>
      <c r="H1316" s="75"/>
      <c r="I1316" s="75"/>
      <c r="J1316" s="170" t="s">
        <v>162</v>
      </c>
      <c r="K1316" s="170" t="s">
        <v>509</v>
      </c>
      <c r="L1316" s="170" t="s">
        <v>535</v>
      </c>
      <c r="M1316" s="170" t="s">
        <v>509</v>
      </c>
      <c r="N1316" s="170" t="s">
        <v>535</v>
      </c>
      <c r="O1316" s="84" t="s">
        <v>4075</v>
      </c>
    </row>
    <row r="1317" spans="1:15">
      <c r="A1317" s="63" t="s">
        <v>849</v>
      </c>
      <c r="B1317" s="14" t="str">
        <f>VLOOKUP(O1317,'护理记录单文书字典(数据)'!B$4:C$99,2,0)</f>
        <v>4DCC68350CFAB2110B8C72B42CBC9602</v>
      </c>
      <c r="C1317" s="75" t="s">
        <v>4076</v>
      </c>
      <c r="D1317" s="84" t="s">
        <v>4135</v>
      </c>
      <c r="E1317" s="92">
        <v>19</v>
      </c>
      <c r="F1317" s="175" t="s">
        <v>4095</v>
      </c>
      <c r="G1317" s="84" t="s">
        <v>4154</v>
      </c>
      <c r="H1317" s="75"/>
      <c r="I1317" s="75"/>
      <c r="J1317" s="170" t="s">
        <v>162</v>
      </c>
      <c r="K1317" s="170" t="s">
        <v>509</v>
      </c>
      <c r="L1317" s="170" t="s">
        <v>535</v>
      </c>
      <c r="M1317" s="170" t="s">
        <v>509</v>
      </c>
      <c r="N1317" s="170" t="s">
        <v>535</v>
      </c>
      <c r="O1317" s="84" t="s">
        <v>4075</v>
      </c>
    </row>
    <row r="1318" spans="1:15">
      <c r="A1318" s="63" t="s">
        <v>849</v>
      </c>
      <c r="B1318" s="14" t="str">
        <f>VLOOKUP(O1318,'护理记录单文书字典(数据)'!B$4:C$99,2,0)</f>
        <v>4DCC68350CFAB2110B8C72B42CBC9602</v>
      </c>
      <c r="C1318" s="75" t="s">
        <v>4076</v>
      </c>
      <c r="D1318" s="84" t="s">
        <v>4135</v>
      </c>
      <c r="E1318" s="92">
        <v>20</v>
      </c>
      <c r="F1318" s="175" t="s">
        <v>4096</v>
      </c>
      <c r="G1318" s="84" t="s">
        <v>4155</v>
      </c>
      <c r="H1318" s="75"/>
      <c r="I1318" s="75"/>
      <c r="J1318" s="170" t="s">
        <v>162</v>
      </c>
      <c r="K1318" s="170" t="s">
        <v>509</v>
      </c>
      <c r="L1318" s="170" t="s">
        <v>535</v>
      </c>
      <c r="M1318" s="170" t="s">
        <v>509</v>
      </c>
      <c r="N1318" s="170" t="s">
        <v>535</v>
      </c>
      <c r="O1318" s="84" t="s">
        <v>4075</v>
      </c>
    </row>
    <row r="1319" spans="1:15">
      <c r="A1319" s="63" t="s">
        <v>849</v>
      </c>
      <c r="B1319" s="14" t="str">
        <f>VLOOKUP(O1319,'护理记录单文书字典(数据)'!B$4:C$99,2,0)</f>
        <v>4DCC68350CFAB2110B8C72B42CBC9602</v>
      </c>
      <c r="C1319" s="75" t="s">
        <v>4076</v>
      </c>
      <c r="D1319" s="84" t="s">
        <v>4135</v>
      </c>
      <c r="E1319" s="92">
        <v>21</v>
      </c>
      <c r="F1319" s="175" t="s">
        <v>4097</v>
      </c>
      <c r="G1319" s="84" t="s">
        <v>4156</v>
      </c>
      <c r="H1319" s="75"/>
      <c r="I1319" s="75"/>
      <c r="J1319" s="170" t="s">
        <v>162</v>
      </c>
      <c r="K1319" s="170" t="s">
        <v>509</v>
      </c>
      <c r="L1319" s="170" t="s">
        <v>535</v>
      </c>
      <c r="M1319" s="170" t="s">
        <v>509</v>
      </c>
      <c r="N1319" s="170" t="s">
        <v>535</v>
      </c>
      <c r="O1319" s="84" t="s">
        <v>4075</v>
      </c>
    </row>
    <row r="1320" spans="1:15">
      <c r="A1320" s="63" t="s">
        <v>849</v>
      </c>
      <c r="B1320" s="14" t="str">
        <f>VLOOKUP(O1320,'护理记录单文书字典(数据)'!B$4:C$99,2,0)</f>
        <v>4DCC68350CFAB2110B8C72B42CBC9602</v>
      </c>
      <c r="C1320" s="75" t="s">
        <v>4076</v>
      </c>
      <c r="D1320" s="84" t="s">
        <v>4135</v>
      </c>
      <c r="E1320" s="92">
        <v>22</v>
      </c>
      <c r="F1320" s="175" t="s">
        <v>4098</v>
      </c>
      <c r="G1320" s="84" t="s">
        <v>4157</v>
      </c>
      <c r="H1320" s="75"/>
      <c r="I1320" s="75"/>
      <c r="J1320" s="170" t="s">
        <v>162</v>
      </c>
      <c r="K1320" s="170" t="s">
        <v>509</v>
      </c>
      <c r="L1320" s="170" t="s">
        <v>535</v>
      </c>
      <c r="M1320" s="170" t="s">
        <v>509</v>
      </c>
      <c r="N1320" s="170" t="s">
        <v>535</v>
      </c>
      <c r="O1320" s="84" t="s">
        <v>4075</v>
      </c>
    </row>
    <row r="1321" spans="1:15">
      <c r="A1321" s="63" t="s">
        <v>849</v>
      </c>
      <c r="B1321" s="14" t="str">
        <f>VLOOKUP(O1321,'护理记录单文书字典(数据)'!B$4:C$99,2,0)</f>
        <v>4DCC68350CFAB2110B8C72B42CBC9602</v>
      </c>
      <c r="C1321" s="75" t="s">
        <v>4076</v>
      </c>
      <c r="D1321" s="84" t="s">
        <v>4135</v>
      </c>
      <c r="E1321" s="92">
        <v>23</v>
      </c>
      <c r="F1321" s="175" t="s">
        <v>4099</v>
      </c>
      <c r="G1321" s="84" t="s">
        <v>4158</v>
      </c>
      <c r="H1321" s="75"/>
      <c r="I1321" s="75"/>
      <c r="J1321" s="170" t="s">
        <v>162</v>
      </c>
      <c r="K1321" s="170" t="s">
        <v>509</v>
      </c>
      <c r="L1321" s="170" t="s">
        <v>535</v>
      </c>
      <c r="M1321" s="170" t="s">
        <v>509</v>
      </c>
      <c r="N1321" s="170" t="s">
        <v>535</v>
      </c>
      <c r="O1321" s="84" t="s">
        <v>4075</v>
      </c>
    </row>
    <row r="1322" spans="1:15">
      <c r="A1322" s="63" t="s">
        <v>849</v>
      </c>
      <c r="B1322" s="14" t="str">
        <f>VLOOKUP(O1322,'护理记录单文书字典(数据)'!B$4:C$99,2,0)</f>
        <v>4DCC68350CFAB2110B8C72B42CBC9602</v>
      </c>
      <c r="C1322" s="75" t="s">
        <v>4076</v>
      </c>
      <c r="D1322" s="84" t="s">
        <v>4135</v>
      </c>
      <c r="E1322" s="92">
        <v>24</v>
      </c>
      <c r="F1322" s="175" t="s">
        <v>4100</v>
      </c>
      <c r="G1322" s="84" t="s">
        <v>4159</v>
      </c>
      <c r="H1322" s="75"/>
      <c r="I1322" s="75"/>
      <c r="J1322" s="170" t="s">
        <v>162</v>
      </c>
      <c r="K1322" s="170" t="s">
        <v>509</v>
      </c>
      <c r="L1322" s="170" t="s">
        <v>535</v>
      </c>
      <c r="M1322" s="170" t="s">
        <v>509</v>
      </c>
      <c r="N1322" s="170" t="s">
        <v>535</v>
      </c>
      <c r="O1322" s="84" t="s">
        <v>4075</v>
      </c>
    </row>
    <row r="1323" spans="1:15">
      <c r="A1323" s="63" t="s">
        <v>849</v>
      </c>
      <c r="B1323" s="14" t="str">
        <f>VLOOKUP(O1323,'护理记录单文书字典(数据)'!B$4:C$99,2,0)</f>
        <v>4DCC68350CFAB2110B8C72B42CBC9602</v>
      </c>
      <c r="C1323" s="75" t="s">
        <v>4076</v>
      </c>
      <c r="D1323" s="84" t="s">
        <v>4135</v>
      </c>
      <c r="E1323" s="92">
        <v>25</v>
      </c>
      <c r="F1323" s="175" t="s">
        <v>4101</v>
      </c>
      <c r="G1323" s="84" t="s">
        <v>4160</v>
      </c>
      <c r="H1323" s="75"/>
      <c r="I1323" s="75"/>
      <c r="J1323" s="170" t="s">
        <v>162</v>
      </c>
      <c r="K1323" s="170" t="s">
        <v>509</v>
      </c>
      <c r="L1323" s="170" t="s">
        <v>535</v>
      </c>
      <c r="M1323" s="170" t="s">
        <v>509</v>
      </c>
      <c r="N1323" s="170" t="s">
        <v>535</v>
      </c>
      <c r="O1323" s="84" t="s">
        <v>4075</v>
      </c>
    </row>
    <row r="1324" spans="1:15">
      <c r="A1324" s="63" t="s">
        <v>849</v>
      </c>
      <c r="B1324" s="14" t="str">
        <f>VLOOKUP(O1324,'护理记录单文书字典(数据)'!B$4:C$99,2,0)</f>
        <v>4DCC68350CFAB2110B8C72B42CBC9602</v>
      </c>
      <c r="C1324" s="75" t="s">
        <v>4076</v>
      </c>
      <c r="D1324" s="84" t="s">
        <v>4135</v>
      </c>
      <c r="E1324" s="92">
        <v>26</v>
      </c>
      <c r="F1324" s="175" t="s">
        <v>4102</v>
      </c>
      <c r="G1324" s="84" t="s">
        <v>4161</v>
      </c>
      <c r="H1324" s="75"/>
      <c r="I1324" s="75"/>
      <c r="J1324" s="170" t="s">
        <v>162</v>
      </c>
      <c r="K1324" s="170" t="s">
        <v>509</v>
      </c>
      <c r="L1324" s="170" t="s">
        <v>535</v>
      </c>
      <c r="M1324" s="170" t="s">
        <v>509</v>
      </c>
      <c r="N1324" s="170" t="s">
        <v>535</v>
      </c>
      <c r="O1324" s="84" t="s">
        <v>4075</v>
      </c>
    </row>
    <row r="1325" spans="1:15">
      <c r="A1325" s="63" t="s">
        <v>849</v>
      </c>
      <c r="B1325" s="14" t="str">
        <f>VLOOKUP(O1325,'护理记录单文书字典(数据)'!B$4:C$99,2,0)</f>
        <v>4DCC68350CFAB2110B8C72B42CBC9602</v>
      </c>
      <c r="C1325" s="75" t="s">
        <v>4076</v>
      </c>
      <c r="D1325" s="84" t="s">
        <v>4135</v>
      </c>
      <c r="E1325" s="92">
        <v>27</v>
      </c>
      <c r="F1325" s="175" t="s">
        <v>4103</v>
      </c>
      <c r="G1325" s="84" t="s">
        <v>4162</v>
      </c>
      <c r="H1325" s="75"/>
      <c r="I1325" s="75"/>
      <c r="J1325" s="170" t="s">
        <v>162</v>
      </c>
      <c r="K1325" s="170" t="s">
        <v>509</v>
      </c>
      <c r="L1325" s="170" t="s">
        <v>535</v>
      </c>
      <c r="M1325" s="170" t="s">
        <v>509</v>
      </c>
      <c r="N1325" s="170" t="s">
        <v>535</v>
      </c>
      <c r="O1325" s="84" t="s">
        <v>4075</v>
      </c>
    </row>
    <row r="1326" spans="1:15">
      <c r="A1326" s="63" t="s">
        <v>849</v>
      </c>
      <c r="B1326" s="14" t="str">
        <f>VLOOKUP(O1326,'护理记录单文书字典(数据)'!B$4:C$99,2,0)</f>
        <v>4DCC68350CFAB2110B8C72B42CBC9602</v>
      </c>
      <c r="C1326" s="75" t="s">
        <v>4076</v>
      </c>
      <c r="D1326" s="84" t="s">
        <v>4135</v>
      </c>
      <c r="E1326" s="92">
        <v>28</v>
      </c>
      <c r="F1326" s="175" t="s">
        <v>4104</v>
      </c>
      <c r="G1326" s="84" t="s">
        <v>4163</v>
      </c>
      <c r="H1326" s="75"/>
      <c r="I1326" s="75"/>
      <c r="J1326" s="170" t="s">
        <v>162</v>
      </c>
      <c r="K1326" s="170" t="s">
        <v>509</v>
      </c>
      <c r="L1326" s="170" t="s">
        <v>535</v>
      </c>
      <c r="M1326" s="170" t="s">
        <v>509</v>
      </c>
      <c r="N1326" s="170" t="s">
        <v>535</v>
      </c>
      <c r="O1326" s="84" t="s">
        <v>4075</v>
      </c>
    </row>
    <row r="1327" spans="1:15">
      <c r="A1327" s="63" t="s">
        <v>849</v>
      </c>
      <c r="B1327" s="14" t="str">
        <f>VLOOKUP(O1327,'护理记录单文书字典(数据)'!B$4:C$99,2,0)</f>
        <v>4DCC68350CFAB2110B8C72B42CBC9602</v>
      </c>
      <c r="C1327" s="75" t="s">
        <v>4076</v>
      </c>
      <c r="D1327" s="84" t="s">
        <v>4135</v>
      </c>
      <c r="E1327" s="92">
        <v>29</v>
      </c>
      <c r="F1327" s="175" t="s">
        <v>4105</v>
      </c>
      <c r="G1327" s="84" t="s">
        <v>4164</v>
      </c>
      <c r="H1327" s="75"/>
      <c r="I1327" s="75"/>
      <c r="J1327" s="170" t="s">
        <v>162</v>
      </c>
      <c r="K1327" s="170" t="s">
        <v>509</v>
      </c>
      <c r="L1327" s="170" t="s">
        <v>535</v>
      </c>
      <c r="M1327" s="170" t="s">
        <v>509</v>
      </c>
      <c r="N1327" s="170" t="s">
        <v>535</v>
      </c>
      <c r="O1327" s="84" t="s">
        <v>4075</v>
      </c>
    </row>
    <row r="1328" spans="1:15">
      <c r="A1328" s="63" t="s">
        <v>849</v>
      </c>
      <c r="B1328" s="14" t="str">
        <f>VLOOKUP(O1328,'护理记录单文书字典(数据)'!B$4:C$99,2,0)</f>
        <v>4DCC68350CFAB2110B8C72B42CBC9602</v>
      </c>
      <c r="C1328" s="75" t="s">
        <v>4076</v>
      </c>
      <c r="D1328" s="84" t="s">
        <v>4135</v>
      </c>
      <c r="E1328" s="92">
        <v>30</v>
      </c>
      <c r="F1328" s="175" t="s">
        <v>4106</v>
      </c>
      <c r="G1328" s="84" t="s">
        <v>4165</v>
      </c>
      <c r="H1328" s="75"/>
      <c r="I1328" s="75"/>
      <c r="J1328" s="170" t="s">
        <v>162</v>
      </c>
      <c r="K1328" s="170" t="s">
        <v>509</v>
      </c>
      <c r="L1328" s="170" t="s">
        <v>535</v>
      </c>
      <c r="M1328" s="170" t="s">
        <v>509</v>
      </c>
      <c r="N1328" s="170" t="s">
        <v>535</v>
      </c>
      <c r="O1328" s="84" t="s">
        <v>4075</v>
      </c>
    </row>
    <row r="1329" spans="1:15">
      <c r="A1329" s="63" t="s">
        <v>849</v>
      </c>
      <c r="B1329" s="14" t="str">
        <f>VLOOKUP(O1329,'护理记录单文书字典(数据)'!B$4:C$99,2,0)</f>
        <v>4DCC68350CFAB2110B8C72B42CBC9602</v>
      </c>
      <c r="C1329" s="75" t="s">
        <v>4076</v>
      </c>
      <c r="D1329" s="84" t="s">
        <v>4135</v>
      </c>
      <c r="E1329" s="92">
        <v>31</v>
      </c>
      <c r="F1329" s="175" t="s">
        <v>4107</v>
      </c>
      <c r="G1329" s="84" t="s">
        <v>4166</v>
      </c>
      <c r="H1329" s="75"/>
      <c r="I1329" s="75"/>
      <c r="J1329" s="170" t="s">
        <v>162</v>
      </c>
      <c r="K1329" s="170" t="s">
        <v>509</v>
      </c>
      <c r="L1329" s="170" t="s">
        <v>535</v>
      </c>
      <c r="M1329" s="170" t="s">
        <v>509</v>
      </c>
      <c r="N1329" s="170" t="s">
        <v>535</v>
      </c>
      <c r="O1329" s="84" t="s">
        <v>4075</v>
      </c>
    </row>
    <row r="1330" spans="1:15">
      <c r="A1330" s="63" t="s">
        <v>849</v>
      </c>
      <c r="B1330" s="14" t="str">
        <f>VLOOKUP(O1330,'护理记录单文书字典(数据)'!B$4:C$99,2,0)</f>
        <v>4DCC68350CFAB2110B8C72B42CBC9602</v>
      </c>
      <c r="C1330" s="75" t="s">
        <v>4076</v>
      </c>
      <c r="D1330" s="84" t="s">
        <v>4135</v>
      </c>
      <c r="E1330" s="92">
        <v>32</v>
      </c>
      <c r="F1330" s="175" t="s">
        <v>4108</v>
      </c>
      <c r="G1330" s="84" t="s">
        <v>4167</v>
      </c>
      <c r="H1330" s="75"/>
      <c r="I1330" s="75"/>
      <c r="J1330" s="170" t="s">
        <v>162</v>
      </c>
      <c r="K1330" s="170" t="s">
        <v>509</v>
      </c>
      <c r="L1330" s="170" t="s">
        <v>535</v>
      </c>
      <c r="M1330" s="170" t="s">
        <v>509</v>
      </c>
      <c r="N1330" s="170" t="s">
        <v>535</v>
      </c>
      <c r="O1330" s="84" t="s">
        <v>4075</v>
      </c>
    </row>
    <row r="1331" spans="1:15">
      <c r="A1331" s="63" t="s">
        <v>849</v>
      </c>
      <c r="B1331" s="14" t="str">
        <f>VLOOKUP(O1331,'护理记录单文书字典(数据)'!B$4:C$99,2,0)</f>
        <v>4DCC68350CFAB2110B8C72B42CBC9602</v>
      </c>
      <c r="C1331" s="75" t="s">
        <v>4076</v>
      </c>
      <c r="D1331" s="84" t="s">
        <v>4135</v>
      </c>
      <c r="E1331" s="92">
        <v>33</v>
      </c>
      <c r="F1331" s="175" t="s">
        <v>4109</v>
      </c>
      <c r="G1331" s="84" t="s">
        <v>4168</v>
      </c>
      <c r="H1331" s="75"/>
      <c r="I1331" s="75"/>
      <c r="J1331" s="170" t="s">
        <v>162</v>
      </c>
      <c r="K1331" s="170" t="s">
        <v>509</v>
      </c>
      <c r="L1331" s="170" t="s">
        <v>535</v>
      </c>
      <c r="M1331" s="170" t="s">
        <v>509</v>
      </c>
      <c r="N1331" s="170" t="s">
        <v>535</v>
      </c>
      <c r="O1331" s="84" t="s">
        <v>4075</v>
      </c>
    </row>
    <row r="1332" spans="1:15">
      <c r="A1332" s="63" t="s">
        <v>849</v>
      </c>
      <c r="B1332" s="14" t="str">
        <f>VLOOKUP(O1332,'护理记录单文书字典(数据)'!B$4:C$99,2,0)</f>
        <v>4DCC68350CFAB2110B8C72B42CBC9602</v>
      </c>
      <c r="C1332" s="75" t="s">
        <v>4076</v>
      </c>
      <c r="D1332" s="84" t="s">
        <v>4135</v>
      </c>
      <c r="E1332" s="92">
        <v>34</v>
      </c>
      <c r="F1332" s="175" t="s">
        <v>4110</v>
      </c>
      <c r="G1332" s="84" t="s">
        <v>4169</v>
      </c>
      <c r="H1332" s="75"/>
      <c r="I1332" s="75"/>
      <c r="J1332" s="170" t="s">
        <v>162</v>
      </c>
      <c r="K1332" s="170" t="s">
        <v>509</v>
      </c>
      <c r="L1332" s="170" t="s">
        <v>535</v>
      </c>
      <c r="M1332" s="170" t="s">
        <v>509</v>
      </c>
      <c r="N1332" s="170" t="s">
        <v>535</v>
      </c>
      <c r="O1332" s="84" t="s">
        <v>4075</v>
      </c>
    </row>
    <row r="1333" spans="1:15">
      <c r="A1333" s="63" t="s">
        <v>849</v>
      </c>
      <c r="B1333" s="14" t="str">
        <f>VLOOKUP(O1333,'护理记录单文书字典(数据)'!B$4:C$99,2,0)</f>
        <v>4DCC68350CFAB2110B8C72B42CBC9602</v>
      </c>
      <c r="C1333" s="75" t="s">
        <v>4076</v>
      </c>
      <c r="D1333" s="84" t="s">
        <v>4135</v>
      </c>
      <c r="E1333" s="92">
        <v>35</v>
      </c>
      <c r="F1333" s="175" t="s">
        <v>4111</v>
      </c>
      <c r="G1333" s="84" t="s">
        <v>4170</v>
      </c>
      <c r="H1333" s="75"/>
      <c r="I1333" s="75"/>
      <c r="J1333" s="170" t="s">
        <v>162</v>
      </c>
      <c r="K1333" s="170" t="s">
        <v>509</v>
      </c>
      <c r="L1333" s="170" t="s">
        <v>535</v>
      </c>
      <c r="M1333" s="170" t="s">
        <v>509</v>
      </c>
      <c r="N1333" s="170" t="s">
        <v>535</v>
      </c>
      <c r="O1333" s="84" t="s">
        <v>4075</v>
      </c>
    </row>
    <row r="1334" spans="1:15">
      <c r="A1334" s="63" t="s">
        <v>849</v>
      </c>
      <c r="B1334" s="14" t="str">
        <f>VLOOKUP(O1334,'护理记录单文书字典(数据)'!B$4:C$99,2,0)</f>
        <v>4DCC68350CFAB2110B8C72B42CBC9602</v>
      </c>
      <c r="C1334" s="75" t="s">
        <v>4076</v>
      </c>
      <c r="D1334" s="84" t="s">
        <v>4135</v>
      </c>
      <c r="E1334" s="92">
        <v>36</v>
      </c>
      <c r="F1334" s="175" t="s">
        <v>4112</v>
      </c>
      <c r="G1334" s="84" t="s">
        <v>4171</v>
      </c>
      <c r="H1334" s="75"/>
      <c r="I1334" s="75"/>
      <c r="J1334" s="170" t="s">
        <v>162</v>
      </c>
      <c r="K1334" s="170" t="s">
        <v>509</v>
      </c>
      <c r="L1334" s="170" t="s">
        <v>535</v>
      </c>
      <c r="M1334" s="170" t="s">
        <v>509</v>
      </c>
      <c r="N1334" s="170" t="s">
        <v>535</v>
      </c>
      <c r="O1334" s="84" t="s">
        <v>4075</v>
      </c>
    </row>
    <row r="1335" spans="1:15">
      <c r="A1335" s="63" t="s">
        <v>849</v>
      </c>
      <c r="B1335" s="14" t="str">
        <f>VLOOKUP(O1335,'护理记录单文书字典(数据)'!B$4:C$99,2,0)</f>
        <v>4DCC68350CFAB2110B8C72B42CBC9602</v>
      </c>
      <c r="C1335" s="75" t="s">
        <v>4076</v>
      </c>
      <c r="D1335" s="84" t="s">
        <v>4135</v>
      </c>
      <c r="E1335" s="92">
        <v>37</v>
      </c>
      <c r="F1335" s="175" t="s">
        <v>4113</v>
      </c>
      <c r="G1335" s="84" t="s">
        <v>4172</v>
      </c>
      <c r="H1335" s="75"/>
      <c r="I1335" s="75"/>
      <c r="J1335" s="170" t="s">
        <v>162</v>
      </c>
      <c r="K1335" s="170" t="s">
        <v>509</v>
      </c>
      <c r="L1335" s="170" t="s">
        <v>535</v>
      </c>
      <c r="M1335" s="170" t="s">
        <v>509</v>
      </c>
      <c r="N1335" s="170" t="s">
        <v>535</v>
      </c>
      <c r="O1335" s="84" t="s">
        <v>4075</v>
      </c>
    </row>
    <row r="1336" spans="1:15">
      <c r="A1336" s="63" t="s">
        <v>849</v>
      </c>
      <c r="B1336" s="14" t="str">
        <f>VLOOKUP(O1336,'护理记录单文书字典(数据)'!B$4:C$99,2,0)</f>
        <v>4DCC68350CFAB2110B8C72B42CBC9602</v>
      </c>
      <c r="C1336" s="75" t="s">
        <v>4076</v>
      </c>
      <c r="D1336" s="84" t="s">
        <v>4135</v>
      </c>
      <c r="E1336" s="92">
        <v>38</v>
      </c>
      <c r="F1336" s="175" t="s">
        <v>4114</v>
      </c>
      <c r="G1336" s="84" t="s">
        <v>4173</v>
      </c>
      <c r="H1336" s="75"/>
      <c r="I1336" s="75"/>
      <c r="J1336" s="170" t="s">
        <v>162</v>
      </c>
      <c r="K1336" s="170" t="s">
        <v>509</v>
      </c>
      <c r="L1336" s="170" t="s">
        <v>535</v>
      </c>
      <c r="M1336" s="170" t="s">
        <v>509</v>
      </c>
      <c r="N1336" s="170" t="s">
        <v>535</v>
      </c>
      <c r="O1336" s="84" t="s">
        <v>4075</v>
      </c>
    </row>
    <row r="1337" spans="1:15">
      <c r="A1337" s="63" t="s">
        <v>849</v>
      </c>
      <c r="B1337" s="14" t="str">
        <f>VLOOKUP(O1337,'护理记录单文书字典(数据)'!B$4:C$99,2,0)</f>
        <v>4DCC68350CFAB2110B8C72B42CBC9602</v>
      </c>
      <c r="C1337" s="75" t="s">
        <v>4076</v>
      </c>
      <c r="D1337" s="84" t="s">
        <v>4135</v>
      </c>
      <c r="E1337" s="92">
        <v>39</v>
      </c>
      <c r="F1337" s="175" t="s">
        <v>4115</v>
      </c>
      <c r="G1337" s="84" t="s">
        <v>4174</v>
      </c>
      <c r="H1337" s="75"/>
      <c r="I1337" s="75"/>
      <c r="J1337" s="170" t="s">
        <v>162</v>
      </c>
      <c r="K1337" s="170" t="s">
        <v>509</v>
      </c>
      <c r="L1337" s="170" t="s">
        <v>535</v>
      </c>
      <c r="M1337" s="170" t="s">
        <v>509</v>
      </c>
      <c r="N1337" s="170" t="s">
        <v>535</v>
      </c>
      <c r="O1337" s="84" t="s">
        <v>4075</v>
      </c>
    </row>
    <row r="1338" spans="1:15">
      <c r="A1338" s="63" t="s">
        <v>849</v>
      </c>
      <c r="B1338" s="14" t="str">
        <f>VLOOKUP(O1338,'护理记录单文书字典(数据)'!B$4:C$99,2,0)</f>
        <v>4DCC68350CFAB2110B8C72B42CBC9602</v>
      </c>
      <c r="C1338" s="75" t="s">
        <v>4076</v>
      </c>
      <c r="D1338" s="84" t="s">
        <v>4135</v>
      </c>
      <c r="E1338" s="92">
        <v>40</v>
      </c>
      <c r="F1338" s="175" t="s">
        <v>4116</v>
      </c>
      <c r="G1338" s="84" t="s">
        <v>4175</v>
      </c>
      <c r="H1338" s="75"/>
      <c r="I1338" s="75"/>
      <c r="J1338" s="170" t="s">
        <v>162</v>
      </c>
      <c r="K1338" s="170" t="s">
        <v>509</v>
      </c>
      <c r="L1338" s="170" t="s">
        <v>535</v>
      </c>
      <c r="M1338" s="170" t="s">
        <v>509</v>
      </c>
      <c r="N1338" s="170" t="s">
        <v>535</v>
      </c>
      <c r="O1338" s="84" t="s">
        <v>4075</v>
      </c>
    </row>
    <row r="1339" spans="1:15">
      <c r="A1339" s="63" t="s">
        <v>849</v>
      </c>
      <c r="B1339" s="14" t="str">
        <f>VLOOKUP(O1339,'护理记录单文书字典(数据)'!B$4:C$99,2,0)</f>
        <v>4DCC68350CFAB2110B8C72B42CBC9602</v>
      </c>
      <c r="C1339" s="75" t="s">
        <v>4076</v>
      </c>
      <c r="D1339" s="84" t="s">
        <v>4135</v>
      </c>
      <c r="E1339" s="92">
        <v>41</v>
      </c>
      <c r="F1339" s="175" t="s">
        <v>4117</v>
      </c>
      <c r="G1339" s="84" t="s">
        <v>4176</v>
      </c>
      <c r="H1339" s="75"/>
      <c r="I1339" s="75"/>
      <c r="J1339" s="170" t="s">
        <v>162</v>
      </c>
      <c r="K1339" s="170" t="s">
        <v>509</v>
      </c>
      <c r="L1339" s="170" t="s">
        <v>535</v>
      </c>
      <c r="M1339" s="170" t="s">
        <v>509</v>
      </c>
      <c r="N1339" s="170" t="s">
        <v>535</v>
      </c>
      <c r="O1339" s="84" t="s">
        <v>4075</v>
      </c>
    </row>
    <row r="1340" spans="1:15">
      <c r="A1340" s="63" t="s">
        <v>849</v>
      </c>
      <c r="B1340" s="14" t="str">
        <f>VLOOKUP(O1340,'护理记录单文书字典(数据)'!B$4:C$99,2,0)</f>
        <v>4DCC68350CFAB2110B8C72B42CBC9602</v>
      </c>
      <c r="C1340" s="75" t="s">
        <v>4076</v>
      </c>
      <c r="D1340" s="84" t="s">
        <v>4135</v>
      </c>
      <c r="E1340" s="92">
        <v>42</v>
      </c>
      <c r="F1340" s="175" t="s">
        <v>4118</v>
      </c>
      <c r="G1340" s="84" t="s">
        <v>4177</v>
      </c>
      <c r="H1340" s="75"/>
      <c r="I1340" s="75"/>
      <c r="J1340" s="170" t="s">
        <v>162</v>
      </c>
      <c r="K1340" s="170" t="s">
        <v>509</v>
      </c>
      <c r="L1340" s="170" t="s">
        <v>535</v>
      </c>
      <c r="M1340" s="170" t="s">
        <v>509</v>
      </c>
      <c r="N1340" s="170" t="s">
        <v>535</v>
      </c>
      <c r="O1340" s="84" t="s">
        <v>4075</v>
      </c>
    </row>
    <row r="1341" spans="1:15">
      <c r="A1341" s="63" t="s">
        <v>849</v>
      </c>
      <c r="B1341" s="14" t="str">
        <f>VLOOKUP(O1341,'护理记录单文书字典(数据)'!B$4:C$99,2,0)</f>
        <v>4DCC68350CFAB2110B8C72B42CBC9602</v>
      </c>
      <c r="C1341" s="75" t="s">
        <v>4076</v>
      </c>
      <c r="D1341" s="84" t="s">
        <v>4135</v>
      </c>
      <c r="E1341" s="92">
        <v>43</v>
      </c>
      <c r="F1341" s="175" t="s">
        <v>4119</v>
      </c>
      <c r="G1341" s="84" t="s">
        <v>4178</v>
      </c>
      <c r="H1341" s="75"/>
      <c r="I1341" s="75"/>
      <c r="J1341" s="170" t="s">
        <v>162</v>
      </c>
      <c r="K1341" s="170" t="s">
        <v>509</v>
      </c>
      <c r="L1341" s="170" t="s">
        <v>535</v>
      </c>
      <c r="M1341" s="170" t="s">
        <v>509</v>
      </c>
      <c r="N1341" s="170" t="s">
        <v>535</v>
      </c>
      <c r="O1341" s="84" t="s">
        <v>4075</v>
      </c>
    </row>
    <row r="1342" spans="1:15">
      <c r="A1342" s="63" t="s">
        <v>849</v>
      </c>
      <c r="B1342" s="14" t="str">
        <f>VLOOKUP(O1342,'护理记录单文书字典(数据)'!B$4:C$99,2,0)</f>
        <v>4DCC68350CFAB2110B8C72B42CBC9602</v>
      </c>
      <c r="C1342" s="75" t="s">
        <v>4076</v>
      </c>
      <c r="D1342" s="84" t="s">
        <v>4135</v>
      </c>
      <c r="E1342" s="92">
        <v>44</v>
      </c>
      <c r="F1342" s="175" t="s">
        <v>4120</v>
      </c>
      <c r="G1342" s="84" t="s">
        <v>4179</v>
      </c>
      <c r="H1342" s="75"/>
      <c r="I1342" s="75"/>
      <c r="J1342" s="170" t="s">
        <v>162</v>
      </c>
      <c r="K1342" s="170" t="s">
        <v>509</v>
      </c>
      <c r="L1342" s="170" t="s">
        <v>535</v>
      </c>
      <c r="M1342" s="170" t="s">
        <v>509</v>
      </c>
      <c r="N1342" s="170" t="s">
        <v>535</v>
      </c>
      <c r="O1342" s="84" t="s">
        <v>4075</v>
      </c>
    </row>
    <row r="1343" spans="1:15">
      <c r="A1343" s="63" t="s">
        <v>849</v>
      </c>
      <c r="B1343" s="14" t="str">
        <f>VLOOKUP(O1343,'护理记录单文书字典(数据)'!B$4:C$99,2,0)</f>
        <v>4DCC68350CFAB2110B8C72B42CBC9602</v>
      </c>
      <c r="C1343" s="75" t="s">
        <v>4076</v>
      </c>
      <c r="D1343" s="84" t="s">
        <v>4135</v>
      </c>
      <c r="E1343" s="92">
        <v>45</v>
      </c>
      <c r="F1343" s="175" t="s">
        <v>4121</v>
      </c>
      <c r="G1343" s="84" t="s">
        <v>4180</v>
      </c>
      <c r="H1343" s="75"/>
      <c r="I1343" s="75"/>
      <c r="J1343" s="170" t="s">
        <v>162</v>
      </c>
      <c r="K1343" s="170" t="s">
        <v>509</v>
      </c>
      <c r="L1343" s="170" t="s">
        <v>535</v>
      </c>
      <c r="M1343" s="170" t="s">
        <v>509</v>
      </c>
      <c r="N1343" s="170" t="s">
        <v>535</v>
      </c>
      <c r="O1343" s="84" t="s">
        <v>4075</v>
      </c>
    </row>
    <row r="1344" spans="1:15">
      <c r="A1344" s="63" t="s">
        <v>849</v>
      </c>
      <c r="B1344" s="14" t="str">
        <f>VLOOKUP(O1344,'护理记录单文书字典(数据)'!B$4:C$99,2,0)</f>
        <v>4DCC68350CFAB2110B8C72B42CBC9602</v>
      </c>
      <c r="C1344" s="75" t="s">
        <v>4076</v>
      </c>
      <c r="D1344" s="84" t="s">
        <v>4135</v>
      </c>
      <c r="E1344" s="92">
        <v>46</v>
      </c>
      <c r="F1344" s="175" t="s">
        <v>4122</v>
      </c>
      <c r="G1344" s="84" t="s">
        <v>4181</v>
      </c>
      <c r="H1344" s="75"/>
      <c r="I1344" s="75"/>
      <c r="J1344" s="170" t="s">
        <v>162</v>
      </c>
      <c r="K1344" s="170" t="s">
        <v>509</v>
      </c>
      <c r="L1344" s="170" t="s">
        <v>535</v>
      </c>
      <c r="M1344" s="170" t="s">
        <v>509</v>
      </c>
      <c r="N1344" s="170" t="s">
        <v>535</v>
      </c>
      <c r="O1344" s="84" t="s">
        <v>4075</v>
      </c>
    </row>
    <row r="1345" spans="1:15">
      <c r="A1345" s="63" t="s">
        <v>849</v>
      </c>
      <c r="B1345" s="14" t="str">
        <f>VLOOKUP(O1345,'护理记录单文书字典(数据)'!B$4:C$99,2,0)</f>
        <v>4DCC68350CFAB2110B8C72B42CBC9602</v>
      </c>
      <c r="C1345" s="75" t="s">
        <v>4076</v>
      </c>
      <c r="D1345" s="84" t="s">
        <v>4135</v>
      </c>
      <c r="E1345" s="92">
        <v>47</v>
      </c>
      <c r="F1345" s="175" t="s">
        <v>4123</v>
      </c>
      <c r="G1345" s="84" t="s">
        <v>4182</v>
      </c>
      <c r="H1345" s="75"/>
      <c r="I1345" s="75"/>
      <c r="J1345" s="170" t="s">
        <v>162</v>
      </c>
      <c r="K1345" s="170" t="s">
        <v>509</v>
      </c>
      <c r="L1345" s="170" t="s">
        <v>535</v>
      </c>
      <c r="M1345" s="170" t="s">
        <v>509</v>
      </c>
      <c r="N1345" s="170" t="s">
        <v>535</v>
      </c>
      <c r="O1345" s="84" t="s">
        <v>4075</v>
      </c>
    </row>
    <row r="1346" spans="1:15">
      <c r="A1346" s="63" t="s">
        <v>849</v>
      </c>
      <c r="B1346" s="14" t="str">
        <f>VLOOKUP(O1346,'护理记录单文书字典(数据)'!B$4:C$99,2,0)</f>
        <v>4DCC68350CFAB2110B8C72B42CBC9602</v>
      </c>
      <c r="C1346" s="75" t="s">
        <v>4076</v>
      </c>
      <c r="D1346" s="84" t="s">
        <v>4135</v>
      </c>
      <c r="E1346" s="92">
        <v>48</v>
      </c>
      <c r="F1346" s="175" t="s">
        <v>4124</v>
      </c>
      <c r="G1346" s="84" t="s">
        <v>4183</v>
      </c>
      <c r="H1346" s="75"/>
      <c r="I1346" s="75"/>
      <c r="J1346" s="170" t="s">
        <v>162</v>
      </c>
      <c r="K1346" s="170" t="s">
        <v>509</v>
      </c>
      <c r="L1346" s="170" t="s">
        <v>535</v>
      </c>
      <c r="M1346" s="170" t="s">
        <v>509</v>
      </c>
      <c r="N1346" s="170" t="s">
        <v>535</v>
      </c>
      <c r="O1346" s="84" t="s">
        <v>4075</v>
      </c>
    </row>
    <row r="1347" spans="1:15">
      <c r="A1347" s="63" t="s">
        <v>849</v>
      </c>
      <c r="B1347" s="14" t="str">
        <f>VLOOKUP(O1347,'护理记录单文书字典(数据)'!B$4:C$99,2,0)</f>
        <v>4DCC68350CFAB2110B8C72B42CBC9602</v>
      </c>
      <c r="C1347" s="75" t="s">
        <v>4076</v>
      </c>
      <c r="D1347" s="84" t="s">
        <v>4135</v>
      </c>
      <c r="E1347" s="92">
        <v>49</v>
      </c>
      <c r="F1347" s="175" t="s">
        <v>4125</v>
      </c>
      <c r="G1347" s="84" t="s">
        <v>4184</v>
      </c>
      <c r="H1347" s="75"/>
      <c r="I1347" s="75"/>
      <c r="J1347" s="170" t="s">
        <v>162</v>
      </c>
      <c r="K1347" s="170" t="s">
        <v>509</v>
      </c>
      <c r="L1347" s="170" t="s">
        <v>535</v>
      </c>
      <c r="M1347" s="170" t="s">
        <v>509</v>
      </c>
      <c r="N1347" s="170" t="s">
        <v>535</v>
      </c>
      <c r="O1347" s="84" t="s">
        <v>4075</v>
      </c>
    </row>
    <row r="1348" spans="1:15">
      <c r="A1348" s="63" t="s">
        <v>849</v>
      </c>
      <c r="B1348" s="14" t="str">
        <f>VLOOKUP(O1348,'护理记录单文书字典(数据)'!B$4:C$99,2,0)</f>
        <v>4DCC68350CFAB2110B8C72B42CBC9602</v>
      </c>
      <c r="C1348" s="75" t="s">
        <v>4076</v>
      </c>
      <c r="D1348" s="84" t="s">
        <v>4135</v>
      </c>
      <c r="E1348" s="92">
        <v>50</v>
      </c>
      <c r="F1348" s="175" t="s">
        <v>4126</v>
      </c>
      <c r="G1348" s="84" t="s">
        <v>4185</v>
      </c>
      <c r="H1348" s="75"/>
      <c r="I1348" s="75"/>
      <c r="J1348" s="170" t="s">
        <v>162</v>
      </c>
      <c r="K1348" s="170" t="s">
        <v>509</v>
      </c>
      <c r="L1348" s="170" t="s">
        <v>535</v>
      </c>
      <c r="M1348" s="170" t="s">
        <v>509</v>
      </c>
      <c r="N1348" s="170" t="s">
        <v>535</v>
      </c>
      <c r="O1348" s="84" t="s">
        <v>4075</v>
      </c>
    </row>
    <row r="1349" spans="1:15">
      <c r="A1349" s="63" t="s">
        <v>849</v>
      </c>
      <c r="B1349" s="14" t="str">
        <f>VLOOKUP(O1349,'护理记录单文书字典(数据)'!B$4:C$99,2,0)</f>
        <v>4DCC68350CFAB2110B8C72B42CBC9602</v>
      </c>
      <c r="C1349" s="75" t="s">
        <v>4076</v>
      </c>
      <c r="D1349" s="84" t="s">
        <v>4135</v>
      </c>
      <c r="E1349" s="92">
        <v>51</v>
      </c>
      <c r="F1349" s="175" t="s">
        <v>4127</v>
      </c>
      <c r="G1349" s="84" t="s">
        <v>4186</v>
      </c>
      <c r="H1349" s="75"/>
      <c r="I1349" s="75"/>
      <c r="J1349" s="170" t="s">
        <v>162</v>
      </c>
      <c r="K1349" s="170" t="s">
        <v>509</v>
      </c>
      <c r="L1349" s="170" t="s">
        <v>535</v>
      </c>
      <c r="M1349" s="170" t="s">
        <v>509</v>
      </c>
      <c r="N1349" s="170" t="s">
        <v>535</v>
      </c>
      <c r="O1349" s="84" t="s">
        <v>4075</v>
      </c>
    </row>
    <row r="1350" spans="1:15">
      <c r="A1350" s="63" t="s">
        <v>849</v>
      </c>
      <c r="B1350" s="14" t="str">
        <f>VLOOKUP(O1350,'护理记录单文书字典(数据)'!B$4:C$99,2,0)</f>
        <v>4DCC68350CFAB2110B8C72B42CBC9602</v>
      </c>
      <c r="C1350" s="75" t="s">
        <v>4076</v>
      </c>
      <c r="D1350" s="84" t="s">
        <v>4135</v>
      </c>
      <c r="E1350" s="92">
        <v>52</v>
      </c>
      <c r="F1350" s="175" t="s">
        <v>4128</v>
      </c>
      <c r="G1350" s="84" t="s">
        <v>4187</v>
      </c>
      <c r="H1350" s="75"/>
      <c r="I1350" s="75"/>
      <c r="J1350" s="170" t="s">
        <v>162</v>
      </c>
      <c r="K1350" s="170" t="s">
        <v>509</v>
      </c>
      <c r="L1350" s="170" t="s">
        <v>535</v>
      </c>
      <c r="M1350" s="170" t="s">
        <v>509</v>
      </c>
      <c r="N1350" s="170" t="s">
        <v>535</v>
      </c>
      <c r="O1350" s="84" t="s">
        <v>4075</v>
      </c>
    </row>
    <row r="1351" spans="1:15">
      <c r="A1351" s="63" t="s">
        <v>849</v>
      </c>
      <c r="B1351" s="14" t="str">
        <f>VLOOKUP(O1351,'护理记录单文书字典(数据)'!B$4:C$99,2,0)</f>
        <v>4DCC68350CFAB2110B8C72B42CBC9602</v>
      </c>
      <c r="C1351" s="75" t="s">
        <v>4076</v>
      </c>
      <c r="D1351" s="84" t="s">
        <v>4135</v>
      </c>
      <c r="E1351" s="92">
        <v>53</v>
      </c>
      <c r="F1351" s="175" t="s">
        <v>4129</v>
      </c>
      <c r="G1351" s="84" t="s">
        <v>4188</v>
      </c>
      <c r="H1351" s="75"/>
      <c r="I1351" s="75"/>
      <c r="J1351" s="170" t="s">
        <v>162</v>
      </c>
      <c r="K1351" s="170" t="s">
        <v>509</v>
      </c>
      <c r="L1351" s="170" t="s">
        <v>535</v>
      </c>
      <c r="M1351" s="170" t="s">
        <v>509</v>
      </c>
      <c r="N1351" s="170" t="s">
        <v>535</v>
      </c>
      <c r="O1351" s="84" t="s">
        <v>4075</v>
      </c>
    </row>
    <row r="1352" spans="1:15">
      <c r="A1352" s="63" t="s">
        <v>849</v>
      </c>
      <c r="B1352" s="14" t="str">
        <f>VLOOKUP(O1352,'护理记录单文书字典(数据)'!B$4:C$99,2,0)</f>
        <v>4DCC68350CFAB2110B8C72B42CBC9602</v>
      </c>
      <c r="C1352" s="75" t="s">
        <v>4076</v>
      </c>
      <c r="D1352" s="84" t="s">
        <v>4135</v>
      </c>
      <c r="E1352" s="92">
        <v>54</v>
      </c>
      <c r="F1352" s="175" t="s">
        <v>4130</v>
      </c>
      <c r="G1352" s="84" t="s">
        <v>4189</v>
      </c>
      <c r="H1352" s="75"/>
      <c r="I1352" s="75"/>
      <c r="J1352" s="170" t="s">
        <v>162</v>
      </c>
      <c r="K1352" s="170" t="s">
        <v>509</v>
      </c>
      <c r="L1352" s="170" t="s">
        <v>535</v>
      </c>
      <c r="M1352" s="170" t="s">
        <v>509</v>
      </c>
      <c r="N1352" s="170" t="s">
        <v>535</v>
      </c>
      <c r="O1352" s="84" t="s">
        <v>4075</v>
      </c>
    </row>
    <row r="1353" spans="1:15">
      <c r="A1353" s="63" t="s">
        <v>849</v>
      </c>
      <c r="B1353" s="14" t="str">
        <f>VLOOKUP(O1353,'护理记录单文书字典(数据)'!B$4:C$99,2,0)</f>
        <v>4DCC68350CFAB2110B8C72B42CBC9602</v>
      </c>
      <c r="C1353" s="75" t="s">
        <v>4076</v>
      </c>
      <c r="D1353" s="84" t="s">
        <v>4135</v>
      </c>
      <c r="E1353" s="92">
        <v>55</v>
      </c>
      <c r="F1353" s="175" t="s">
        <v>4131</v>
      </c>
      <c r="G1353" s="84" t="s">
        <v>4190</v>
      </c>
      <c r="H1353" s="75"/>
      <c r="I1353" s="75"/>
      <c r="J1353" s="170" t="s">
        <v>162</v>
      </c>
      <c r="K1353" s="170" t="s">
        <v>509</v>
      </c>
      <c r="L1353" s="170" t="s">
        <v>535</v>
      </c>
      <c r="M1353" s="170" t="s">
        <v>509</v>
      </c>
      <c r="N1353" s="170" t="s">
        <v>535</v>
      </c>
      <c r="O1353" s="84" t="s">
        <v>4075</v>
      </c>
    </row>
    <row r="1354" spans="1:15">
      <c r="A1354" s="63" t="s">
        <v>849</v>
      </c>
      <c r="B1354" s="14" t="str">
        <f>VLOOKUP(O1354,'护理记录单文书字典(数据)'!B$4:C$99,2,0)</f>
        <v>4DCC68350CFAB2110B8C72B42CBC9602</v>
      </c>
      <c r="C1354" s="75" t="s">
        <v>4076</v>
      </c>
      <c r="D1354" s="84" t="s">
        <v>4135</v>
      </c>
      <c r="E1354" s="92">
        <v>56</v>
      </c>
      <c r="F1354" s="175" t="s">
        <v>4132</v>
      </c>
      <c r="G1354" s="84" t="s">
        <v>4191</v>
      </c>
      <c r="H1354" s="75"/>
      <c r="I1354" s="75"/>
      <c r="J1354" s="170" t="s">
        <v>162</v>
      </c>
      <c r="K1354" s="170" t="s">
        <v>509</v>
      </c>
      <c r="L1354" s="170" t="s">
        <v>535</v>
      </c>
      <c r="M1354" s="170" t="s">
        <v>509</v>
      </c>
      <c r="N1354" s="170" t="s">
        <v>535</v>
      </c>
      <c r="O1354" s="84" t="s">
        <v>4075</v>
      </c>
    </row>
    <row r="1355" spans="1:15">
      <c r="A1355" s="63" t="s">
        <v>849</v>
      </c>
      <c r="B1355" s="14" t="str">
        <f>VLOOKUP(O1355,'护理记录单文书字典(数据)'!B$4:C$99,2,0)</f>
        <v>4DCC68350CFAB2110B8C72B42CBC9602</v>
      </c>
      <c r="C1355" s="75" t="s">
        <v>4076</v>
      </c>
      <c r="D1355" s="84" t="s">
        <v>4135</v>
      </c>
      <c r="E1355" s="92">
        <v>57</v>
      </c>
      <c r="F1355" s="175" t="s">
        <v>4133</v>
      </c>
      <c r="G1355" s="84" t="s">
        <v>2584</v>
      </c>
      <c r="H1355" s="75"/>
      <c r="I1355" s="75"/>
      <c r="J1355" s="170" t="s">
        <v>162</v>
      </c>
      <c r="K1355" s="170" t="s">
        <v>509</v>
      </c>
      <c r="L1355" s="170" t="s">
        <v>535</v>
      </c>
      <c r="M1355" s="170" t="s">
        <v>509</v>
      </c>
      <c r="N1355" s="170" t="s">
        <v>535</v>
      </c>
      <c r="O1355" s="84" t="s">
        <v>4075</v>
      </c>
    </row>
    <row r="1356" spans="1:15">
      <c r="A1356" s="63" t="s">
        <v>849</v>
      </c>
      <c r="B1356" s="14" t="str">
        <f>VLOOKUP(O1356,'护理记录单文书字典(数据)'!B$4:C$99,2,0)</f>
        <v>4DCC68350CFAB2110B8C72B42CBC9602</v>
      </c>
      <c r="C1356" s="75" t="s">
        <v>4076</v>
      </c>
      <c r="D1356" s="84" t="s">
        <v>4135</v>
      </c>
      <c r="E1356" s="92">
        <v>58</v>
      </c>
      <c r="F1356" s="175" t="s">
        <v>4134</v>
      </c>
      <c r="G1356" s="84" t="s">
        <v>4192</v>
      </c>
      <c r="H1356" s="75"/>
      <c r="I1356" s="75"/>
      <c r="J1356" s="170" t="s">
        <v>162</v>
      </c>
      <c r="K1356" s="170" t="s">
        <v>509</v>
      </c>
      <c r="L1356" s="170" t="s">
        <v>535</v>
      </c>
      <c r="M1356" s="170" t="s">
        <v>509</v>
      </c>
      <c r="N1356" s="170" t="s">
        <v>535</v>
      </c>
      <c r="O1356" s="84" t="s">
        <v>4075</v>
      </c>
    </row>
    <row r="1357" spans="1:15">
      <c r="A1357" s="63"/>
      <c r="B1357" s="75"/>
      <c r="C1357" s="75"/>
      <c r="D1357" s="75"/>
      <c r="E1357" s="92"/>
      <c r="F1357" s="92"/>
      <c r="G1357" s="75"/>
      <c r="H1357" s="75"/>
      <c r="I1357" s="75"/>
      <c r="J1357" s="75"/>
      <c r="K1357" s="75"/>
      <c r="L1357" s="75"/>
      <c r="M1357" s="75"/>
      <c r="N1357" s="75"/>
      <c r="O1357" s="75"/>
    </row>
    <row r="1358" spans="1:15">
      <c r="A1358" s="63"/>
      <c r="B1358" s="75"/>
      <c r="C1358" s="75"/>
      <c r="D1358" s="75"/>
      <c r="E1358" s="92"/>
      <c r="F1358" s="92"/>
      <c r="G1358" s="75"/>
      <c r="H1358" s="75"/>
      <c r="I1358" s="75"/>
      <c r="J1358" s="75"/>
      <c r="K1358" s="75"/>
      <c r="L1358" s="75"/>
      <c r="M1358" s="75"/>
      <c r="N1358" s="75"/>
      <c r="O1358" s="75"/>
    </row>
    <row r="1359" spans="1:15">
      <c r="A1359" s="63"/>
      <c r="B1359" s="75"/>
      <c r="C1359" s="75"/>
      <c r="D1359" s="75"/>
      <c r="E1359" s="92"/>
      <c r="F1359" s="92"/>
      <c r="G1359" s="75"/>
      <c r="H1359" s="75"/>
      <c r="I1359" s="75"/>
      <c r="J1359" s="75"/>
      <c r="K1359" s="75"/>
      <c r="L1359" s="75"/>
      <c r="M1359" s="75"/>
      <c r="N1359" s="75"/>
      <c r="O1359" s="75"/>
    </row>
    <row r="1360" spans="1:15">
      <c r="A1360" s="63"/>
      <c r="B1360" s="75"/>
      <c r="C1360" s="75"/>
      <c r="D1360" s="75"/>
      <c r="E1360" s="92"/>
      <c r="F1360" s="92"/>
      <c r="G1360" s="75"/>
      <c r="H1360" s="75"/>
      <c r="I1360" s="75"/>
      <c r="J1360" s="75"/>
      <c r="K1360" s="75"/>
      <c r="L1360" s="75"/>
      <c r="M1360" s="75"/>
      <c r="N1360" s="75"/>
      <c r="O1360" s="75"/>
    </row>
    <row r="1361" spans="1:15">
      <c r="A1361" s="63"/>
      <c r="B1361" s="75"/>
      <c r="C1361" s="75"/>
      <c r="D1361" s="75"/>
      <c r="E1361" s="92"/>
      <c r="F1361" s="92"/>
      <c r="G1361" s="75"/>
      <c r="H1361" s="75"/>
      <c r="I1361" s="75"/>
      <c r="J1361" s="75"/>
      <c r="K1361" s="75"/>
      <c r="L1361" s="75"/>
      <c r="M1361" s="75"/>
      <c r="N1361" s="75"/>
      <c r="O1361" s="75"/>
    </row>
    <row r="1362" spans="1:15">
      <c r="A1362" s="63"/>
      <c r="B1362" s="75"/>
      <c r="C1362" s="75"/>
      <c r="D1362" s="75"/>
      <c r="E1362" s="92"/>
      <c r="F1362" s="92"/>
      <c r="G1362" s="75"/>
      <c r="H1362" s="75"/>
      <c r="I1362" s="75"/>
      <c r="J1362" s="75"/>
      <c r="K1362" s="75"/>
      <c r="L1362" s="75"/>
      <c r="M1362" s="75"/>
      <c r="N1362" s="75"/>
      <c r="O1362" s="75"/>
    </row>
    <row r="1363" spans="1:15">
      <c r="A1363" s="63"/>
      <c r="B1363" s="75"/>
      <c r="C1363" s="75"/>
      <c r="D1363" s="75"/>
      <c r="E1363" s="92"/>
      <c r="F1363" s="92"/>
      <c r="G1363" s="75"/>
      <c r="H1363" s="75"/>
      <c r="I1363" s="75"/>
      <c r="J1363" s="75"/>
      <c r="K1363" s="75"/>
      <c r="L1363" s="75"/>
      <c r="M1363" s="75"/>
      <c r="N1363" s="75"/>
      <c r="O1363" s="75"/>
    </row>
    <row r="1364" spans="1:15">
      <c r="A1364" s="63"/>
      <c r="B1364" s="75"/>
      <c r="C1364" s="75"/>
      <c r="D1364" s="75"/>
      <c r="E1364" s="92"/>
      <c r="F1364" s="92"/>
      <c r="G1364" s="75"/>
      <c r="H1364" s="75"/>
      <c r="I1364" s="75"/>
      <c r="J1364" s="75"/>
      <c r="K1364" s="75"/>
      <c r="L1364" s="75"/>
      <c r="M1364" s="75"/>
      <c r="N1364" s="75"/>
      <c r="O1364" s="75"/>
    </row>
    <row r="1365" spans="1:15">
      <c r="A1365" s="63"/>
      <c r="B1365" s="75"/>
      <c r="C1365" s="75"/>
      <c r="D1365" s="75"/>
      <c r="E1365" s="92"/>
      <c r="F1365" s="92"/>
      <c r="G1365" s="75"/>
      <c r="H1365" s="75"/>
      <c r="I1365" s="75"/>
      <c r="J1365" s="75"/>
      <c r="K1365" s="75"/>
      <c r="L1365" s="75"/>
      <c r="M1365" s="75"/>
      <c r="N1365" s="75"/>
      <c r="O1365" s="75"/>
    </row>
    <row r="1366" spans="1:15">
      <c r="A1366" s="63"/>
      <c r="B1366" s="75"/>
      <c r="C1366" s="75"/>
      <c r="D1366" s="75"/>
      <c r="E1366" s="92"/>
      <c r="F1366" s="92"/>
      <c r="G1366" s="75"/>
      <c r="H1366" s="75"/>
      <c r="I1366" s="75"/>
      <c r="J1366" s="75"/>
      <c r="K1366" s="75"/>
      <c r="L1366" s="75"/>
      <c r="M1366" s="75"/>
      <c r="N1366" s="75"/>
      <c r="O1366" s="75"/>
    </row>
    <row r="1367" spans="1:15">
      <c r="A1367" s="63"/>
      <c r="B1367" s="75"/>
      <c r="C1367" s="75"/>
      <c r="D1367" s="75"/>
      <c r="E1367" s="92"/>
      <c r="F1367" s="92"/>
      <c r="G1367" s="75"/>
      <c r="H1367" s="75"/>
      <c r="I1367" s="75"/>
      <c r="J1367" s="75"/>
      <c r="K1367" s="75"/>
      <c r="L1367" s="75"/>
      <c r="M1367" s="75"/>
      <c r="N1367" s="75"/>
      <c r="O1367" s="75"/>
    </row>
    <row r="1368" spans="1:15">
      <c r="A1368" s="63"/>
      <c r="B1368" s="75"/>
      <c r="C1368" s="75"/>
      <c r="D1368" s="75"/>
      <c r="E1368" s="92"/>
      <c r="F1368" s="92"/>
      <c r="G1368" s="75"/>
      <c r="H1368" s="75"/>
      <c r="I1368" s="75"/>
      <c r="J1368" s="75"/>
      <c r="K1368" s="75"/>
      <c r="L1368" s="75"/>
      <c r="M1368" s="75"/>
      <c r="N1368" s="75"/>
      <c r="O1368" s="75"/>
    </row>
    <row r="1369" spans="1:15">
      <c r="A1369" s="63"/>
      <c r="B1369" s="75"/>
      <c r="C1369" s="75"/>
      <c r="D1369" s="75"/>
      <c r="E1369" s="92"/>
      <c r="F1369" s="92"/>
      <c r="G1369" s="75"/>
      <c r="H1369" s="75"/>
      <c r="I1369" s="75"/>
      <c r="J1369" s="75"/>
      <c r="K1369" s="75"/>
      <c r="L1369" s="75"/>
      <c r="M1369" s="75"/>
      <c r="N1369" s="75"/>
      <c r="O1369" s="75"/>
    </row>
    <row r="1370" spans="1:15">
      <c r="A1370" s="63"/>
      <c r="B1370" s="75"/>
      <c r="C1370" s="75"/>
      <c r="D1370" s="75"/>
      <c r="E1370" s="92"/>
      <c r="F1370" s="92"/>
      <c r="G1370" s="75"/>
      <c r="H1370" s="75"/>
      <c r="I1370" s="75"/>
      <c r="J1370" s="75"/>
      <c r="K1370" s="75"/>
      <c r="L1370" s="75"/>
      <c r="M1370" s="75"/>
      <c r="N1370" s="75"/>
      <c r="O1370" s="75"/>
    </row>
    <row r="1371" spans="1:15">
      <c r="A1371" s="63"/>
      <c r="B1371" s="75"/>
      <c r="C1371" s="75"/>
      <c r="D1371" s="75"/>
      <c r="E1371" s="92"/>
      <c r="F1371" s="92"/>
      <c r="G1371" s="75"/>
      <c r="H1371" s="75"/>
      <c r="I1371" s="75"/>
      <c r="J1371" s="75"/>
      <c r="K1371" s="75"/>
      <c r="L1371" s="75"/>
      <c r="M1371" s="75"/>
      <c r="N1371" s="75"/>
      <c r="O1371" s="75"/>
    </row>
    <row r="1372" spans="1:15">
      <c r="A1372" s="63"/>
      <c r="B1372" s="75"/>
      <c r="C1372" s="75"/>
      <c r="D1372" s="75"/>
      <c r="E1372" s="92"/>
      <c r="F1372" s="92"/>
      <c r="G1372" s="75"/>
      <c r="H1372" s="75"/>
      <c r="I1372" s="75"/>
      <c r="J1372" s="75"/>
      <c r="K1372" s="75"/>
      <c r="L1372" s="75"/>
      <c r="M1372" s="75"/>
      <c r="N1372" s="75"/>
      <c r="O1372" s="75"/>
    </row>
    <row r="1373" spans="1:15">
      <c r="A1373" s="63"/>
      <c r="B1373" s="75"/>
      <c r="C1373" s="75"/>
      <c r="D1373" s="75"/>
      <c r="E1373" s="92"/>
      <c r="F1373" s="92"/>
      <c r="G1373" s="75"/>
      <c r="H1373" s="75"/>
      <c r="I1373" s="75"/>
      <c r="J1373" s="75"/>
      <c r="K1373" s="75"/>
      <c r="L1373" s="75"/>
      <c r="M1373" s="75"/>
      <c r="N1373" s="75"/>
      <c r="O1373" s="75"/>
    </row>
    <row r="1374" spans="1:15">
      <c r="A1374" s="63"/>
      <c r="B1374" s="75"/>
      <c r="C1374" s="75"/>
      <c r="D1374" s="75"/>
      <c r="E1374" s="92"/>
      <c r="F1374" s="92"/>
      <c r="G1374" s="75"/>
      <c r="H1374" s="75"/>
      <c r="I1374" s="75"/>
      <c r="J1374" s="75"/>
      <c r="K1374" s="75"/>
      <c r="L1374" s="75"/>
      <c r="M1374" s="75"/>
      <c r="N1374" s="75"/>
      <c r="O1374" s="75"/>
    </row>
    <row r="1375" spans="1:15">
      <c r="A1375" s="63"/>
      <c r="B1375" s="75"/>
      <c r="C1375" s="75"/>
      <c r="D1375" s="75"/>
      <c r="E1375" s="92"/>
      <c r="F1375" s="92"/>
      <c r="G1375" s="75"/>
      <c r="H1375" s="75"/>
      <c r="I1375" s="75"/>
      <c r="J1375" s="75"/>
      <c r="K1375" s="75"/>
      <c r="L1375" s="75"/>
      <c r="M1375" s="75"/>
      <c r="N1375" s="75"/>
      <c r="O1375" s="75"/>
    </row>
    <row r="1376" spans="1:15">
      <c r="A1376" s="63"/>
      <c r="B1376" s="75"/>
      <c r="C1376" s="75"/>
      <c r="D1376" s="75"/>
      <c r="E1376" s="92"/>
      <c r="F1376" s="92"/>
      <c r="G1376" s="75"/>
      <c r="H1376" s="75"/>
      <c r="I1376" s="75"/>
      <c r="J1376" s="75"/>
      <c r="K1376" s="75"/>
      <c r="L1376" s="75"/>
      <c r="M1376" s="75"/>
      <c r="N1376" s="75"/>
      <c r="O1376" s="75"/>
    </row>
    <row r="1377" spans="1:15">
      <c r="A1377" s="63"/>
      <c r="B1377" s="75"/>
      <c r="C1377" s="75"/>
      <c r="D1377" s="75"/>
      <c r="E1377" s="92"/>
      <c r="F1377" s="92"/>
      <c r="G1377" s="75"/>
      <c r="H1377" s="75"/>
      <c r="I1377" s="75"/>
      <c r="J1377" s="75"/>
      <c r="K1377" s="75"/>
      <c r="L1377" s="75"/>
      <c r="M1377" s="75"/>
      <c r="N1377" s="75"/>
      <c r="O1377" s="75"/>
    </row>
    <row r="1378" spans="1:15">
      <c r="A1378" s="63"/>
      <c r="B1378" s="75"/>
      <c r="C1378" s="75"/>
      <c r="D1378" s="75"/>
      <c r="E1378" s="92"/>
      <c r="F1378" s="92"/>
      <c r="G1378" s="75"/>
      <c r="H1378" s="75"/>
      <c r="I1378" s="75"/>
      <c r="J1378" s="75"/>
      <c r="K1378" s="75"/>
      <c r="L1378" s="75"/>
      <c r="M1378" s="75"/>
      <c r="N1378" s="75"/>
      <c r="O1378" s="75"/>
    </row>
    <row r="1379" spans="1:15">
      <c r="A1379" s="63"/>
      <c r="B1379" s="75"/>
      <c r="C1379" s="75"/>
      <c r="D1379" s="75"/>
      <c r="E1379" s="92"/>
      <c r="F1379" s="92"/>
      <c r="G1379" s="75"/>
      <c r="H1379" s="75"/>
      <c r="I1379" s="75"/>
      <c r="J1379" s="75"/>
      <c r="K1379" s="75"/>
      <c r="L1379" s="75"/>
      <c r="M1379" s="75"/>
      <c r="N1379" s="75"/>
      <c r="O1379" s="75"/>
    </row>
    <row r="1380" spans="1:15">
      <c r="A1380" s="63"/>
      <c r="B1380" s="75"/>
      <c r="C1380" s="75"/>
      <c r="D1380" s="75"/>
      <c r="E1380" s="92"/>
      <c r="F1380" s="92"/>
      <c r="G1380" s="75"/>
      <c r="H1380" s="75"/>
      <c r="I1380" s="75"/>
      <c r="J1380" s="75"/>
      <c r="K1380" s="75"/>
      <c r="L1380" s="75"/>
      <c r="M1380" s="75"/>
      <c r="N1380" s="75"/>
      <c r="O1380" s="75"/>
    </row>
    <row r="1381" spans="1:15">
      <c r="A1381" s="63"/>
      <c r="B1381" s="75"/>
      <c r="C1381" s="75"/>
      <c r="D1381" s="75"/>
      <c r="E1381" s="92"/>
      <c r="F1381" s="92"/>
      <c r="G1381" s="75"/>
      <c r="H1381" s="75"/>
      <c r="I1381" s="75"/>
      <c r="J1381" s="75"/>
      <c r="K1381" s="75"/>
      <c r="L1381" s="75"/>
      <c r="M1381" s="75"/>
      <c r="N1381" s="75"/>
      <c r="O1381" s="75"/>
    </row>
    <row r="1382" spans="1:15">
      <c r="A1382" s="63"/>
      <c r="B1382" s="75"/>
      <c r="C1382" s="75"/>
      <c r="D1382" s="75"/>
      <c r="E1382" s="92"/>
      <c r="F1382" s="92"/>
      <c r="G1382" s="75"/>
      <c r="H1382" s="75"/>
      <c r="I1382" s="75"/>
      <c r="J1382" s="75"/>
      <c r="K1382" s="75"/>
      <c r="L1382" s="75"/>
      <c r="M1382" s="75"/>
      <c r="N1382" s="75"/>
      <c r="O1382" s="75"/>
    </row>
    <row r="1383" spans="1:15">
      <c r="A1383" s="63"/>
      <c r="B1383" s="75"/>
      <c r="C1383" s="75"/>
      <c r="D1383" s="75"/>
      <c r="E1383" s="92"/>
      <c r="F1383" s="92"/>
      <c r="G1383" s="75"/>
      <c r="H1383" s="75"/>
      <c r="I1383" s="75"/>
      <c r="J1383" s="75"/>
      <c r="K1383" s="75"/>
      <c r="L1383" s="75"/>
      <c r="M1383" s="75"/>
      <c r="N1383" s="75"/>
      <c r="O1383" s="75"/>
    </row>
    <row r="1384" spans="1:15">
      <c r="A1384" s="63"/>
      <c r="B1384" s="75"/>
      <c r="C1384" s="75"/>
      <c r="D1384" s="75"/>
      <c r="E1384" s="92"/>
      <c r="F1384" s="92"/>
      <c r="G1384" s="75"/>
      <c r="H1384" s="75"/>
      <c r="I1384" s="75"/>
      <c r="J1384" s="75"/>
      <c r="K1384" s="75"/>
      <c r="L1384" s="75"/>
      <c r="M1384" s="75"/>
      <c r="N1384" s="75"/>
      <c r="O1384" s="75"/>
    </row>
    <row r="1385" spans="1:15">
      <c r="A1385" s="63"/>
      <c r="B1385" s="75"/>
      <c r="C1385" s="75"/>
      <c r="D1385" s="75"/>
      <c r="E1385" s="92"/>
      <c r="F1385" s="92"/>
      <c r="G1385" s="75"/>
      <c r="H1385" s="75"/>
      <c r="I1385" s="75"/>
      <c r="J1385" s="75"/>
      <c r="K1385" s="75"/>
      <c r="L1385" s="75"/>
      <c r="M1385" s="75"/>
      <c r="N1385" s="75"/>
      <c r="O1385" s="75"/>
    </row>
    <row r="1386" spans="1:15">
      <c r="A1386" s="63"/>
      <c r="B1386" s="75"/>
      <c r="C1386" s="75"/>
      <c r="D1386" s="75"/>
      <c r="E1386" s="92"/>
      <c r="F1386" s="92"/>
      <c r="G1386" s="75"/>
      <c r="H1386" s="75"/>
      <c r="I1386" s="75"/>
      <c r="J1386" s="75"/>
      <c r="K1386" s="75"/>
      <c r="L1386" s="75"/>
      <c r="M1386" s="75"/>
      <c r="N1386" s="75"/>
      <c r="O1386" s="75"/>
    </row>
    <row r="1387" spans="1:15">
      <c r="A1387" s="63"/>
      <c r="B1387" s="75"/>
      <c r="C1387" s="75"/>
      <c r="D1387" s="75"/>
      <c r="E1387" s="92"/>
      <c r="F1387" s="92"/>
      <c r="G1387" s="75"/>
      <c r="H1387" s="75"/>
      <c r="I1387" s="75"/>
      <c r="J1387" s="75"/>
      <c r="K1387" s="75"/>
      <c r="L1387" s="75"/>
      <c r="M1387" s="75"/>
      <c r="N1387" s="75"/>
      <c r="O1387" s="75"/>
    </row>
    <row r="1388" spans="1:15">
      <c r="A1388" s="63"/>
      <c r="B1388" s="75"/>
      <c r="C1388" s="75"/>
      <c r="D1388" s="75"/>
      <c r="E1388" s="92"/>
      <c r="F1388" s="92"/>
      <c r="G1388" s="75"/>
      <c r="H1388" s="75"/>
      <c r="I1388" s="75"/>
      <c r="J1388" s="75"/>
      <c r="K1388" s="75"/>
      <c r="L1388" s="75"/>
      <c r="M1388" s="75"/>
      <c r="N1388" s="75"/>
      <c r="O1388" s="75"/>
    </row>
    <row r="1389" spans="1:15">
      <c r="A1389" s="63"/>
      <c r="B1389" s="75"/>
      <c r="C1389" s="75"/>
      <c r="D1389" s="75"/>
      <c r="E1389" s="92"/>
      <c r="F1389" s="92"/>
      <c r="G1389" s="75"/>
      <c r="H1389" s="75"/>
      <c r="I1389" s="75"/>
      <c r="J1389" s="75"/>
      <c r="K1389" s="75"/>
      <c r="L1389" s="75"/>
      <c r="M1389" s="75"/>
      <c r="N1389" s="75"/>
      <c r="O1389" s="75"/>
    </row>
    <row r="1390" spans="1:15">
      <c r="A1390" s="63"/>
      <c r="B1390" s="75"/>
      <c r="C1390" s="75"/>
      <c r="D1390" s="75"/>
      <c r="E1390" s="92"/>
      <c r="F1390" s="92"/>
      <c r="G1390" s="75"/>
      <c r="H1390" s="75"/>
      <c r="I1390" s="75"/>
      <c r="J1390" s="75"/>
      <c r="K1390" s="75"/>
      <c r="L1390" s="75"/>
      <c r="M1390" s="75"/>
      <c r="N1390" s="75"/>
      <c r="O1390" s="75"/>
    </row>
    <row r="1391" spans="1:15">
      <c r="A1391" s="63"/>
      <c r="B1391" s="75"/>
      <c r="C1391" s="75"/>
      <c r="D1391" s="75"/>
      <c r="E1391" s="92"/>
      <c r="F1391" s="92"/>
      <c r="G1391" s="75"/>
      <c r="H1391" s="75"/>
      <c r="I1391" s="75"/>
      <c r="J1391" s="75"/>
      <c r="K1391" s="75"/>
      <c r="L1391" s="75"/>
      <c r="M1391" s="75"/>
      <c r="N1391" s="75"/>
      <c r="O1391" s="75"/>
    </row>
    <row r="1392" spans="1:15">
      <c r="A1392" s="63"/>
      <c r="B1392" s="75"/>
      <c r="C1392" s="75"/>
      <c r="D1392" s="75"/>
      <c r="E1392" s="92"/>
      <c r="F1392" s="92"/>
      <c r="G1392" s="75"/>
      <c r="H1392" s="75"/>
      <c r="I1392" s="75"/>
      <c r="J1392" s="75"/>
      <c r="K1392" s="75"/>
      <c r="L1392" s="75"/>
      <c r="M1392" s="75"/>
      <c r="N1392" s="75"/>
      <c r="O1392" s="75"/>
    </row>
    <row r="1393" spans="1:15">
      <c r="A1393" s="63"/>
      <c r="B1393" s="75"/>
      <c r="C1393" s="75"/>
      <c r="D1393" s="75"/>
      <c r="E1393" s="92"/>
      <c r="F1393" s="92"/>
      <c r="G1393" s="75"/>
      <c r="H1393" s="75"/>
      <c r="I1393" s="75"/>
      <c r="J1393" s="75"/>
      <c r="K1393" s="75"/>
      <c r="L1393" s="75"/>
      <c r="M1393" s="75"/>
      <c r="N1393" s="75"/>
      <c r="O1393" s="75"/>
    </row>
    <row r="1394" spans="1:15">
      <c r="A1394" s="63"/>
      <c r="B1394" s="75"/>
      <c r="C1394" s="75"/>
      <c r="D1394" s="75"/>
      <c r="E1394" s="92"/>
      <c r="F1394" s="92"/>
      <c r="G1394" s="75"/>
      <c r="H1394" s="75"/>
      <c r="I1394" s="75"/>
      <c r="J1394" s="75"/>
      <c r="K1394" s="75"/>
      <c r="L1394" s="75"/>
      <c r="M1394" s="75"/>
      <c r="N1394" s="75"/>
      <c r="O1394" s="75"/>
    </row>
    <row r="1395" spans="1:15">
      <c r="A1395" s="63"/>
      <c r="B1395" s="75"/>
      <c r="C1395" s="75"/>
      <c r="D1395" s="75"/>
      <c r="E1395" s="92"/>
      <c r="F1395" s="92"/>
      <c r="G1395" s="75"/>
      <c r="H1395" s="75"/>
      <c r="I1395" s="75"/>
      <c r="J1395" s="75"/>
      <c r="K1395" s="75"/>
      <c r="L1395" s="75"/>
      <c r="M1395" s="75"/>
      <c r="N1395" s="75"/>
      <c r="O1395" s="75"/>
    </row>
    <row r="1396" spans="1:15">
      <c r="A1396" s="63"/>
      <c r="B1396" s="75"/>
      <c r="C1396" s="75"/>
      <c r="D1396" s="75"/>
      <c r="E1396" s="92"/>
      <c r="F1396" s="92"/>
      <c r="G1396" s="75"/>
      <c r="H1396" s="75"/>
      <c r="I1396" s="75"/>
      <c r="J1396" s="75"/>
      <c r="K1396" s="75"/>
      <c r="L1396" s="75"/>
      <c r="M1396" s="75"/>
      <c r="N1396" s="75"/>
      <c r="O1396" s="75"/>
    </row>
    <row r="1397" spans="1:15">
      <c r="A1397" s="63"/>
      <c r="B1397" s="75"/>
      <c r="C1397" s="75"/>
      <c r="D1397" s="75"/>
      <c r="E1397" s="92"/>
      <c r="F1397" s="92"/>
      <c r="G1397" s="75"/>
      <c r="H1397" s="75"/>
      <c r="I1397" s="75"/>
      <c r="J1397" s="75"/>
      <c r="K1397" s="75"/>
      <c r="L1397" s="75"/>
      <c r="M1397" s="75"/>
      <c r="N1397" s="75"/>
      <c r="O1397" s="75"/>
    </row>
    <row r="1398" spans="1:15">
      <c r="A1398" s="63"/>
      <c r="B1398" s="75"/>
      <c r="C1398" s="75"/>
      <c r="D1398" s="75"/>
      <c r="E1398" s="92"/>
      <c r="F1398" s="92"/>
      <c r="G1398" s="75"/>
      <c r="H1398" s="75"/>
      <c r="I1398" s="75"/>
      <c r="J1398" s="75"/>
      <c r="K1398" s="75"/>
      <c r="L1398" s="75"/>
      <c r="M1398" s="75"/>
      <c r="N1398" s="75"/>
      <c r="O1398" s="75"/>
    </row>
    <row r="1399" spans="1:15">
      <c r="A1399" s="63"/>
      <c r="B1399" s="75"/>
      <c r="C1399" s="75"/>
      <c r="D1399" s="75"/>
      <c r="E1399" s="92"/>
      <c r="F1399" s="92"/>
      <c r="G1399" s="75"/>
      <c r="H1399" s="75"/>
      <c r="I1399" s="75"/>
      <c r="J1399" s="75"/>
      <c r="K1399" s="75"/>
      <c r="L1399" s="75"/>
      <c r="M1399" s="75"/>
      <c r="N1399" s="75"/>
      <c r="O1399" s="75"/>
    </row>
    <row r="1400" spans="1:15">
      <c r="A1400" s="63"/>
      <c r="B1400" s="75"/>
      <c r="C1400" s="75"/>
      <c r="D1400" s="75"/>
      <c r="E1400" s="92"/>
      <c r="F1400" s="92"/>
      <c r="G1400" s="75"/>
      <c r="H1400" s="75"/>
      <c r="I1400" s="75"/>
      <c r="J1400" s="75"/>
      <c r="K1400" s="75"/>
      <c r="L1400" s="75"/>
      <c r="M1400" s="75"/>
      <c r="N1400" s="75"/>
      <c r="O1400" s="75"/>
    </row>
    <row r="1401" spans="1:15">
      <c r="A1401" s="63"/>
      <c r="B1401" s="75"/>
      <c r="C1401" s="75"/>
      <c r="D1401" s="75"/>
      <c r="E1401" s="92"/>
      <c r="F1401" s="92"/>
      <c r="G1401" s="75"/>
      <c r="H1401" s="75"/>
      <c r="I1401" s="75"/>
      <c r="J1401" s="75"/>
      <c r="K1401" s="75"/>
      <c r="L1401" s="75"/>
      <c r="M1401" s="75"/>
      <c r="N1401" s="75"/>
      <c r="O1401" s="75"/>
    </row>
    <row r="1402" spans="1:15">
      <c r="A1402" s="63"/>
      <c r="B1402" s="75"/>
      <c r="C1402" s="75"/>
      <c r="D1402" s="75"/>
      <c r="E1402" s="92"/>
      <c r="F1402" s="92"/>
      <c r="G1402" s="75"/>
      <c r="H1402" s="75"/>
      <c r="I1402" s="75"/>
      <c r="J1402" s="75"/>
      <c r="K1402" s="75"/>
      <c r="L1402" s="75"/>
      <c r="M1402" s="75"/>
      <c r="N1402" s="75"/>
      <c r="O1402" s="75"/>
    </row>
    <row r="1403" spans="1:15">
      <c r="A1403" s="63"/>
      <c r="B1403" s="75"/>
      <c r="C1403" s="75"/>
      <c r="D1403" s="75"/>
      <c r="E1403" s="92"/>
      <c r="F1403" s="92"/>
      <c r="G1403" s="75"/>
      <c r="H1403" s="75"/>
      <c r="I1403" s="75"/>
      <c r="J1403" s="75"/>
      <c r="K1403" s="75"/>
      <c r="L1403" s="75"/>
      <c r="M1403" s="75"/>
      <c r="N1403" s="75"/>
      <c r="O1403" s="75"/>
    </row>
    <row r="1404" spans="1:15">
      <c r="A1404" s="63"/>
      <c r="B1404" s="75"/>
      <c r="C1404" s="75"/>
      <c r="D1404" s="75"/>
      <c r="E1404" s="92"/>
      <c r="F1404" s="92"/>
      <c r="G1404" s="75"/>
      <c r="H1404" s="75"/>
      <c r="I1404" s="75"/>
      <c r="J1404" s="75"/>
      <c r="K1404" s="75"/>
      <c r="L1404" s="75"/>
      <c r="M1404" s="75"/>
      <c r="N1404" s="75"/>
      <c r="O1404" s="75"/>
    </row>
    <row r="1405" spans="1:15">
      <c r="A1405" s="63"/>
      <c r="B1405" s="75"/>
      <c r="C1405" s="75"/>
      <c r="D1405" s="75"/>
      <c r="E1405" s="92"/>
      <c r="F1405" s="92"/>
      <c r="G1405" s="75"/>
      <c r="H1405" s="75"/>
      <c r="I1405" s="75"/>
      <c r="J1405" s="75"/>
      <c r="K1405" s="75"/>
      <c r="L1405" s="75"/>
      <c r="M1405" s="75"/>
      <c r="N1405" s="75"/>
      <c r="O1405" s="75"/>
    </row>
    <row r="1406" spans="1:15">
      <c r="A1406" s="63"/>
      <c r="B1406" s="75"/>
      <c r="C1406" s="75"/>
      <c r="D1406" s="75"/>
      <c r="E1406" s="92"/>
      <c r="F1406" s="92"/>
      <c r="G1406" s="75"/>
      <c r="H1406" s="75"/>
      <c r="I1406" s="75"/>
      <c r="J1406" s="75"/>
      <c r="K1406" s="75"/>
      <c r="L1406" s="75"/>
      <c r="M1406" s="75"/>
      <c r="N1406" s="75"/>
      <c r="O1406" s="75"/>
    </row>
    <row r="1407" spans="1:15">
      <c r="A1407" s="63"/>
      <c r="B1407" s="75"/>
      <c r="C1407" s="75"/>
      <c r="D1407" s="75"/>
      <c r="E1407" s="92"/>
      <c r="F1407" s="92"/>
      <c r="G1407" s="75"/>
      <c r="H1407" s="75"/>
      <c r="I1407" s="75"/>
      <c r="J1407" s="75"/>
      <c r="K1407" s="75"/>
      <c r="L1407" s="75"/>
      <c r="M1407" s="75"/>
      <c r="N1407" s="75"/>
      <c r="O1407" s="75"/>
    </row>
    <row r="1408" spans="1:15">
      <c r="A1408" s="63"/>
      <c r="B1408" s="75"/>
      <c r="C1408" s="75"/>
      <c r="D1408" s="75"/>
      <c r="E1408" s="92"/>
      <c r="F1408" s="92"/>
      <c r="G1408" s="75"/>
      <c r="H1408" s="75"/>
      <c r="I1408" s="75"/>
      <c r="J1408" s="75"/>
      <c r="K1408" s="75"/>
      <c r="L1408" s="75"/>
      <c r="M1408" s="75"/>
      <c r="N1408" s="75"/>
      <c r="O1408" s="75"/>
    </row>
    <row r="1409" spans="1:15">
      <c r="A1409" s="63"/>
      <c r="B1409" s="75"/>
      <c r="C1409" s="75"/>
      <c r="D1409" s="75"/>
      <c r="E1409" s="92"/>
      <c r="F1409" s="92"/>
      <c r="G1409" s="75"/>
      <c r="H1409" s="75"/>
      <c r="I1409" s="75"/>
      <c r="J1409" s="75"/>
      <c r="K1409" s="75"/>
      <c r="L1409" s="75"/>
      <c r="M1409" s="75"/>
      <c r="N1409" s="75"/>
      <c r="O1409" s="75"/>
    </row>
    <row r="1410" spans="1:15">
      <c r="A1410" s="63"/>
      <c r="B1410" s="75"/>
      <c r="C1410" s="75"/>
      <c r="D1410" s="75"/>
      <c r="E1410" s="92"/>
      <c r="F1410" s="92"/>
      <c r="G1410" s="75"/>
      <c r="H1410" s="75"/>
      <c r="I1410" s="75"/>
      <c r="J1410" s="75"/>
      <c r="K1410" s="75"/>
      <c r="L1410" s="75"/>
      <c r="M1410" s="75"/>
      <c r="N1410" s="75"/>
      <c r="O1410" s="75"/>
    </row>
    <row r="1411" spans="1:15">
      <c r="A1411" s="63"/>
      <c r="B1411" s="75"/>
      <c r="C1411" s="75"/>
      <c r="D1411" s="75"/>
      <c r="E1411" s="92"/>
      <c r="F1411" s="92"/>
      <c r="G1411" s="75"/>
      <c r="H1411" s="75"/>
      <c r="I1411" s="75"/>
      <c r="J1411" s="75"/>
      <c r="K1411" s="75"/>
      <c r="L1411" s="75"/>
      <c r="M1411" s="75"/>
      <c r="N1411" s="75"/>
      <c r="O1411" s="75"/>
    </row>
    <row r="1412" spans="1:15">
      <c r="A1412" s="63"/>
      <c r="B1412" s="75"/>
      <c r="C1412" s="75"/>
      <c r="D1412" s="75"/>
      <c r="E1412" s="92"/>
      <c r="F1412" s="92"/>
      <c r="G1412" s="75"/>
      <c r="H1412" s="75"/>
      <c r="I1412" s="75"/>
      <c r="J1412" s="75"/>
      <c r="K1412" s="75"/>
      <c r="L1412" s="75"/>
      <c r="M1412" s="75"/>
      <c r="N1412" s="75"/>
      <c r="O1412" s="75"/>
    </row>
    <row r="1413" spans="1:15">
      <c r="A1413" s="63"/>
      <c r="B1413" s="75"/>
      <c r="C1413" s="75"/>
      <c r="D1413" s="75"/>
      <c r="E1413" s="92"/>
      <c r="F1413" s="92"/>
      <c r="G1413" s="75"/>
      <c r="H1413" s="75"/>
      <c r="I1413" s="75"/>
      <c r="J1413" s="75"/>
      <c r="K1413" s="75"/>
      <c r="L1413" s="75"/>
      <c r="M1413" s="75"/>
      <c r="N1413" s="75"/>
      <c r="O1413" s="75"/>
    </row>
    <row r="1414" spans="1:15">
      <c r="A1414" s="63"/>
      <c r="B1414" s="75"/>
      <c r="C1414" s="75"/>
      <c r="D1414" s="75"/>
      <c r="E1414" s="92"/>
      <c r="F1414" s="92"/>
      <c r="G1414" s="75"/>
      <c r="H1414" s="75"/>
      <c r="I1414" s="75"/>
      <c r="J1414" s="75"/>
      <c r="K1414" s="75"/>
      <c r="L1414" s="75"/>
      <c r="M1414" s="75"/>
      <c r="N1414" s="75"/>
      <c r="O1414" s="75"/>
    </row>
    <row r="1415" spans="1:15">
      <c r="A1415" s="63"/>
      <c r="B1415" s="75"/>
      <c r="C1415" s="75"/>
      <c r="D1415" s="75"/>
      <c r="E1415" s="92"/>
      <c r="F1415" s="92"/>
      <c r="G1415" s="75"/>
      <c r="H1415" s="75"/>
      <c r="I1415" s="75"/>
      <c r="J1415" s="75"/>
      <c r="K1415" s="75"/>
      <c r="L1415" s="75"/>
      <c r="M1415" s="75"/>
      <c r="N1415" s="75"/>
      <c r="O1415" s="75"/>
    </row>
    <row r="1416" spans="1:15">
      <c r="A1416" s="63"/>
      <c r="B1416" s="75"/>
      <c r="C1416" s="75"/>
      <c r="D1416" s="75"/>
      <c r="E1416" s="92"/>
      <c r="F1416" s="92"/>
      <c r="G1416" s="75"/>
      <c r="H1416" s="75"/>
      <c r="I1416" s="75"/>
      <c r="J1416" s="75"/>
      <c r="K1416" s="75"/>
      <c r="L1416" s="75"/>
      <c r="M1416" s="75"/>
      <c r="N1416" s="75"/>
      <c r="O1416" s="75"/>
    </row>
    <row r="1417" spans="1:15">
      <c r="A1417" s="63"/>
      <c r="B1417" s="75"/>
      <c r="C1417" s="75"/>
      <c r="D1417" s="75"/>
      <c r="E1417" s="92"/>
      <c r="F1417" s="92"/>
      <c r="G1417" s="75"/>
      <c r="H1417" s="75"/>
      <c r="I1417" s="75"/>
      <c r="J1417" s="75"/>
      <c r="K1417" s="75"/>
      <c r="L1417" s="75"/>
      <c r="M1417" s="75"/>
      <c r="N1417" s="75"/>
      <c r="O1417" s="75"/>
    </row>
    <row r="1418" spans="1:15">
      <c r="A1418" s="63"/>
      <c r="B1418" s="75"/>
      <c r="C1418" s="75"/>
      <c r="D1418" s="75"/>
      <c r="E1418" s="92"/>
      <c r="F1418" s="92"/>
      <c r="G1418" s="75"/>
      <c r="H1418" s="75"/>
      <c r="I1418" s="75"/>
      <c r="J1418" s="75"/>
      <c r="K1418" s="75"/>
      <c r="L1418" s="75"/>
      <c r="M1418" s="75"/>
      <c r="N1418" s="75"/>
      <c r="O1418" s="75"/>
    </row>
    <row r="1419" spans="1:15">
      <c r="A1419" s="63"/>
      <c r="B1419" s="75"/>
      <c r="C1419" s="75"/>
      <c r="D1419" s="75"/>
      <c r="E1419" s="92"/>
      <c r="F1419" s="92"/>
      <c r="G1419" s="75"/>
      <c r="H1419" s="75"/>
      <c r="I1419" s="75"/>
      <c r="J1419" s="75"/>
      <c r="K1419" s="75"/>
      <c r="L1419" s="75"/>
      <c r="M1419" s="75"/>
      <c r="N1419" s="75"/>
      <c r="O1419" s="75"/>
    </row>
    <row r="1420" spans="1:15">
      <c r="A1420" s="63"/>
      <c r="B1420" s="75"/>
      <c r="C1420" s="75"/>
      <c r="D1420" s="75"/>
      <c r="E1420" s="92"/>
      <c r="F1420" s="92"/>
      <c r="G1420" s="75"/>
      <c r="H1420" s="75"/>
      <c r="I1420" s="75"/>
      <c r="J1420" s="75"/>
      <c r="K1420" s="75"/>
      <c r="L1420" s="75"/>
      <c r="M1420" s="75"/>
      <c r="N1420" s="75"/>
      <c r="O1420" s="75"/>
    </row>
    <row r="1421" spans="1:15">
      <c r="A1421" s="63"/>
      <c r="B1421" s="75"/>
      <c r="C1421" s="75"/>
      <c r="D1421" s="75"/>
      <c r="E1421" s="92"/>
      <c r="F1421" s="92"/>
      <c r="G1421" s="75"/>
      <c r="H1421" s="75"/>
      <c r="I1421" s="75"/>
      <c r="J1421" s="75"/>
      <c r="K1421" s="75"/>
      <c r="L1421" s="75"/>
      <c r="M1421" s="75"/>
      <c r="N1421" s="75"/>
      <c r="O1421" s="75"/>
    </row>
    <row r="1422" spans="1:15">
      <c r="A1422" s="63"/>
      <c r="B1422" s="75"/>
      <c r="C1422" s="75"/>
      <c r="D1422" s="75"/>
      <c r="E1422" s="92"/>
      <c r="F1422" s="92"/>
      <c r="G1422" s="75"/>
      <c r="H1422" s="75"/>
      <c r="I1422" s="75"/>
      <c r="J1422" s="75"/>
      <c r="K1422" s="75"/>
      <c r="L1422" s="75"/>
      <c r="M1422" s="75"/>
      <c r="N1422" s="75"/>
      <c r="O1422" s="75"/>
    </row>
  </sheetData>
  <autoFilter ref="A3:N412"/>
  <phoneticPr fontId="37" type="noConversion"/>
  <hyperlinks>
    <hyperlink ref="B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4" name="Button 1">
              <controlPr defaultSize="0" print="0" autoFill="0" autoPict="0" macro="[0]!insertSql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H15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939</v>
      </c>
      <c r="C3" s="115" t="s">
        <v>653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318</v>
      </c>
      <c r="F6" s="122" t="s">
        <v>8</v>
      </c>
      <c r="G6" s="123"/>
      <c r="H6" s="119" t="s">
        <v>86</v>
      </c>
    </row>
    <row r="7" spans="1:8" s="15" customFormat="1">
      <c r="A7" s="27">
        <v>2</v>
      </c>
      <c r="B7" s="27" t="s">
        <v>320</v>
      </c>
      <c r="C7" s="28" t="s">
        <v>477</v>
      </c>
      <c r="D7" s="144" t="s">
        <v>112</v>
      </c>
      <c r="E7" s="25"/>
      <c r="F7" s="25" t="s">
        <v>8</v>
      </c>
      <c r="G7" s="25"/>
      <c r="H7" s="28" t="s">
        <v>489</v>
      </c>
    </row>
    <row r="8" spans="1:8" s="124" customFormat="1" ht="28">
      <c r="A8" s="118">
        <v>3</v>
      </c>
      <c r="B8" s="125" t="s">
        <v>428</v>
      </c>
      <c r="C8" s="126" t="s">
        <v>829</v>
      </c>
      <c r="D8" s="120" t="s">
        <v>93</v>
      </c>
      <c r="E8" s="122" t="s">
        <v>591</v>
      </c>
      <c r="F8" s="122" t="s">
        <v>8</v>
      </c>
      <c r="G8" s="122"/>
      <c r="H8" s="68" t="s">
        <v>429</v>
      </c>
    </row>
    <row r="9" spans="1:8" s="124" customFormat="1">
      <c r="A9" s="118">
        <v>4</v>
      </c>
      <c r="B9" s="125" t="s">
        <v>592</v>
      </c>
      <c r="C9" s="126" t="s">
        <v>593</v>
      </c>
      <c r="D9" s="120" t="s">
        <v>584</v>
      </c>
      <c r="E9" s="122"/>
      <c r="F9" s="122" t="s">
        <v>8</v>
      </c>
      <c r="G9" s="122"/>
      <c r="H9" s="28" t="s">
        <v>830</v>
      </c>
    </row>
    <row r="10" spans="1:8" ht="28">
      <c r="A10" s="118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121</v>
      </c>
    </row>
    <row r="11" spans="1:8">
      <c r="A11" s="118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339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118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339</v>
      </c>
    </row>
    <row r="14" spans="1:8">
      <c r="A14" s="118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52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4277</v>
      </c>
      <c r="C3" s="115" t="s">
        <v>935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318</v>
      </c>
      <c r="F6" s="122" t="s">
        <v>8</v>
      </c>
      <c r="G6" s="123"/>
      <c r="H6" s="119" t="s">
        <v>86</v>
      </c>
    </row>
    <row r="7" spans="1:8" s="124" customFormat="1" ht="28">
      <c r="A7" s="118">
        <v>2</v>
      </c>
      <c r="B7" s="125" t="s">
        <v>428</v>
      </c>
      <c r="C7" s="126" t="s">
        <v>425</v>
      </c>
      <c r="D7" s="120" t="s">
        <v>93</v>
      </c>
      <c r="E7" s="122" t="s">
        <v>135</v>
      </c>
      <c r="F7" s="122" t="s">
        <v>8</v>
      </c>
      <c r="G7" s="122"/>
      <c r="H7" s="68" t="s">
        <v>429</v>
      </c>
    </row>
    <row r="8" spans="1:8" s="117" customFormat="1">
      <c r="A8" s="117">
        <v>3</v>
      </c>
      <c r="B8" s="118" t="s">
        <v>320</v>
      </c>
      <c r="C8" s="127" t="s">
        <v>321</v>
      </c>
      <c r="D8" s="120" t="s">
        <v>317</v>
      </c>
      <c r="E8" s="122"/>
      <c r="F8" s="123" t="s">
        <v>319</v>
      </c>
      <c r="G8" s="123"/>
      <c r="H8" s="127" t="s">
        <v>390</v>
      </c>
    </row>
    <row r="9" spans="1:8" s="124" customFormat="1">
      <c r="A9" s="118">
        <v>4</v>
      </c>
      <c r="B9" s="125" t="s">
        <v>938</v>
      </c>
      <c r="C9" s="126" t="s">
        <v>937</v>
      </c>
      <c r="D9" s="120" t="s">
        <v>2643</v>
      </c>
      <c r="E9" s="122"/>
      <c r="F9" s="122" t="s">
        <v>8</v>
      </c>
      <c r="G9" s="122"/>
      <c r="H9" s="28"/>
    </row>
    <row r="10" spans="1:8" ht="28">
      <c r="A10" s="118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121</v>
      </c>
    </row>
    <row r="11" spans="1:8">
      <c r="A11" s="117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339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118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339</v>
      </c>
    </row>
    <row r="14" spans="1:8">
      <c r="A14" s="117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52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47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825</v>
      </c>
      <c r="C3" s="115" t="s">
        <v>824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318</v>
      </c>
      <c r="F6" s="122" t="s">
        <v>8</v>
      </c>
      <c r="G6" s="123"/>
      <c r="H6" s="119" t="s">
        <v>86</v>
      </c>
    </row>
    <row r="7" spans="1:8">
      <c r="A7" s="117">
        <v>2</v>
      </c>
      <c r="B7" s="135" t="s">
        <v>207</v>
      </c>
      <c r="C7" s="83" t="s">
        <v>831</v>
      </c>
      <c r="D7" s="120" t="s">
        <v>112</v>
      </c>
      <c r="E7" s="122" t="s">
        <v>826</v>
      </c>
      <c r="F7" s="122" t="s">
        <v>8</v>
      </c>
      <c r="G7" s="136"/>
      <c r="H7" s="138"/>
    </row>
    <row r="8" spans="1:8" s="124" customFormat="1" ht="28">
      <c r="A8" s="118">
        <v>3</v>
      </c>
      <c r="B8" s="125" t="s">
        <v>428</v>
      </c>
      <c r="C8" s="126" t="s">
        <v>425</v>
      </c>
      <c r="D8" s="120" t="s">
        <v>93</v>
      </c>
      <c r="E8" s="122"/>
      <c r="F8" s="122" t="s">
        <v>8</v>
      </c>
      <c r="G8" s="122"/>
      <c r="H8" s="68" t="s">
        <v>429</v>
      </c>
    </row>
    <row r="9" spans="1:8" s="124" customFormat="1">
      <c r="A9" s="118">
        <v>4</v>
      </c>
      <c r="B9" s="125" t="s">
        <v>114</v>
      </c>
      <c r="C9" s="126" t="s">
        <v>147</v>
      </c>
      <c r="D9" s="120" t="s">
        <v>561</v>
      </c>
      <c r="E9" s="122"/>
      <c r="F9" s="122" t="s">
        <v>8</v>
      </c>
      <c r="G9" s="122"/>
      <c r="H9" s="68" t="s">
        <v>832</v>
      </c>
    </row>
    <row r="10" spans="1:8" ht="28">
      <c r="A10" s="118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121</v>
      </c>
    </row>
    <row r="11" spans="1:8">
      <c r="A11" s="118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339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118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339</v>
      </c>
    </row>
    <row r="14" spans="1:8">
      <c r="A14" s="118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52" t="s">
        <v>122</v>
      </c>
      <c r="E15" s="136"/>
      <c r="F15" s="136"/>
      <c r="G15" s="136"/>
      <c r="H15" s="136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A1:H2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709</v>
      </c>
      <c r="C3" s="115" t="s">
        <v>703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314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317</v>
      </c>
      <c r="E6" s="121" t="s">
        <v>318</v>
      </c>
      <c r="F6" s="122" t="s">
        <v>8</v>
      </c>
      <c r="G6" s="123"/>
      <c r="H6" s="119" t="s">
        <v>86</v>
      </c>
    </row>
    <row r="7" spans="1:8" s="124" customFormat="1">
      <c r="A7" s="118">
        <v>2</v>
      </c>
      <c r="B7" s="125" t="s">
        <v>693</v>
      </c>
      <c r="C7" s="83" t="s">
        <v>694</v>
      </c>
      <c r="D7" s="120" t="s">
        <v>695</v>
      </c>
      <c r="E7" s="122"/>
      <c r="F7" s="122" t="s">
        <v>8</v>
      </c>
      <c r="G7" s="122"/>
      <c r="H7" s="126"/>
    </row>
    <row r="8" spans="1:8" s="117" customFormat="1">
      <c r="A8" s="117">
        <v>3</v>
      </c>
      <c r="B8" s="118" t="s">
        <v>320</v>
      </c>
      <c r="C8" s="127" t="s">
        <v>321</v>
      </c>
      <c r="D8" s="120" t="s">
        <v>317</v>
      </c>
      <c r="E8" s="122" t="s">
        <v>705</v>
      </c>
      <c r="F8" s="123" t="s">
        <v>319</v>
      </c>
      <c r="G8" s="123"/>
      <c r="H8" s="127" t="s">
        <v>390</v>
      </c>
    </row>
    <row r="9" spans="1:8">
      <c r="A9" s="118">
        <v>4</v>
      </c>
      <c r="B9" s="135" t="s">
        <v>707</v>
      </c>
      <c r="C9" s="83" t="s">
        <v>706</v>
      </c>
      <c r="D9" s="120" t="s">
        <v>696</v>
      </c>
      <c r="E9" s="122"/>
      <c r="F9" s="122" t="s">
        <v>8</v>
      </c>
      <c r="G9" s="136"/>
      <c r="H9" s="157"/>
    </row>
    <row r="10" spans="1:8" ht="28">
      <c r="A10" s="118">
        <v>5</v>
      </c>
      <c r="B10" s="135" t="s">
        <v>698</v>
      </c>
      <c r="C10" s="83" t="s">
        <v>697</v>
      </c>
      <c r="D10" s="120" t="s">
        <v>701</v>
      </c>
      <c r="E10" s="122"/>
      <c r="F10" s="122" t="s">
        <v>8</v>
      </c>
      <c r="G10" s="136"/>
      <c r="H10" s="110" t="s">
        <v>940</v>
      </c>
    </row>
    <row r="11" spans="1:8">
      <c r="A11" s="118">
        <v>6</v>
      </c>
      <c r="B11" s="135" t="s">
        <v>700</v>
      </c>
      <c r="C11" s="83" t="s">
        <v>699</v>
      </c>
      <c r="D11" s="120" t="s">
        <v>702</v>
      </c>
      <c r="E11" s="122"/>
      <c r="F11" s="122" t="s">
        <v>8</v>
      </c>
      <c r="G11" s="136"/>
      <c r="H11" s="157"/>
    </row>
    <row r="12" spans="1:8">
      <c r="A12" s="118">
        <v>7</v>
      </c>
      <c r="B12" s="135" t="s">
        <v>437</v>
      </c>
      <c r="C12" s="83" t="s">
        <v>595</v>
      </c>
      <c r="D12" s="120" t="s">
        <v>317</v>
      </c>
      <c r="E12" s="122" t="s">
        <v>704</v>
      </c>
      <c r="F12" s="122"/>
      <c r="G12" s="136"/>
      <c r="H12" s="138"/>
    </row>
    <row r="13" spans="1:8">
      <c r="A13" s="118">
        <v>8</v>
      </c>
      <c r="B13" s="135" t="s">
        <v>596</v>
      </c>
      <c r="C13" s="83" t="s">
        <v>597</v>
      </c>
      <c r="D13" s="120" t="s">
        <v>317</v>
      </c>
      <c r="E13" s="122" t="s">
        <v>704</v>
      </c>
      <c r="F13" s="122" t="s">
        <v>8</v>
      </c>
      <c r="G13" s="136"/>
      <c r="H13" s="138"/>
    </row>
    <row r="14" spans="1:8">
      <c r="A14" s="117">
        <v>9</v>
      </c>
      <c r="B14" s="135" t="s">
        <v>207</v>
      </c>
      <c r="C14" s="83" t="s">
        <v>245</v>
      </c>
      <c r="D14" s="120" t="s">
        <v>317</v>
      </c>
      <c r="E14" s="122"/>
      <c r="F14" s="122" t="s">
        <v>8</v>
      </c>
      <c r="G14" s="136"/>
      <c r="H14" s="138"/>
    </row>
    <row r="15" spans="1:8" ht="28">
      <c r="A15" s="118">
        <v>10</v>
      </c>
      <c r="B15" s="135" t="s">
        <v>128</v>
      </c>
      <c r="C15" s="136" t="s">
        <v>117</v>
      </c>
      <c r="D15" s="109" t="s">
        <v>108</v>
      </c>
      <c r="E15" s="136"/>
      <c r="F15" s="122" t="s">
        <v>8</v>
      </c>
      <c r="G15" s="137" t="s">
        <v>134</v>
      </c>
      <c r="H15" s="138" t="s">
        <v>121</v>
      </c>
    </row>
    <row r="16" spans="1:8">
      <c r="A16" s="118">
        <v>11</v>
      </c>
      <c r="B16" s="135" t="s">
        <v>129</v>
      </c>
      <c r="C16" s="136" t="s">
        <v>118</v>
      </c>
      <c r="D16" s="109" t="s">
        <v>317</v>
      </c>
      <c r="E16" s="136"/>
      <c r="F16" s="136"/>
      <c r="G16" s="136"/>
      <c r="H16" s="134" t="s">
        <v>339</v>
      </c>
    </row>
    <row r="17" spans="1:8">
      <c r="A17" s="118">
        <v>12</v>
      </c>
      <c r="B17" s="135" t="s">
        <v>130</v>
      </c>
      <c r="C17" s="136" t="s">
        <v>10</v>
      </c>
      <c r="D17" s="109" t="s">
        <v>336</v>
      </c>
      <c r="E17" s="136"/>
      <c r="F17" s="122" t="s">
        <v>8</v>
      </c>
      <c r="G17" s="135" t="s">
        <v>133</v>
      </c>
      <c r="H17" s="136"/>
    </row>
    <row r="18" spans="1:8">
      <c r="A18" s="118">
        <v>13</v>
      </c>
      <c r="B18" s="135" t="s">
        <v>131</v>
      </c>
      <c r="C18" s="136" t="s">
        <v>119</v>
      </c>
      <c r="D18" s="109" t="s">
        <v>317</v>
      </c>
      <c r="E18" s="136"/>
      <c r="F18" s="136"/>
      <c r="G18" s="136"/>
      <c r="H18" s="134" t="s">
        <v>339</v>
      </c>
    </row>
    <row r="19" spans="1:8">
      <c r="A19" s="118">
        <v>14</v>
      </c>
      <c r="B19" s="135" t="s">
        <v>132</v>
      </c>
      <c r="C19" s="136" t="s">
        <v>11</v>
      </c>
      <c r="D19" s="109" t="s">
        <v>336</v>
      </c>
      <c r="E19" s="136"/>
      <c r="F19" s="122" t="s">
        <v>8</v>
      </c>
      <c r="G19" s="135" t="s">
        <v>133</v>
      </c>
      <c r="H19" s="136"/>
    </row>
    <row r="20" spans="1:8">
      <c r="A20" s="117">
        <v>15</v>
      </c>
      <c r="B20" s="136" t="s">
        <v>120</v>
      </c>
      <c r="C20" s="136" t="s">
        <v>94</v>
      </c>
      <c r="D20" s="152" t="s">
        <v>122</v>
      </c>
      <c r="E20" s="136"/>
      <c r="F20" s="136"/>
      <c r="G20" s="136"/>
      <c r="H20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93" t="s">
        <v>0</v>
      </c>
      <c r="C2" s="194"/>
      <c r="E2" s="3"/>
      <c r="F2" s="3" t="s">
        <v>127</v>
      </c>
      <c r="G2" s="3" t="s">
        <v>126</v>
      </c>
      <c r="H2" s="3"/>
    </row>
    <row r="3" spans="1:8">
      <c r="B3" s="5" t="s">
        <v>933</v>
      </c>
      <c r="C3" s="5" t="s">
        <v>168</v>
      </c>
      <c r="D3" s="2" t="s">
        <v>2</v>
      </c>
      <c r="E3" s="3"/>
      <c r="F3" s="3">
        <v>95</v>
      </c>
      <c r="G3" s="2" t="s">
        <v>581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209</v>
      </c>
      <c r="D6" s="78" t="s">
        <v>112</v>
      </c>
      <c r="E6" s="69" t="s">
        <v>318</v>
      </c>
      <c r="F6" s="25" t="s">
        <v>8</v>
      </c>
      <c r="G6" s="65"/>
      <c r="H6" s="68" t="s">
        <v>86</v>
      </c>
    </row>
    <row r="7" spans="1:8">
      <c r="A7" s="55">
        <v>2</v>
      </c>
      <c r="B7" s="80" t="s">
        <v>207</v>
      </c>
      <c r="C7" s="80" t="s">
        <v>245</v>
      </c>
      <c r="D7" s="102" t="s">
        <v>93</v>
      </c>
      <c r="E7" s="155" t="s">
        <v>932</v>
      </c>
      <c r="F7" s="25"/>
      <c r="G7" s="84"/>
      <c r="H7" s="99" t="s">
        <v>222</v>
      </c>
    </row>
    <row r="8" spans="1:8">
      <c r="A8" s="63">
        <v>3</v>
      </c>
      <c r="B8" s="84" t="s">
        <v>171</v>
      </c>
      <c r="C8" s="83" t="s">
        <v>137</v>
      </c>
      <c r="D8" s="78" t="s">
        <v>104</v>
      </c>
      <c r="E8" s="25"/>
      <c r="F8" s="25" t="s">
        <v>8</v>
      </c>
      <c r="G8" s="75"/>
      <c r="H8" s="76"/>
    </row>
    <row r="9" spans="1:8" s="62" customFormat="1">
      <c r="A9" s="63">
        <v>4</v>
      </c>
      <c r="B9" s="63" t="s">
        <v>172</v>
      </c>
      <c r="C9" s="68" t="s">
        <v>136</v>
      </c>
      <c r="D9" s="78" t="s">
        <v>93</v>
      </c>
      <c r="E9" s="69"/>
      <c r="F9" s="25"/>
      <c r="G9" s="65"/>
      <c r="H9" s="68" t="s">
        <v>931</v>
      </c>
    </row>
    <row r="10" spans="1:8" s="62" customFormat="1">
      <c r="A10" s="63">
        <v>5</v>
      </c>
      <c r="B10" s="63" t="s">
        <v>173</v>
      </c>
      <c r="C10" s="68" t="s">
        <v>169</v>
      </c>
      <c r="D10" s="78" t="s">
        <v>170</v>
      </c>
      <c r="E10" s="69"/>
      <c r="F10" s="25"/>
      <c r="G10" s="65"/>
      <c r="H10" s="68"/>
    </row>
    <row r="11" spans="1:8" ht="28">
      <c r="A11" s="63">
        <v>6</v>
      </c>
      <c r="B11" s="84" t="s">
        <v>128</v>
      </c>
      <c r="C11" s="75" t="s">
        <v>117</v>
      </c>
      <c r="D11" s="80" t="s">
        <v>108</v>
      </c>
      <c r="E11" s="75"/>
      <c r="F11" s="25" t="s">
        <v>8</v>
      </c>
      <c r="G11" s="85" t="s">
        <v>134</v>
      </c>
      <c r="H11" s="76" t="s">
        <v>121</v>
      </c>
    </row>
    <row r="12" spans="1:8">
      <c r="A12" s="63">
        <v>7</v>
      </c>
      <c r="B12" s="84" t="s">
        <v>129</v>
      </c>
      <c r="C12" s="75" t="s">
        <v>118</v>
      </c>
      <c r="D12" s="80" t="s">
        <v>112</v>
      </c>
      <c r="E12" s="75"/>
      <c r="F12" s="75"/>
      <c r="G12" s="75"/>
      <c r="H12" s="56" t="s">
        <v>208</v>
      </c>
    </row>
    <row r="13" spans="1:8">
      <c r="A13" s="55">
        <v>8</v>
      </c>
      <c r="B13" s="84" t="s">
        <v>130</v>
      </c>
      <c r="C13" s="75" t="s">
        <v>10</v>
      </c>
      <c r="D13" s="80" t="s">
        <v>110</v>
      </c>
      <c r="E13" s="75"/>
      <c r="F13" s="25" t="s">
        <v>8</v>
      </c>
      <c r="G13" s="84" t="s">
        <v>133</v>
      </c>
      <c r="H13" s="75"/>
    </row>
    <row r="14" spans="1:8">
      <c r="A14" s="63">
        <v>9</v>
      </c>
      <c r="B14" s="84" t="s">
        <v>131</v>
      </c>
      <c r="C14" s="75" t="s">
        <v>119</v>
      </c>
      <c r="D14" s="80" t="s">
        <v>112</v>
      </c>
      <c r="E14" s="75"/>
      <c r="F14" s="75"/>
      <c r="G14" s="75"/>
      <c r="H14" s="56" t="s">
        <v>208</v>
      </c>
    </row>
    <row r="15" spans="1:8">
      <c r="A15" s="63">
        <v>10</v>
      </c>
      <c r="B15" s="84" t="s">
        <v>132</v>
      </c>
      <c r="C15" s="75" t="s">
        <v>11</v>
      </c>
      <c r="D15" s="80" t="s">
        <v>110</v>
      </c>
      <c r="E15" s="75"/>
      <c r="F15" s="25" t="s">
        <v>8</v>
      </c>
      <c r="G15" s="84" t="s">
        <v>133</v>
      </c>
      <c r="H15" s="75"/>
    </row>
    <row r="16" spans="1:8">
      <c r="A16" s="55">
        <v>11</v>
      </c>
      <c r="B16" s="75" t="s">
        <v>120</v>
      </c>
      <c r="C16" s="75" t="s">
        <v>94</v>
      </c>
      <c r="D16" s="80" t="s">
        <v>122</v>
      </c>
      <c r="E16" s="75"/>
      <c r="F16" s="75"/>
      <c r="G16" s="75"/>
      <c r="H16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93" t="s">
        <v>0</v>
      </c>
      <c r="C2" s="197"/>
      <c r="E2" s="3"/>
      <c r="F2" s="3" t="s">
        <v>127</v>
      </c>
      <c r="G2" s="3" t="s">
        <v>126</v>
      </c>
      <c r="H2" s="3"/>
    </row>
    <row r="3" spans="1:8">
      <c r="B3" s="5" t="s">
        <v>4281</v>
      </c>
      <c r="C3" s="5" t="s">
        <v>836</v>
      </c>
      <c r="D3" s="2" t="s">
        <v>2</v>
      </c>
      <c r="E3" s="3"/>
      <c r="F3" s="3">
        <v>95</v>
      </c>
      <c r="G3" s="2" t="s">
        <v>847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78" t="s">
        <v>112</v>
      </c>
      <c r="E6" s="69" t="s">
        <v>837</v>
      </c>
      <c r="F6" s="25" t="s">
        <v>8</v>
      </c>
      <c r="G6" s="65"/>
      <c r="H6" s="68" t="s">
        <v>86</v>
      </c>
    </row>
    <row r="7" spans="1:8" s="15" customFormat="1">
      <c r="A7" s="63">
        <v>2</v>
      </c>
      <c r="B7" s="27" t="s">
        <v>838</v>
      </c>
      <c r="C7" s="83" t="s">
        <v>839</v>
      </c>
      <c r="D7" s="78" t="s">
        <v>112</v>
      </c>
      <c r="E7" s="25"/>
      <c r="F7" s="25"/>
      <c r="G7" s="25"/>
      <c r="H7" s="28" t="s">
        <v>840</v>
      </c>
    </row>
    <row r="8" spans="1:8">
      <c r="A8" s="63">
        <v>3</v>
      </c>
      <c r="B8" s="84" t="s">
        <v>841</v>
      </c>
      <c r="C8" s="83" t="s">
        <v>333</v>
      </c>
      <c r="D8" s="78" t="s">
        <v>112</v>
      </c>
      <c r="E8" s="25"/>
      <c r="F8" s="25"/>
      <c r="G8" s="75"/>
      <c r="H8" s="76" t="s">
        <v>842</v>
      </c>
    </row>
    <row r="9" spans="1:8" s="73" customFormat="1">
      <c r="A9" s="63">
        <v>4</v>
      </c>
      <c r="B9" s="70" t="s">
        <v>843</v>
      </c>
      <c r="C9" s="83" t="s">
        <v>844</v>
      </c>
      <c r="D9" s="78" t="s">
        <v>371</v>
      </c>
      <c r="E9" s="25"/>
      <c r="F9" s="72" t="s">
        <v>8</v>
      </c>
      <c r="G9" s="72"/>
      <c r="H9" s="71"/>
    </row>
    <row r="10" spans="1:8" ht="28">
      <c r="A10" s="63">
        <v>5</v>
      </c>
      <c r="B10" s="84" t="s">
        <v>128</v>
      </c>
      <c r="C10" s="75" t="s">
        <v>117</v>
      </c>
      <c r="D10" s="80" t="s">
        <v>108</v>
      </c>
      <c r="E10" s="75"/>
      <c r="F10" s="25" t="s">
        <v>8</v>
      </c>
      <c r="G10" s="85" t="s">
        <v>134</v>
      </c>
      <c r="H10" s="76" t="s">
        <v>121</v>
      </c>
    </row>
    <row r="11" spans="1:8">
      <c r="A11" s="63">
        <v>6</v>
      </c>
      <c r="B11" s="84" t="s">
        <v>129</v>
      </c>
      <c r="C11" s="75" t="s">
        <v>118</v>
      </c>
      <c r="D11" s="80" t="s">
        <v>112</v>
      </c>
      <c r="E11" s="75"/>
      <c r="F11" s="75"/>
      <c r="G11" s="75"/>
      <c r="H11" s="56" t="s">
        <v>339</v>
      </c>
    </row>
    <row r="12" spans="1:8">
      <c r="A12" s="63">
        <v>7</v>
      </c>
      <c r="B12" s="84" t="s">
        <v>130</v>
      </c>
      <c r="C12" s="75" t="s">
        <v>10</v>
      </c>
      <c r="D12" s="80" t="s">
        <v>110</v>
      </c>
      <c r="E12" s="75"/>
      <c r="F12" s="25" t="s">
        <v>8</v>
      </c>
      <c r="G12" s="84" t="s">
        <v>133</v>
      </c>
      <c r="H12" s="75"/>
    </row>
    <row r="13" spans="1:8">
      <c r="A13" s="63">
        <v>8</v>
      </c>
      <c r="B13" s="84" t="s">
        <v>131</v>
      </c>
      <c r="C13" s="75" t="s">
        <v>119</v>
      </c>
      <c r="D13" s="80" t="s">
        <v>112</v>
      </c>
      <c r="E13" s="75"/>
      <c r="F13" s="75"/>
      <c r="G13" s="75"/>
      <c r="H13" s="56" t="s">
        <v>339</v>
      </c>
    </row>
    <row r="14" spans="1:8">
      <c r="A14" s="63">
        <v>9</v>
      </c>
      <c r="B14" s="84" t="s">
        <v>132</v>
      </c>
      <c r="C14" s="75" t="s">
        <v>11</v>
      </c>
      <c r="D14" s="80" t="s">
        <v>110</v>
      </c>
      <c r="E14" s="75"/>
      <c r="F14" s="25" t="s">
        <v>8</v>
      </c>
      <c r="G14" s="84" t="s">
        <v>133</v>
      </c>
      <c r="H14" s="75"/>
    </row>
    <row r="15" spans="1:8">
      <c r="A15" s="63">
        <v>10</v>
      </c>
      <c r="B15" s="75" t="s">
        <v>120</v>
      </c>
      <c r="C15" s="75" t="s">
        <v>94</v>
      </c>
      <c r="D15" s="80" t="s">
        <v>122</v>
      </c>
      <c r="E15" s="75"/>
      <c r="F15" s="75"/>
      <c r="G15" s="75"/>
      <c r="H15" s="75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2:H41"/>
  <sheetViews>
    <sheetView zoomScale="70" zoomScaleNormal="70" workbookViewId="0">
      <selection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93" t="s">
        <v>0</v>
      </c>
      <c r="C2" s="194"/>
      <c r="E2" s="3"/>
      <c r="F2" s="3"/>
      <c r="G2" s="3"/>
      <c r="H2" s="3"/>
    </row>
    <row r="3" spans="1:8">
      <c r="B3" s="5" t="s">
        <v>2560</v>
      </c>
      <c r="C3" s="5" t="s">
        <v>2553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318</v>
      </c>
      <c r="F6" s="25" t="s">
        <v>8</v>
      </c>
      <c r="G6" s="65"/>
      <c r="H6" s="68" t="s">
        <v>86</v>
      </c>
    </row>
    <row r="7" spans="1:8">
      <c r="A7" s="55">
        <v>2</v>
      </c>
      <c r="B7" s="80" t="s">
        <v>207</v>
      </c>
      <c r="C7" s="80" t="s">
        <v>643</v>
      </c>
      <c r="D7" s="102" t="s">
        <v>93</v>
      </c>
      <c r="E7" s="155" t="s">
        <v>642</v>
      </c>
      <c r="F7" s="25"/>
      <c r="G7" s="84"/>
      <c r="H7" s="99" t="s">
        <v>222</v>
      </c>
    </row>
    <row r="8" spans="1:8" s="62" customFormat="1">
      <c r="A8" s="63">
        <v>3</v>
      </c>
      <c r="B8" s="63" t="s">
        <v>105</v>
      </c>
      <c r="C8" s="64" t="s">
        <v>106</v>
      </c>
      <c r="D8" s="79" t="s">
        <v>103</v>
      </c>
      <c r="E8" s="65" t="s">
        <v>591</v>
      </c>
      <c r="F8" s="25" t="s">
        <v>8</v>
      </c>
      <c r="G8" s="65"/>
      <c r="H8" s="64"/>
    </row>
    <row r="9" spans="1:8" s="62" customFormat="1" ht="28">
      <c r="A9" s="55">
        <v>4</v>
      </c>
      <c r="B9" s="63" t="s">
        <v>107</v>
      </c>
      <c r="C9" s="64" t="s">
        <v>175</v>
      </c>
      <c r="D9" s="79" t="s">
        <v>108</v>
      </c>
      <c r="E9" s="65" t="s">
        <v>591</v>
      </c>
      <c r="F9" s="25" t="s">
        <v>8</v>
      </c>
      <c r="G9" s="65"/>
      <c r="H9" s="64" t="s">
        <v>728</v>
      </c>
    </row>
    <row r="10" spans="1:8" s="62" customFormat="1">
      <c r="A10" s="63">
        <v>5</v>
      </c>
      <c r="B10" s="102" t="s">
        <v>198</v>
      </c>
      <c r="C10" s="103" t="s">
        <v>98</v>
      </c>
      <c r="D10" s="103" t="s">
        <v>93</v>
      </c>
      <c r="E10" s="104"/>
      <c r="F10" s="25" t="s">
        <v>8</v>
      </c>
      <c r="G10" s="65"/>
      <c r="H10" s="68"/>
    </row>
    <row r="11" spans="1:8" s="62" customFormat="1" ht="28">
      <c r="A11" s="55">
        <v>6</v>
      </c>
      <c r="B11" s="102" t="s">
        <v>199</v>
      </c>
      <c r="C11" s="103" t="s">
        <v>159</v>
      </c>
      <c r="D11" s="103" t="s">
        <v>92</v>
      </c>
      <c r="E11" s="105"/>
      <c r="F11" s="25"/>
      <c r="G11" s="65"/>
      <c r="H11" s="110" t="s">
        <v>727</v>
      </c>
    </row>
    <row r="12" spans="1:8" s="62" customFormat="1">
      <c r="A12" s="63">
        <v>7</v>
      </c>
      <c r="B12" s="87" t="s">
        <v>215</v>
      </c>
      <c r="C12" s="106" t="s">
        <v>214</v>
      </c>
      <c r="D12" s="87" t="s">
        <v>93</v>
      </c>
      <c r="E12" s="65" t="s">
        <v>601</v>
      </c>
      <c r="F12" s="25" t="s">
        <v>8</v>
      </c>
      <c r="G12" s="65"/>
      <c r="H12" s="68"/>
    </row>
    <row r="13" spans="1:8" s="62" customFormat="1">
      <c r="A13" s="55">
        <v>8</v>
      </c>
      <c r="B13" s="87" t="s">
        <v>200</v>
      </c>
      <c r="C13" s="106" t="s">
        <v>201</v>
      </c>
      <c r="D13" s="80" t="s">
        <v>218</v>
      </c>
      <c r="E13" s="101"/>
      <c r="F13" s="25"/>
      <c r="G13" s="65"/>
      <c r="H13" s="111"/>
    </row>
    <row r="14" spans="1:8">
      <c r="A14" s="63">
        <v>9</v>
      </c>
      <c r="B14" s="102" t="s">
        <v>202</v>
      </c>
      <c r="C14" s="102" t="s">
        <v>83</v>
      </c>
      <c r="D14" s="87" t="s">
        <v>93</v>
      </c>
      <c r="E14" s="107"/>
      <c r="F14" s="25"/>
      <c r="G14" s="85"/>
      <c r="H14" s="112"/>
    </row>
    <row r="15" spans="1:8">
      <c r="A15" s="55">
        <v>10</v>
      </c>
      <c r="B15" s="80" t="s">
        <v>224</v>
      </c>
      <c r="C15" s="102" t="s">
        <v>203</v>
      </c>
      <c r="D15" s="102" t="s">
        <v>204</v>
      </c>
      <c r="E15" s="107"/>
      <c r="F15" s="25"/>
      <c r="G15" s="75"/>
      <c r="H15" s="113"/>
    </row>
    <row r="16" spans="1:8">
      <c r="A16" s="63">
        <v>11</v>
      </c>
      <c r="B16" s="80" t="s">
        <v>219</v>
      </c>
      <c r="C16" s="80" t="s">
        <v>221</v>
      </c>
      <c r="D16" s="102" t="s">
        <v>93</v>
      </c>
      <c r="E16" s="107"/>
      <c r="F16" s="25"/>
      <c r="G16" s="84"/>
      <c r="H16" s="99" t="s">
        <v>220</v>
      </c>
    </row>
    <row r="17" spans="1:8">
      <c r="A17" s="55">
        <v>12</v>
      </c>
      <c r="B17" s="80" t="s">
        <v>223</v>
      </c>
      <c r="C17" s="80" t="s">
        <v>241</v>
      </c>
      <c r="D17" s="102" t="s">
        <v>93</v>
      </c>
      <c r="E17" s="107"/>
      <c r="F17" s="25"/>
      <c r="G17" s="75"/>
      <c r="H17" s="113" t="s">
        <v>242</v>
      </c>
    </row>
    <row r="18" spans="1:8">
      <c r="A18" s="63">
        <v>13</v>
      </c>
      <c r="B18" s="108" t="s">
        <v>225</v>
      </c>
      <c r="C18" s="108" t="s">
        <v>205</v>
      </c>
      <c r="D18" s="80" t="s">
        <v>218</v>
      </c>
      <c r="E18" s="107"/>
      <c r="F18" s="25"/>
      <c r="G18" s="75"/>
      <c r="H18" s="100"/>
    </row>
    <row r="19" spans="1:8" s="15" customFormat="1">
      <c r="A19" s="55">
        <v>14</v>
      </c>
      <c r="B19" s="27" t="s">
        <v>603</v>
      </c>
      <c r="C19" s="28" t="s">
        <v>604</v>
      </c>
      <c r="D19" s="144" t="s">
        <v>605</v>
      </c>
      <c r="E19" s="25"/>
      <c r="F19" s="25"/>
      <c r="G19" s="25"/>
      <c r="H19" s="28" t="s">
        <v>606</v>
      </c>
    </row>
    <row r="20" spans="1:8" s="15" customFormat="1">
      <c r="A20" s="63">
        <v>15</v>
      </c>
      <c r="B20" s="27" t="s">
        <v>616</v>
      </c>
      <c r="C20" s="28" t="s">
        <v>615</v>
      </c>
      <c r="D20" s="144" t="s">
        <v>609</v>
      </c>
      <c r="E20" s="25"/>
      <c r="F20" s="25"/>
      <c r="G20" s="25"/>
      <c r="H20" s="28"/>
    </row>
    <row r="21" spans="1:8" s="15" customFormat="1">
      <c r="A21" s="55">
        <v>16</v>
      </c>
      <c r="B21" s="27" t="s">
        <v>613</v>
      </c>
      <c r="C21" s="28" t="s">
        <v>611</v>
      </c>
      <c r="D21" s="144" t="s">
        <v>610</v>
      </c>
      <c r="E21" s="25"/>
      <c r="F21" s="25"/>
      <c r="G21" s="25"/>
      <c r="H21" s="28"/>
    </row>
    <row r="22" spans="1:8" s="15" customFormat="1">
      <c r="A22" s="63">
        <v>17</v>
      </c>
      <c r="B22" s="27" t="s">
        <v>614</v>
      </c>
      <c r="C22" s="28" t="s">
        <v>612</v>
      </c>
      <c r="D22" s="80" t="s">
        <v>218</v>
      </c>
      <c r="E22" s="25"/>
      <c r="F22" s="25"/>
      <c r="G22" s="25"/>
      <c r="H22" s="28"/>
    </row>
    <row r="23" spans="1:8" s="15" customFormat="1">
      <c r="A23" s="55">
        <v>18</v>
      </c>
      <c r="B23" s="27" t="s">
        <v>608</v>
      </c>
      <c r="C23" s="28" t="s">
        <v>607</v>
      </c>
      <c r="D23" s="144" t="s">
        <v>588</v>
      </c>
      <c r="E23" s="25"/>
      <c r="F23" s="25"/>
      <c r="G23" s="25"/>
      <c r="H23" s="28"/>
    </row>
    <row r="24" spans="1:8" ht="42">
      <c r="A24" s="63">
        <v>19</v>
      </c>
      <c r="B24" s="80" t="s">
        <v>226</v>
      </c>
      <c r="C24" s="102" t="s">
        <v>193</v>
      </c>
      <c r="D24" s="102" t="s">
        <v>93</v>
      </c>
      <c r="E24" s="107"/>
      <c r="F24" s="25"/>
      <c r="G24" s="107"/>
      <c r="H24" s="68" t="s">
        <v>303</v>
      </c>
    </row>
    <row r="25" spans="1:8" ht="28">
      <c r="A25" s="55">
        <v>20</v>
      </c>
      <c r="B25" s="80" t="s">
        <v>835</v>
      </c>
      <c r="C25" s="102" t="s">
        <v>834</v>
      </c>
      <c r="D25" s="102" t="s">
        <v>92</v>
      </c>
      <c r="E25" s="107"/>
      <c r="F25" s="25"/>
      <c r="G25" s="107"/>
      <c r="H25" s="110" t="s">
        <v>833</v>
      </c>
    </row>
    <row r="26" spans="1:8" ht="28">
      <c r="A26" s="63">
        <v>21</v>
      </c>
      <c r="B26" s="80" t="s">
        <v>941</v>
      </c>
      <c r="C26" s="80" t="s">
        <v>929</v>
      </c>
      <c r="D26" s="102" t="s">
        <v>92</v>
      </c>
      <c r="E26" s="107"/>
      <c r="F26" s="25"/>
      <c r="G26" s="107"/>
      <c r="H26" s="110" t="s">
        <v>2015</v>
      </c>
    </row>
    <row r="27" spans="1:8">
      <c r="A27" s="63">
        <v>22</v>
      </c>
      <c r="B27" s="80" t="s">
        <v>858</v>
      </c>
      <c r="C27" s="80" t="s">
        <v>859</v>
      </c>
      <c r="D27" s="102" t="s">
        <v>93</v>
      </c>
      <c r="E27" s="107"/>
      <c r="F27" s="25"/>
      <c r="G27" s="84"/>
      <c r="H27" s="99" t="s">
        <v>220</v>
      </c>
    </row>
    <row r="28" spans="1:8">
      <c r="A28" s="55">
        <v>23</v>
      </c>
      <c r="B28" s="80" t="s">
        <v>860</v>
      </c>
      <c r="C28" s="80" t="s">
        <v>861</v>
      </c>
      <c r="D28" s="102" t="s">
        <v>93</v>
      </c>
      <c r="E28" s="107"/>
      <c r="F28" s="25"/>
      <c r="G28" s="75"/>
      <c r="H28" s="113" t="s">
        <v>242</v>
      </c>
    </row>
    <row r="29" spans="1:8">
      <c r="A29" s="63">
        <v>24</v>
      </c>
      <c r="B29" s="108" t="s">
        <v>268</v>
      </c>
      <c r="C29" s="108" t="s">
        <v>206</v>
      </c>
      <c r="D29" s="80" t="s">
        <v>218</v>
      </c>
      <c r="E29" s="107"/>
      <c r="F29" s="25"/>
      <c r="G29" s="107"/>
      <c r="H29" s="97"/>
    </row>
    <row r="30" spans="1:8" ht="28">
      <c r="A30" s="63">
        <v>25</v>
      </c>
      <c r="B30" s="84" t="s">
        <v>128</v>
      </c>
      <c r="C30" s="75" t="s">
        <v>117</v>
      </c>
      <c r="D30" s="80" t="s">
        <v>108</v>
      </c>
      <c r="E30" s="75"/>
      <c r="F30" s="25" t="s">
        <v>8</v>
      </c>
      <c r="G30" s="85" t="s">
        <v>134</v>
      </c>
      <c r="H30" s="112" t="s">
        <v>121</v>
      </c>
    </row>
    <row r="31" spans="1:8">
      <c r="A31" s="55">
        <v>26</v>
      </c>
      <c r="B31" s="84" t="s">
        <v>129</v>
      </c>
      <c r="C31" s="75" t="s">
        <v>118</v>
      </c>
      <c r="D31" s="80" t="s">
        <v>112</v>
      </c>
      <c r="E31" s="75"/>
      <c r="F31" s="75"/>
      <c r="G31" s="75"/>
      <c r="H31" s="113" t="s">
        <v>208</v>
      </c>
    </row>
    <row r="32" spans="1:8">
      <c r="A32" s="63">
        <v>27</v>
      </c>
      <c r="B32" s="84" t="s">
        <v>130</v>
      </c>
      <c r="C32" s="75" t="s">
        <v>10</v>
      </c>
      <c r="D32" s="80" t="s">
        <v>110</v>
      </c>
      <c r="E32" s="75"/>
      <c r="F32" s="25" t="s">
        <v>8</v>
      </c>
      <c r="G32" s="84" t="s">
        <v>133</v>
      </c>
      <c r="H32" s="100"/>
    </row>
    <row r="33" spans="1:8">
      <c r="A33" s="63">
        <v>28</v>
      </c>
      <c r="B33" s="84" t="s">
        <v>131</v>
      </c>
      <c r="C33" s="75" t="s">
        <v>119</v>
      </c>
      <c r="D33" s="80" t="s">
        <v>112</v>
      </c>
      <c r="E33" s="75"/>
      <c r="F33" s="75"/>
      <c r="G33" s="75"/>
      <c r="H33" s="113" t="s">
        <v>208</v>
      </c>
    </row>
    <row r="34" spans="1:8">
      <c r="A34" s="55">
        <v>29</v>
      </c>
      <c r="B34" s="84" t="s">
        <v>132</v>
      </c>
      <c r="C34" s="75" t="s">
        <v>11</v>
      </c>
      <c r="D34" s="80" t="s">
        <v>110</v>
      </c>
      <c r="E34" s="75"/>
      <c r="F34" s="25" t="s">
        <v>8</v>
      </c>
      <c r="G34" s="84" t="s">
        <v>133</v>
      </c>
      <c r="H34" s="100"/>
    </row>
    <row r="35" spans="1:8">
      <c r="A35" s="63">
        <v>30</v>
      </c>
      <c r="B35" s="75" t="s">
        <v>120</v>
      </c>
      <c r="C35" s="75" t="s">
        <v>94</v>
      </c>
      <c r="D35" s="80" t="s">
        <v>122</v>
      </c>
      <c r="E35" s="75"/>
      <c r="F35" s="75"/>
      <c r="G35" s="75"/>
      <c r="H35" s="100"/>
    </row>
    <row r="36" spans="1:8" s="15" customFormat="1">
      <c r="A36" s="55">
        <v>31</v>
      </c>
      <c r="B36" s="27" t="s">
        <v>2561</v>
      </c>
      <c r="C36" s="28" t="s">
        <v>2562</v>
      </c>
      <c r="D36" s="78" t="s">
        <v>93</v>
      </c>
      <c r="E36" s="25"/>
      <c r="F36" s="25"/>
      <c r="G36" s="25"/>
      <c r="H36" s="28" t="s">
        <v>2549</v>
      </c>
    </row>
    <row r="37" spans="1:8" s="15" customFormat="1">
      <c r="A37" s="63">
        <v>32</v>
      </c>
      <c r="B37" s="27" t="s">
        <v>2563</v>
      </c>
      <c r="C37" s="28" t="s">
        <v>2550</v>
      </c>
      <c r="D37" s="78" t="s">
        <v>93</v>
      </c>
      <c r="E37" s="25"/>
      <c r="F37" s="25"/>
      <c r="G37" s="25"/>
      <c r="H37" s="28" t="s">
        <v>2549</v>
      </c>
    </row>
    <row r="38" spans="1:8" s="15" customFormat="1">
      <c r="A38" s="55">
        <v>33</v>
      </c>
      <c r="B38" s="27" t="s">
        <v>2564</v>
      </c>
      <c r="C38" s="28" t="s">
        <v>2565</v>
      </c>
      <c r="D38" s="78" t="s">
        <v>93</v>
      </c>
      <c r="E38" s="25"/>
      <c r="F38" s="25"/>
      <c r="G38" s="25"/>
      <c r="H38" s="28" t="s">
        <v>2549</v>
      </c>
    </row>
    <row r="39" spans="1:8" s="15" customFormat="1">
      <c r="A39" s="63">
        <v>34</v>
      </c>
      <c r="B39" s="27" t="s">
        <v>2566</v>
      </c>
      <c r="C39" s="28" t="s">
        <v>2567</v>
      </c>
      <c r="D39" s="78" t="s">
        <v>93</v>
      </c>
      <c r="E39" s="25"/>
      <c r="F39" s="25"/>
      <c r="G39" s="25"/>
      <c r="H39" s="28" t="s">
        <v>2549</v>
      </c>
    </row>
    <row r="40" spans="1:8" s="15" customFormat="1">
      <c r="A40" s="55">
        <v>35</v>
      </c>
      <c r="B40" s="27" t="s">
        <v>2568</v>
      </c>
      <c r="C40" s="28" t="s">
        <v>2551</v>
      </c>
      <c r="D40" s="78" t="s">
        <v>93</v>
      </c>
      <c r="E40" s="25"/>
      <c r="F40" s="25"/>
      <c r="G40" s="25"/>
      <c r="H40" s="28" t="s">
        <v>2549</v>
      </c>
    </row>
    <row r="41" spans="1:8" s="15" customFormat="1">
      <c r="A41" s="63">
        <v>36</v>
      </c>
      <c r="B41" s="27" t="s">
        <v>2552</v>
      </c>
      <c r="C41" s="28" t="s">
        <v>2569</v>
      </c>
      <c r="D41" s="78" t="s">
        <v>104</v>
      </c>
      <c r="E41" s="25"/>
      <c r="F41" s="25"/>
      <c r="G41" s="25"/>
      <c r="H41" s="28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2:H32"/>
  <sheetViews>
    <sheetView zoomScale="70" zoomScaleNormal="70" workbookViewId="0">
      <selection activeCell="B3" sqref="B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93" t="s">
        <v>0</v>
      </c>
      <c r="C2" s="194"/>
      <c r="E2" s="3"/>
      <c r="F2" s="3"/>
      <c r="G2" s="3"/>
      <c r="H2" s="3"/>
    </row>
    <row r="3" spans="1:8">
      <c r="B3" s="5" t="s">
        <v>2089</v>
      </c>
      <c r="C3" s="5" t="s">
        <v>864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318</v>
      </c>
      <c r="F6" s="25" t="s">
        <v>8</v>
      </c>
      <c r="G6" s="65"/>
      <c r="H6" s="68" t="s">
        <v>86</v>
      </c>
    </row>
    <row r="7" spans="1:8">
      <c r="A7" s="63">
        <v>2</v>
      </c>
      <c r="B7" s="108" t="s">
        <v>903</v>
      </c>
      <c r="C7" s="108" t="s">
        <v>865</v>
      </c>
      <c r="D7" s="80" t="s">
        <v>2088</v>
      </c>
      <c r="E7" s="107" t="s">
        <v>897</v>
      </c>
      <c r="F7" s="25" t="s">
        <v>8</v>
      </c>
      <c r="G7" s="75"/>
      <c r="H7" s="99" t="s">
        <v>2087</v>
      </c>
    </row>
    <row r="8" spans="1:8">
      <c r="A8" s="63">
        <v>3</v>
      </c>
      <c r="B8" s="80" t="s">
        <v>207</v>
      </c>
      <c r="C8" s="80" t="s">
        <v>643</v>
      </c>
      <c r="D8" s="102" t="s">
        <v>93</v>
      </c>
      <c r="E8" s="155" t="s">
        <v>898</v>
      </c>
      <c r="F8" s="25" t="s">
        <v>8</v>
      </c>
      <c r="G8" s="84"/>
      <c r="H8" s="99" t="s">
        <v>222</v>
      </c>
    </row>
    <row r="9" spans="1:8" s="15" customFormat="1">
      <c r="A9" s="63">
        <v>4</v>
      </c>
      <c r="B9" s="27" t="s">
        <v>882</v>
      </c>
      <c r="C9" s="28" t="s">
        <v>866</v>
      </c>
      <c r="D9" s="144" t="s">
        <v>896</v>
      </c>
      <c r="E9" s="25"/>
      <c r="F9" s="25"/>
      <c r="G9" s="25"/>
      <c r="H9" s="28"/>
    </row>
    <row r="10" spans="1:8" s="15" customFormat="1">
      <c r="A10" s="63">
        <v>5</v>
      </c>
      <c r="B10" s="27" t="s">
        <v>883</v>
      </c>
      <c r="C10" s="28" t="s">
        <v>867</v>
      </c>
      <c r="D10" s="144" t="s">
        <v>896</v>
      </c>
      <c r="E10" s="25"/>
      <c r="F10" s="25"/>
      <c r="G10" s="25"/>
      <c r="H10" s="28"/>
    </row>
    <row r="11" spans="1:8" s="15" customFormat="1">
      <c r="A11" s="63">
        <v>6</v>
      </c>
      <c r="B11" s="27" t="s">
        <v>884</v>
      </c>
      <c r="C11" s="28" t="s">
        <v>868</v>
      </c>
      <c r="D11" s="144" t="s">
        <v>896</v>
      </c>
      <c r="E11" s="25"/>
      <c r="F11" s="25"/>
      <c r="G11" s="25"/>
      <c r="H11" s="28"/>
    </row>
    <row r="12" spans="1:8" s="15" customFormat="1">
      <c r="A12" s="63">
        <v>7</v>
      </c>
      <c r="B12" s="27" t="s">
        <v>887</v>
      </c>
      <c r="C12" s="28" t="s">
        <v>869</v>
      </c>
      <c r="D12" s="144" t="s">
        <v>896</v>
      </c>
      <c r="E12" s="25"/>
      <c r="F12" s="25"/>
      <c r="G12" s="25"/>
      <c r="H12" s="28"/>
    </row>
    <row r="13" spans="1:8" s="15" customFormat="1">
      <c r="A13" s="63">
        <v>8</v>
      </c>
      <c r="B13" s="27" t="s">
        <v>885</v>
      </c>
      <c r="C13" s="28" t="s">
        <v>870</v>
      </c>
      <c r="D13" s="144" t="s">
        <v>896</v>
      </c>
      <c r="E13" s="25"/>
      <c r="F13" s="25"/>
      <c r="G13" s="25"/>
      <c r="H13" s="28"/>
    </row>
    <row r="14" spans="1:8">
      <c r="A14" s="63">
        <v>9</v>
      </c>
      <c r="B14" s="27" t="s">
        <v>886</v>
      </c>
      <c r="C14" s="80" t="s">
        <v>871</v>
      </c>
      <c r="D14" s="144" t="s">
        <v>896</v>
      </c>
      <c r="E14" s="107"/>
      <c r="F14" s="25"/>
      <c r="G14" s="107"/>
      <c r="H14" s="68"/>
    </row>
    <row r="15" spans="1:8" s="15" customFormat="1">
      <c r="A15" s="63">
        <v>10</v>
      </c>
      <c r="B15" s="27" t="s">
        <v>888</v>
      </c>
      <c r="C15" s="28" t="s">
        <v>872</v>
      </c>
      <c r="D15" s="144" t="s">
        <v>896</v>
      </c>
      <c r="E15" s="25"/>
      <c r="F15" s="25"/>
      <c r="G15" s="25"/>
      <c r="H15" s="28"/>
    </row>
    <row r="16" spans="1:8" s="15" customFormat="1">
      <c r="A16" s="63">
        <v>11</v>
      </c>
      <c r="B16" s="27" t="s">
        <v>889</v>
      </c>
      <c r="C16" s="28" t="s">
        <v>873</v>
      </c>
      <c r="D16" s="144" t="s">
        <v>896</v>
      </c>
      <c r="E16" s="25"/>
      <c r="F16" s="25"/>
      <c r="G16" s="25"/>
      <c r="H16" s="28"/>
    </row>
    <row r="17" spans="1:8" s="15" customFormat="1">
      <c r="A17" s="63">
        <v>12</v>
      </c>
      <c r="B17" s="27" t="s">
        <v>890</v>
      </c>
      <c r="C17" s="28" t="s">
        <v>874</v>
      </c>
      <c r="D17" s="144" t="s">
        <v>896</v>
      </c>
      <c r="E17" s="25"/>
      <c r="F17" s="25"/>
      <c r="G17" s="25"/>
      <c r="H17" s="28"/>
    </row>
    <row r="18" spans="1:8" s="15" customFormat="1">
      <c r="A18" s="63">
        <v>13</v>
      </c>
      <c r="B18" s="27" t="s">
        <v>891</v>
      </c>
      <c r="C18" s="28" t="s">
        <v>875</v>
      </c>
      <c r="D18" s="144" t="s">
        <v>896</v>
      </c>
      <c r="E18" s="25"/>
      <c r="F18" s="25"/>
      <c r="G18" s="25"/>
      <c r="H18" s="28"/>
    </row>
    <row r="19" spans="1:8" s="15" customFormat="1">
      <c r="A19" s="63">
        <v>14</v>
      </c>
      <c r="B19" s="27" t="s">
        <v>892</v>
      </c>
      <c r="C19" s="28" t="s">
        <v>876</v>
      </c>
      <c r="D19" s="144" t="s">
        <v>896</v>
      </c>
      <c r="E19" s="25"/>
      <c r="F19" s="25"/>
      <c r="G19" s="25"/>
      <c r="H19" s="28"/>
    </row>
    <row r="20" spans="1:8">
      <c r="A20" s="63">
        <v>15</v>
      </c>
      <c r="B20" s="27" t="s">
        <v>893</v>
      </c>
      <c r="C20" s="80" t="s">
        <v>877</v>
      </c>
      <c r="D20" s="144" t="s">
        <v>896</v>
      </c>
      <c r="E20" s="107"/>
      <c r="F20" s="25"/>
      <c r="G20" s="107"/>
      <c r="H20" s="68"/>
    </row>
    <row r="21" spans="1:8" s="15" customFormat="1">
      <c r="A21" s="63">
        <v>16</v>
      </c>
      <c r="B21" s="27" t="s">
        <v>909</v>
      </c>
      <c r="C21" s="28" t="s">
        <v>878</v>
      </c>
      <c r="D21" s="144" t="s">
        <v>896</v>
      </c>
      <c r="E21" s="25"/>
      <c r="F21" s="25"/>
      <c r="G21" s="25"/>
      <c r="H21" s="28"/>
    </row>
    <row r="22" spans="1:8" s="15" customFormat="1">
      <c r="A22" s="63">
        <v>17</v>
      </c>
      <c r="B22" s="27" t="s">
        <v>910</v>
      </c>
      <c r="C22" s="28" t="s">
        <v>879</v>
      </c>
      <c r="D22" s="144" t="s">
        <v>896</v>
      </c>
      <c r="E22" s="25"/>
      <c r="F22" s="25"/>
      <c r="G22" s="25"/>
      <c r="H22" s="28"/>
    </row>
    <row r="23" spans="1:8" s="15" customFormat="1">
      <c r="A23" s="63">
        <v>18</v>
      </c>
      <c r="B23" s="27" t="s">
        <v>911</v>
      </c>
      <c r="C23" s="28" t="s">
        <v>880</v>
      </c>
      <c r="D23" s="144" t="s">
        <v>896</v>
      </c>
      <c r="E23" s="25"/>
      <c r="F23" s="25"/>
      <c r="G23" s="25"/>
      <c r="H23" s="28"/>
    </row>
    <row r="24" spans="1:8" s="15" customFormat="1">
      <c r="A24" s="63">
        <v>19</v>
      </c>
      <c r="B24" s="27" t="s">
        <v>912</v>
      </c>
      <c r="C24" s="28" t="s">
        <v>881</v>
      </c>
      <c r="D24" s="144" t="s">
        <v>896</v>
      </c>
      <c r="E24" s="25"/>
      <c r="F24" s="25"/>
      <c r="G24" s="25"/>
      <c r="H24" s="28"/>
    </row>
    <row r="25" spans="1:8" s="15" customFormat="1">
      <c r="A25" s="63">
        <v>20</v>
      </c>
      <c r="B25" s="27" t="s">
        <v>913</v>
      </c>
      <c r="C25" s="28" t="s">
        <v>894</v>
      </c>
      <c r="D25" s="144" t="s">
        <v>896</v>
      </c>
      <c r="E25" s="25"/>
      <c r="F25" s="25"/>
      <c r="G25" s="25"/>
      <c r="H25" s="28"/>
    </row>
    <row r="26" spans="1:8">
      <c r="A26" s="63">
        <v>21</v>
      </c>
      <c r="B26" s="27" t="s">
        <v>914</v>
      </c>
      <c r="C26" s="80" t="s">
        <v>895</v>
      </c>
      <c r="D26" s="144" t="s">
        <v>896</v>
      </c>
      <c r="E26" s="107"/>
      <c r="F26" s="25"/>
      <c r="G26" s="107"/>
      <c r="H26" s="68"/>
    </row>
    <row r="27" spans="1:8" ht="28">
      <c r="A27" s="63">
        <v>22</v>
      </c>
      <c r="B27" s="84" t="s">
        <v>128</v>
      </c>
      <c r="C27" s="75" t="s">
        <v>117</v>
      </c>
      <c r="D27" s="80" t="s">
        <v>108</v>
      </c>
      <c r="E27" s="75"/>
      <c r="F27" s="25" t="s">
        <v>8</v>
      </c>
      <c r="G27" s="85" t="s">
        <v>134</v>
      </c>
      <c r="H27" s="112" t="s">
        <v>121</v>
      </c>
    </row>
    <row r="28" spans="1:8">
      <c r="A28" s="63">
        <v>23</v>
      </c>
      <c r="B28" s="84" t="s">
        <v>129</v>
      </c>
      <c r="C28" s="75" t="s">
        <v>118</v>
      </c>
      <c r="D28" s="80" t="s">
        <v>112</v>
      </c>
      <c r="E28" s="75"/>
      <c r="F28" s="75"/>
      <c r="G28" s="75"/>
      <c r="H28" s="113" t="s">
        <v>208</v>
      </c>
    </row>
    <row r="29" spans="1:8">
      <c r="A29" s="63">
        <v>24</v>
      </c>
      <c r="B29" s="84" t="s">
        <v>130</v>
      </c>
      <c r="C29" s="75" t="s">
        <v>10</v>
      </c>
      <c r="D29" s="80" t="s">
        <v>110</v>
      </c>
      <c r="E29" s="75"/>
      <c r="F29" s="25" t="s">
        <v>8</v>
      </c>
      <c r="G29" s="84" t="s">
        <v>133</v>
      </c>
      <c r="H29" s="100"/>
    </row>
    <row r="30" spans="1:8">
      <c r="A30" s="63">
        <v>25</v>
      </c>
      <c r="B30" s="84" t="s">
        <v>131</v>
      </c>
      <c r="C30" s="75" t="s">
        <v>119</v>
      </c>
      <c r="D30" s="80" t="s">
        <v>112</v>
      </c>
      <c r="E30" s="75"/>
      <c r="F30" s="75"/>
      <c r="G30" s="75"/>
      <c r="H30" s="113" t="s">
        <v>208</v>
      </c>
    </row>
    <row r="31" spans="1:8">
      <c r="A31" s="63">
        <v>26</v>
      </c>
      <c r="B31" s="84" t="s">
        <v>132</v>
      </c>
      <c r="C31" s="75" t="s">
        <v>11</v>
      </c>
      <c r="D31" s="80" t="s">
        <v>110</v>
      </c>
      <c r="E31" s="75"/>
      <c r="F31" s="25" t="s">
        <v>8</v>
      </c>
      <c r="G31" s="84" t="s">
        <v>133</v>
      </c>
      <c r="H31" s="100"/>
    </row>
    <row r="32" spans="1:8">
      <c r="A32" s="63">
        <v>27</v>
      </c>
      <c r="B32" s="75" t="s">
        <v>120</v>
      </c>
      <c r="C32" s="75" t="s">
        <v>94</v>
      </c>
      <c r="D32" s="80" t="s">
        <v>122</v>
      </c>
      <c r="E32" s="75"/>
      <c r="F32" s="75"/>
      <c r="G32" s="75"/>
      <c r="H32" s="100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25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A2:H24"/>
  <sheetViews>
    <sheetView zoomScale="70" zoomScaleNormal="70" workbookViewId="0">
      <selection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93" t="s">
        <v>0</v>
      </c>
      <c r="C2" s="194"/>
      <c r="E2" s="3"/>
      <c r="F2" s="3"/>
      <c r="G2" s="3"/>
      <c r="H2" s="3"/>
    </row>
    <row r="3" spans="1:8">
      <c r="B3" s="5" t="s">
        <v>2090</v>
      </c>
      <c r="C3" s="5" t="s">
        <v>916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318</v>
      </c>
      <c r="F6" s="25" t="s">
        <v>8</v>
      </c>
      <c r="G6" s="65"/>
      <c r="H6" s="68" t="s">
        <v>86</v>
      </c>
    </row>
    <row r="7" spans="1:8">
      <c r="A7" s="63">
        <v>2</v>
      </c>
      <c r="B7" s="108" t="s">
        <v>902</v>
      </c>
      <c r="C7" s="108" t="s">
        <v>865</v>
      </c>
      <c r="D7" s="80" t="s">
        <v>2088</v>
      </c>
      <c r="E7" s="107" t="s">
        <v>897</v>
      </c>
      <c r="F7" s="25" t="s">
        <v>8</v>
      </c>
      <c r="G7" s="75"/>
      <c r="H7" s="99" t="s">
        <v>2087</v>
      </c>
    </row>
    <row r="8" spans="1:8" ht="42">
      <c r="A8" s="63">
        <v>3</v>
      </c>
      <c r="B8" s="108" t="s">
        <v>901</v>
      </c>
      <c r="C8" s="108" t="s">
        <v>899</v>
      </c>
      <c r="D8" s="80" t="s">
        <v>900</v>
      </c>
      <c r="E8" s="107" t="s">
        <v>897</v>
      </c>
      <c r="F8" s="25" t="s">
        <v>8</v>
      </c>
      <c r="G8" s="75"/>
      <c r="H8" s="112" t="s">
        <v>917</v>
      </c>
    </row>
    <row r="9" spans="1:8">
      <c r="A9" s="63">
        <v>4</v>
      </c>
      <c r="B9" s="80" t="s">
        <v>207</v>
      </c>
      <c r="C9" s="80" t="s">
        <v>643</v>
      </c>
      <c r="D9" s="102" t="s">
        <v>93</v>
      </c>
      <c r="E9" s="155" t="s">
        <v>898</v>
      </c>
      <c r="F9" s="25" t="s">
        <v>8</v>
      </c>
      <c r="G9" s="84"/>
      <c r="H9" s="99" t="s">
        <v>222</v>
      </c>
    </row>
    <row r="10" spans="1:8">
      <c r="A10" s="63">
        <v>5</v>
      </c>
      <c r="B10" s="80" t="s">
        <v>219</v>
      </c>
      <c r="C10" s="80" t="s">
        <v>221</v>
      </c>
      <c r="D10" s="102" t="s">
        <v>93</v>
      </c>
      <c r="E10" s="107"/>
      <c r="F10" s="25"/>
      <c r="G10" s="84"/>
      <c r="H10" s="99" t="s">
        <v>220</v>
      </c>
    </row>
    <row r="11" spans="1:8">
      <c r="A11" s="63">
        <v>6</v>
      </c>
      <c r="B11" s="80" t="s">
        <v>223</v>
      </c>
      <c r="C11" s="80" t="s">
        <v>241</v>
      </c>
      <c r="D11" s="102" t="s">
        <v>93</v>
      </c>
      <c r="E11" s="107"/>
      <c r="F11" s="25"/>
      <c r="G11" s="75"/>
      <c r="H11" s="113" t="s">
        <v>242</v>
      </c>
    </row>
    <row r="12" spans="1:8" s="62" customFormat="1">
      <c r="A12" s="63">
        <v>7</v>
      </c>
      <c r="B12" s="63" t="s">
        <v>227</v>
      </c>
      <c r="C12" s="64" t="s">
        <v>228</v>
      </c>
      <c r="D12" s="79" t="s">
        <v>93</v>
      </c>
      <c r="E12" s="65"/>
      <c r="F12" s="25" t="s">
        <v>8</v>
      </c>
      <c r="G12" s="65"/>
      <c r="H12" s="64"/>
    </row>
    <row r="13" spans="1:8" s="15" customFormat="1">
      <c r="A13" s="63">
        <v>8</v>
      </c>
      <c r="B13" s="27" t="s">
        <v>905</v>
      </c>
      <c r="C13" s="28" t="s">
        <v>870</v>
      </c>
      <c r="D13" s="144" t="s">
        <v>896</v>
      </c>
      <c r="E13" s="25"/>
      <c r="F13" s="25"/>
      <c r="G13" s="25"/>
      <c r="H13" s="28"/>
    </row>
    <row r="14" spans="1:8">
      <c r="A14" s="63">
        <v>9</v>
      </c>
      <c r="B14" s="27" t="s">
        <v>886</v>
      </c>
      <c r="C14" s="80" t="s">
        <v>871</v>
      </c>
      <c r="D14" s="144" t="s">
        <v>896</v>
      </c>
      <c r="E14" s="107"/>
      <c r="F14" s="25"/>
      <c r="G14" s="107"/>
      <c r="H14" s="68"/>
    </row>
    <row r="15" spans="1:8" s="15" customFormat="1">
      <c r="A15" s="63">
        <v>10</v>
      </c>
      <c r="B15" s="27" t="s">
        <v>906</v>
      </c>
      <c r="C15" s="28" t="s">
        <v>876</v>
      </c>
      <c r="D15" s="144" t="s">
        <v>896</v>
      </c>
      <c r="E15" s="25"/>
      <c r="F15" s="25"/>
      <c r="G15" s="25"/>
      <c r="H15" s="28"/>
    </row>
    <row r="16" spans="1:8">
      <c r="A16" s="63">
        <v>11</v>
      </c>
      <c r="B16" s="27" t="s">
        <v>893</v>
      </c>
      <c r="C16" s="80" t="s">
        <v>877</v>
      </c>
      <c r="D16" s="144" t="s">
        <v>896</v>
      </c>
      <c r="E16" s="107"/>
      <c r="F16" s="25"/>
      <c r="G16" s="107"/>
      <c r="H16" s="68"/>
    </row>
    <row r="17" spans="1:8" s="15" customFormat="1">
      <c r="A17" s="63">
        <v>12</v>
      </c>
      <c r="B17" s="27" t="s">
        <v>907</v>
      </c>
      <c r="C17" s="28" t="s">
        <v>904</v>
      </c>
      <c r="D17" s="144" t="s">
        <v>896</v>
      </c>
      <c r="E17" s="25"/>
      <c r="F17" s="25"/>
      <c r="G17" s="25"/>
      <c r="H17" s="28"/>
    </row>
    <row r="18" spans="1:8">
      <c r="A18" s="63">
        <v>13</v>
      </c>
      <c r="B18" s="27" t="s">
        <v>908</v>
      </c>
      <c r="C18" s="28" t="s">
        <v>904</v>
      </c>
      <c r="D18" s="144" t="s">
        <v>896</v>
      </c>
      <c r="E18" s="107"/>
      <c r="F18" s="25"/>
      <c r="G18" s="107"/>
      <c r="H18" s="68"/>
    </row>
    <row r="19" spans="1:8" ht="28">
      <c r="A19" s="63">
        <v>14</v>
      </c>
      <c r="B19" s="84" t="s">
        <v>128</v>
      </c>
      <c r="C19" s="75" t="s">
        <v>117</v>
      </c>
      <c r="D19" s="80" t="s">
        <v>108</v>
      </c>
      <c r="E19" s="75"/>
      <c r="F19" s="25" t="s">
        <v>8</v>
      </c>
      <c r="G19" s="85" t="s">
        <v>134</v>
      </c>
      <c r="H19" s="112" t="s">
        <v>121</v>
      </c>
    </row>
    <row r="20" spans="1:8">
      <c r="A20" s="63">
        <v>15</v>
      </c>
      <c r="B20" s="84" t="s">
        <v>129</v>
      </c>
      <c r="C20" s="75" t="s">
        <v>118</v>
      </c>
      <c r="D20" s="80" t="s">
        <v>112</v>
      </c>
      <c r="E20" s="75"/>
      <c r="F20" s="75"/>
      <c r="G20" s="75"/>
      <c r="H20" s="113" t="s">
        <v>208</v>
      </c>
    </row>
    <row r="21" spans="1:8">
      <c r="A21" s="63">
        <v>16</v>
      </c>
      <c r="B21" s="84" t="s">
        <v>130</v>
      </c>
      <c r="C21" s="75" t="s">
        <v>10</v>
      </c>
      <c r="D21" s="80" t="s">
        <v>110</v>
      </c>
      <c r="E21" s="75"/>
      <c r="F21" s="25" t="s">
        <v>8</v>
      </c>
      <c r="G21" s="84" t="s">
        <v>133</v>
      </c>
      <c r="H21" s="100"/>
    </row>
    <row r="22" spans="1:8">
      <c r="A22" s="63">
        <v>17</v>
      </c>
      <c r="B22" s="84" t="s">
        <v>131</v>
      </c>
      <c r="C22" s="75" t="s">
        <v>119</v>
      </c>
      <c r="D22" s="80" t="s">
        <v>112</v>
      </c>
      <c r="E22" s="75"/>
      <c r="F22" s="75"/>
      <c r="G22" s="75"/>
      <c r="H22" s="113" t="s">
        <v>208</v>
      </c>
    </row>
    <row r="23" spans="1:8">
      <c r="A23" s="63">
        <v>18</v>
      </c>
      <c r="B23" s="84" t="s">
        <v>132</v>
      </c>
      <c r="C23" s="75" t="s">
        <v>11</v>
      </c>
      <c r="D23" s="80" t="s">
        <v>110</v>
      </c>
      <c r="E23" s="75"/>
      <c r="F23" s="25" t="s">
        <v>8</v>
      </c>
      <c r="G23" s="84" t="s">
        <v>133</v>
      </c>
      <c r="H23" s="100"/>
    </row>
    <row r="24" spans="1:8">
      <c r="A24" s="63">
        <v>19</v>
      </c>
      <c r="B24" s="75" t="s">
        <v>120</v>
      </c>
      <c r="C24" s="75" t="s">
        <v>94</v>
      </c>
      <c r="D24" s="80" t="s">
        <v>122</v>
      </c>
      <c r="E24" s="75"/>
      <c r="F24" s="75"/>
      <c r="G24" s="75"/>
      <c r="H24" s="100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32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2:H24"/>
  <sheetViews>
    <sheetView zoomScale="85" zoomScaleNormal="85" workbookViewId="0">
      <pane ySplit="5" topLeftCell="A9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93" t="s">
        <v>0</v>
      </c>
      <c r="C2" s="194"/>
      <c r="E2" s="3"/>
      <c r="F2" s="3"/>
      <c r="G2" s="3"/>
      <c r="H2" s="3"/>
    </row>
    <row r="3" spans="1:8">
      <c r="B3" s="5" t="s">
        <v>657</v>
      </c>
      <c r="C3" s="5" t="s">
        <v>271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291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281</v>
      </c>
      <c r="C7" s="28" t="s">
        <v>280</v>
      </c>
      <c r="D7" s="78" t="s">
        <v>112</v>
      </c>
      <c r="E7" s="25" t="s">
        <v>143</v>
      </c>
      <c r="F7" s="25" t="s">
        <v>8</v>
      </c>
      <c r="G7" s="25"/>
      <c r="H7" s="28" t="s">
        <v>279</v>
      </c>
    </row>
    <row r="8" spans="1:8" s="62" customFormat="1">
      <c r="A8" s="55">
        <v>3</v>
      </c>
      <c r="B8" s="63" t="s">
        <v>227</v>
      </c>
      <c r="C8" s="64" t="s">
        <v>228</v>
      </c>
      <c r="D8" s="79" t="s">
        <v>93</v>
      </c>
      <c r="E8" s="65"/>
      <c r="F8" s="25" t="s">
        <v>8</v>
      </c>
      <c r="G8" s="65"/>
      <c r="H8" s="64" t="s">
        <v>229</v>
      </c>
    </row>
    <row r="9" spans="1:8" s="62" customFormat="1">
      <c r="A9" s="63">
        <v>4</v>
      </c>
      <c r="B9" s="63" t="s">
        <v>232</v>
      </c>
      <c r="C9" s="64" t="s">
        <v>231</v>
      </c>
      <c r="D9" s="79" t="s">
        <v>230</v>
      </c>
      <c r="E9" s="65"/>
      <c r="F9" s="25"/>
      <c r="G9" s="65"/>
      <c r="H9" s="64"/>
    </row>
    <row r="10" spans="1:8" s="62" customFormat="1">
      <c r="A10" s="27">
        <v>5</v>
      </c>
      <c r="B10" s="80" t="s">
        <v>233</v>
      </c>
      <c r="C10" s="109" t="s">
        <v>239</v>
      </c>
      <c r="D10" s="109" t="s">
        <v>216</v>
      </c>
      <c r="E10" s="104"/>
      <c r="F10" s="25"/>
      <c r="G10" s="65"/>
      <c r="H10" s="68"/>
    </row>
    <row r="11" spans="1:8" s="62" customFormat="1">
      <c r="A11" s="55">
        <v>6</v>
      </c>
      <c r="B11" s="80" t="s">
        <v>234</v>
      </c>
      <c r="C11" s="103" t="s">
        <v>211</v>
      </c>
      <c r="D11" s="109" t="s">
        <v>217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235</v>
      </c>
      <c r="C12" s="106" t="s">
        <v>212</v>
      </c>
      <c r="D12" s="87" t="s">
        <v>655</v>
      </c>
      <c r="E12" s="65"/>
      <c r="F12" s="25"/>
      <c r="G12" s="65"/>
      <c r="H12" s="68"/>
    </row>
    <row r="13" spans="1:8" s="62" customFormat="1">
      <c r="A13" s="27">
        <v>8</v>
      </c>
      <c r="B13" s="87" t="s">
        <v>236</v>
      </c>
      <c r="C13" s="106" t="s">
        <v>213</v>
      </c>
      <c r="D13" s="87" t="s">
        <v>170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277</v>
      </c>
      <c r="C14" s="106" t="s">
        <v>276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207</v>
      </c>
      <c r="C15" s="80" t="s">
        <v>245</v>
      </c>
      <c r="D15" s="102" t="s">
        <v>93</v>
      </c>
      <c r="E15" s="107"/>
      <c r="F15" s="25"/>
      <c r="G15" s="84"/>
      <c r="H15" s="84" t="s">
        <v>222</v>
      </c>
    </row>
    <row r="16" spans="1:8" s="57" customFormat="1">
      <c r="A16" s="63">
        <v>11</v>
      </c>
      <c r="B16" s="55" t="s">
        <v>165</v>
      </c>
      <c r="C16" s="56" t="s">
        <v>272</v>
      </c>
      <c r="D16" s="77" t="s">
        <v>112</v>
      </c>
      <c r="E16" s="58"/>
      <c r="F16" s="58"/>
      <c r="G16" s="58"/>
      <c r="H16" s="28" t="s">
        <v>139</v>
      </c>
    </row>
    <row r="17" spans="1:8">
      <c r="A17" s="27">
        <v>12</v>
      </c>
      <c r="B17" s="80" t="s">
        <v>247</v>
      </c>
      <c r="C17" s="80" t="s">
        <v>273</v>
      </c>
      <c r="D17" s="102" t="s">
        <v>93</v>
      </c>
      <c r="E17" s="107"/>
      <c r="F17" s="25"/>
      <c r="G17" s="75"/>
      <c r="H17" s="56" t="s">
        <v>242</v>
      </c>
    </row>
    <row r="18" spans="1:8" s="66" customFormat="1" ht="28">
      <c r="A18" s="63">
        <v>13</v>
      </c>
      <c r="B18" s="67" t="s">
        <v>269</v>
      </c>
      <c r="C18" s="68" t="s">
        <v>638</v>
      </c>
      <c r="D18" s="81" t="s">
        <v>270</v>
      </c>
      <c r="E18" s="69"/>
      <c r="F18" s="69" t="s">
        <v>8</v>
      </c>
      <c r="G18" s="69"/>
      <c r="H18" s="110" t="s">
        <v>729</v>
      </c>
    </row>
    <row r="19" spans="1:8" ht="28">
      <c r="A19" s="27">
        <v>14</v>
      </c>
      <c r="B19" s="84" t="s">
        <v>128</v>
      </c>
      <c r="C19" s="75" t="s">
        <v>117</v>
      </c>
      <c r="D19" s="80" t="s">
        <v>108</v>
      </c>
      <c r="E19" s="75"/>
      <c r="F19" s="25" t="s">
        <v>8</v>
      </c>
      <c r="G19" s="85" t="s">
        <v>134</v>
      </c>
      <c r="H19" s="76" t="s">
        <v>121</v>
      </c>
    </row>
    <row r="20" spans="1:8">
      <c r="A20" s="63">
        <v>15</v>
      </c>
      <c r="B20" s="84" t="s">
        <v>129</v>
      </c>
      <c r="C20" s="75" t="s">
        <v>118</v>
      </c>
      <c r="D20" s="80" t="s">
        <v>112</v>
      </c>
      <c r="E20" s="75"/>
      <c r="F20" s="75"/>
      <c r="G20" s="75"/>
      <c r="H20" s="56" t="s">
        <v>208</v>
      </c>
    </row>
    <row r="21" spans="1:8">
      <c r="A21" s="27">
        <v>16</v>
      </c>
      <c r="B21" s="84" t="s">
        <v>130</v>
      </c>
      <c r="C21" s="75" t="s">
        <v>10</v>
      </c>
      <c r="D21" s="80" t="s">
        <v>110</v>
      </c>
      <c r="E21" s="75"/>
      <c r="F21" s="25" t="s">
        <v>8</v>
      </c>
      <c r="G21" s="84" t="s">
        <v>133</v>
      </c>
      <c r="H21" s="75"/>
    </row>
    <row r="22" spans="1:8">
      <c r="A22" s="63">
        <v>17</v>
      </c>
      <c r="B22" s="84" t="s">
        <v>131</v>
      </c>
      <c r="C22" s="75" t="s">
        <v>119</v>
      </c>
      <c r="D22" s="80" t="s">
        <v>112</v>
      </c>
      <c r="E22" s="75"/>
      <c r="F22" s="75"/>
      <c r="G22" s="75"/>
      <c r="H22" s="56" t="s">
        <v>208</v>
      </c>
    </row>
    <row r="23" spans="1:8">
      <c r="A23" s="27">
        <v>18</v>
      </c>
      <c r="B23" s="84" t="s">
        <v>132</v>
      </c>
      <c r="C23" s="75" t="s">
        <v>11</v>
      </c>
      <c r="D23" s="80" t="s">
        <v>110</v>
      </c>
      <c r="E23" s="75"/>
      <c r="F23" s="25" t="s">
        <v>8</v>
      </c>
      <c r="G23" s="84" t="s">
        <v>133</v>
      </c>
      <c r="H23" s="75"/>
    </row>
    <row r="24" spans="1:8">
      <c r="A24" s="63">
        <v>19</v>
      </c>
      <c r="B24" s="75" t="s">
        <v>120</v>
      </c>
      <c r="C24" s="75" t="s">
        <v>94</v>
      </c>
      <c r="D24" s="80" t="s">
        <v>122</v>
      </c>
      <c r="E24" s="75"/>
      <c r="F24" s="75"/>
      <c r="G24" s="75"/>
      <c r="H24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A2:H25"/>
  <sheetViews>
    <sheetView zoomScale="85" zoomScaleNormal="85" workbookViewId="0">
      <pane ySplit="5" topLeftCell="A9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93" t="s">
        <v>0</v>
      </c>
      <c r="C2" s="194"/>
      <c r="E2" s="3"/>
      <c r="F2" s="3"/>
      <c r="G2" s="3"/>
      <c r="H2" s="3"/>
    </row>
    <row r="3" spans="1:8">
      <c r="B3" s="5" t="s">
        <v>308</v>
      </c>
      <c r="C3" s="5" t="s">
        <v>244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291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281</v>
      </c>
      <c r="C7" s="28" t="s">
        <v>280</v>
      </c>
      <c r="D7" s="78" t="s">
        <v>112</v>
      </c>
      <c r="E7" s="25" t="s">
        <v>135</v>
      </c>
      <c r="F7" s="25" t="s">
        <v>8</v>
      </c>
      <c r="G7" s="25"/>
      <c r="H7" s="28" t="s">
        <v>279</v>
      </c>
    </row>
    <row r="8" spans="1:8" s="62" customFormat="1">
      <c r="A8" s="63">
        <v>3</v>
      </c>
      <c r="B8" s="63" t="s">
        <v>283</v>
      </c>
      <c r="C8" s="64" t="s">
        <v>282</v>
      </c>
      <c r="D8" s="79" t="s">
        <v>93</v>
      </c>
      <c r="E8" s="65"/>
      <c r="F8" s="25" t="s">
        <v>8</v>
      </c>
      <c r="G8" s="65"/>
      <c r="H8" s="64" t="s">
        <v>284</v>
      </c>
    </row>
    <row r="9" spans="1:8" s="62" customFormat="1">
      <c r="A9" s="63">
        <v>4</v>
      </c>
      <c r="B9" s="63" t="s">
        <v>227</v>
      </c>
      <c r="C9" s="64" t="s">
        <v>228</v>
      </c>
      <c r="D9" s="79" t="s">
        <v>93</v>
      </c>
      <c r="E9" s="65"/>
      <c r="F9" s="25" t="s">
        <v>8</v>
      </c>
      <c r="G9" s="65"/>
      <c r="H9" s="64" t="s">
        <v>229</v>
      </c>
    </row>
    <row r="10" spans="1:8" s="62" customFormat="1">
      <c r="A10" s="63">
        <v>5</v>
      </c>
      <c r="B10" s="80" t="s">
        <v>232</v>
      </c>
      <c r="C10" s="109" t="s">
        <v>231</v>
      </c>
      <c r="D10" s="109" t="s">
        <v>230</v>
      </c>
      <c r="E10" s="104"/>
      <c r="F10" s="25"/>
      <c r="G10" s="65"/>
      <c r="H10" s="68"/>
    </row>
    <row r="11" spans="1:8" s="62" customFormat="1">
      <c r="A11" s="27">
        <v>6</v>
      </c>
      <c r="B11" s="80" t="s">
        <v>233</v>
      </c>
      <c r="C11" s="103" t="s">
        <v>210</v>
      </c>
      <c r="D11" s="109" t="s">
        <v>216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235</v>
      </c>
      <c r="C12" s="106" t="s">
        <v>212</v>
      </c>
      <c r="D12" s="87" t="s">
        <v>655</v>
      </c>
      <c r="E12" s="65"/>
      <c r="F12" s="25"/>
      <c r="G12" s="65"/>
      <c r="H12" s="68"/>
    </row>
    <row r="13" spans="1:8" s="62" customFormat="1">
      <c r="A13" s="63">
        <v>8</v>
      </c>
      <c r="B13" s="87" t="s">
        <v>277</v>
      </c>
      <c r="C13" s="106" t="s">
        <v>276</v>
      </c>
      <c r="D13" s="87" t="s">
        <v>104</v>
      </c>
      <c r="E13" s="101"/>
      <c r="F13" s="25"/>
      <c r="G13" s="65"/>
      <c r="H13" s="68"/>
    </row>
    <row r="14" spans="1:8" s="15" customFormat="1">
      <c r="A14" s="63">
        <v>9</v>
      </c>
      <c r="B14" s="27" t="s">
        <v>547</v>
      </c>
      <c r="C14" s="28" t="s">
        <v>548</v>
      </c>
      <c r="D14" s="78" t="s">
        <v>549</v>
      </c>
      <c r="E14" s="25"/>
      <c r="F14" s="25"/>
      <c r="G14" s="25"/>
      <c r="H14" s="28"/>
    </row>
    <row r="15" spans="1:8" s="62" customFormat="1">
      <c r="A15" s="27">
        <v>10</v>
      </c>
      <c r="B15" s="87" t="s">
        <v>275</v>
      </c>
      <c r="C15" s="106" t="s">
        <v>274</v>
      </c>
      <c r="D15" s="87" t="s">
        <v>104</v>
      </c>
      <c r="E15" s="101"/>
      <c r="F15" s="25"/>
      <c r="G15" s="65"/>
      <c r="H15" s="68"/>
    </row>
    <row r="16" spans="1:8" s="62" customFormat="1">
      <c r="A16" s="63">
        <v>11</v>
      </c>
      <c r="B16" s="63" t="s">
        <v>148</v>
      </c>
      <c r="C16" s="64" t="s">
        <v>138</v>
      </c>
      <c r="D16" s="79" t="s">
        <v>93</v>
      </c>
      <c r="E16" s="65"/>
      <c r="F16" s="65"/>
      <c r="G16" s="65"/>
      <c r="H16" s="28" t="s">
        <v>138</v>
      </c>
    </row>
    <row r="17" spans="1:8">
      <c r="A17" s="63">
        <v>12</v>
      </c>
      <c r="B17" s="80" t="s">
        <v>248</v>
      </c>
      <c r="C17" s="80" t="s">
        <v>246</v>
      </c>
      <c r="D17" s="102" t="s">
        <v>93</v>
      </c>
      <c r="E17" s="107"/>
      <c r="F17" s="25"/>
      <c r="G17" s="84"/>
      <c r="H17" s="84" t="s">
        <v>220</v>
      </c>
    </row>
    <row r="18" spans="1:8">
      <c r="A18" s="63">
        <v>13</v>
      </c>
      <c r="B18" s="80" t="s">
        <v>240</v>
      </c>
      <c r="C18" s="80" t="s">
        <v>250</v>
      </c>
      <c r="D18" s="87" t="s">
        <v>93</v>
      </c>
      <c r="E18" s="107"/>
      <c r="F18" s="25"/>
      <c r="G18" s="85"/>
      <c r="H18" s="56" t="s">
        <v>242</v>
      </c>
    </row>
    <row r="19" spans="1:8">
      <c r="A19" s="27">
        <v>14</v>
      </c>
      <c r="B19" s="80" t="s">
        <v>243</v>
      </c>
      <c r="C19" s="80" t="s">
        <v>249</v>
      </c>
      <c r="D19" s="102" t="s">
        <v>237</v>
      </c>
      <c r="E19" s="107"/>
      <c r="F19" s="25"/>
      <c r="G19" s="75"/>
      <c r="H19" s="56"/>
    </row>
    <row r="20" spans="1:8" ht="28">
      <c r="A20" s="63">
        <v>15</v>
      </c>
      <c r="B20" s="84" t="s">
        <v>128</v>
      </c>
      <c r="C20" s="75" t="s">
        <v>117</v>
      </c>
      <c r="D20" s="80" t="s">
        <v>108</v>
      </c>
      <c r="E20" s="75"/>
      <c r="F20" s="25" t="s">
        <v>8</v>
      </c>
      <c r="G20" s="85" t="s">
        <v>134</v>
      </c>
      <c r="H20" s="76" t="s">
        <v>121</v>
      </c>
    </row>
    <row r="21" spans="1:8">
      <c r="A21" s="63">
        <v>16</v>
      </c>
      <c r="B21" s="84" t="s">
        <v>129</v>
      </c>
      <c r="C21" s="75" t="s">
        <v>118</v>
      </c>
      <c r="D21" s="80" t="s">
        <v>112</v>
      </c>
      <c r="E21" s="75"/>
      <c r="F21" s="75"/>
      <c r="G21" s="75"/>
      <c r="H21" s="56" t="s">
        <v>208</v>
      </c>
    </row>
    <row r="22" spans="1:8">
      <c r="A22" s="63">
        <v>17</v>
      </c>
      <c r="B22" s="84" t="s">
        <v>130</v>
      </c>
      <c r="C22" s="75" t="s">
        <v>10</v>
      </c>
      <c r="D22" s="80" t="s">
        <v>110</v>
      </c>
      <c r="E22" s="75"/>
      <c r="F22" s="25" t="s">
        <v>8</v>
      </c>
      <c r="G22" s="84" t="s">
        <v>133</v>
      </c>
      <c r="H22" s="75"/>
    </row>
    <row r="23" spans="1:8">
      <c r="A23" s="27">
        <v>18</v>
      </c>
      <c r="B23" s="84" t="s">
        <v>131</v>
      </c>
      <c r="C23" s="75" t="s">
        <v>119</v>
      </c>
      <c r="D23" s="80" t="s">
        <v>112</v>
      </c>
      <c r="E23" s="75"/>
      <c r="F23" s="75"/>
      <c r="G23" s="75"/>
      <c r="H23" s="56" t="s">
        <v>208</v>
      </c>
    </row>
    <row r="24" spans="1:8">
      <c r="A24" s="63">
        <v>19</v>
      </c>
      <c r="B24" s="84" t="s">
        <v>132</v>
      </c>
      <c r="C24" s="75" t="s">
        <v>11</v>
      </c>
      <c r="D24" s="80" t="s">
        <v>110</v>
      </c>
      <c r="E24" s="75"/>
      <c r="F24" s="25" t="s">
        <v>8</v>
      </c>
      <c r="G24" s="84" t="s">
        <v>133</v>
      </c>
      <c r="H24" s="75"/>
    </row>
    <row r="25" spans="1:8">
      <c r="A25" s="63">
        <v>20</v>
      </c>
      <c r="B25" s="75" t="s">
        <v>120</v>
      </c>
      <c r="C25" s="75" t="s">
        <v>94</v>
      </c>
      <c r="D25" s="80" t="s">
        <v>122</v>
      </c>
      <c r="E25" s="75"/>
      <c r="F25" s="75"/>
      <c r="G25" s="75"/>
      <c r="H25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2:H27"/>
  <sheetViews>
    <sheetView zoomScale="85" zoomScaleNormal="85" workbookViewId="0">
      <pane ySplit="5" topLeftCell="A15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93" t="s">
        <v>0</v>
      </c>
      <c r="C2" s="194"/>
      <c r="E2" s="3"/>
      <c r="F2" s="3"/>
      <c r="G2" s="3"/>
      <c r="H2" s="3"/>
    </row>
    <row r="3" spans="1:8">
      <c r="B3" s="5" t="s">
        <v>310</v>
      </c>
      <c r="C3" s="5" t="s">
        <v>278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291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281</v>
      </c>
      <c r="C7" s="28" t="s">
        <v>280</v>
      </c>
      <c r="D7" s="78" t="s">
        <v>112</v>
      </c>
      <c r="E7" s="25" t="s">
        <v>135</v>
      </c>
      <c r="F7" s="25" t="s">
        <v>8</v>
      </c>
      <c r="G7" s="25"/>
      <c r="H7" s="28" t="s">
        <v>279</v>
      </c>
    </row>
    <row r="8" spans="1:8" s="62" customFormat="1">
      <c r="A8" s="63">
        <v>3</v>
      </c>
      <c r="B8" s="63" t="s">
        <v>292</v>
      </c>
      <c r="C8" s="64" t="s">
        <v>99</v>
      </c>
      <c r="D8" s="79" t="s">
        <v>287</v>
      </c>
      <c r="E8" s="65"/>
      <c r="F8" s="25"/>
      <c r="G8" s="65"/>
      <c r="H8" s="64" t="s">
        <v>238</v>
      </c>
    </row>
    <row r="9" spans="1:8" s="62" customFormat="1">
      <c r="A9" s="63">
        <v>4</v>
      </c>
      <c r="B9" s="63" t="s">
        <v>293</v>
      </c>
      <c r="C9" s="64" t="s">
        <v>100</v>
      </c>
      <c r="D9" s="79" t="s">
        <v>289</v>
      </c>
      <c r="E9" s="65"/>
      <c r="F9" s="25"/>
      <c r="G9" s="65"/>
      <c r="H9" s="64" t="s">
        <v>229</v>
      </c>
    </row>
    <row r="10" spans="1:8" s="62" customFormat="1">
      <c r="A10" s="27">
        <v>5</v>
      </c>
      <c r="B10" s="80" t="s">
        <v>294</v>
      </c>
      <c r="C10" s="109" t="s">
        <v>101</v>
      </c>
      <c r="D10" s="79" t="s">
        <v>288</v>
      </c>
      <c r="E10" s="104"/>
      <c r="F10" s="25"/>
      <c r="G10" s="65"/>
      <c r="H10" s="68"/>
    </row>
    <row r="11" spans="1:8" s="62" customFormat="1">
      <c r="A11" s="63">
        <v>6</v>
      </c>
      <c r="B11" s="80" t="s">
        <v>295</v>
      </c>
      <c r="C11" s="103" t="s">
        <v>102</v>
      </c>
      <c r="D11" s="79" t="s">
        <v>288</v>
      </c>
      <c r="E11" s="105"/>
      <c r="F11" s="25"/>
      <c r="G11" s="65"/>
      <c r="H11" s="68"/>
    </row>
    <row r="12" spans="1:8" s="62" customFormat="1">
      <c r="A12" s="27">
        <v>7</v>
      </c>
      <c r="B12" s="87" t="s">
        <v>296</v>
      </c>
      <c r="C12" s="106" t="s">
        <v>285</v>
      </c>
      <c r="D12" s="87" t="s">
        <v>290</v>
      </c>
      <c r="E12" s="65"/>
      <c r="F12" s="25"/>
      <c r="G12" s="65"/>
      <c r="H12" s="68"/>
    </row>
    <row r="13" spans="1:8" s="62" customFormat="1">
      <c r="A13" s="63">
        <v>8</v>
      </c>
      <c r="B13" s="87" t="s">
        <v>823</v>
      </c>
      <c r="C13" s="106" t="s">
        <v>821</v>
      </c>
      <c r="D13" s="87" t="s">
        <v>820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822</v>
      </c>
      <c r="C14" s="106" t="s">
        <v>286</v>
      </c>
      <c r="D14" s="87" t="s">
        <v>820</v>
      </c>
      <c r="E14" s="101"/>
      <c r="F14" s="25"/>
      <c r="G14" s="65"/>
      <c r="H14" s="68"/>
    </row>
    <row r="15" spans="1:8" s="62" customFormat="1" ht="42">
      <c r="A15" s="27">
        <v>10</v>
      </c>
      <c r="B15" s="87" t="s">
        <v>297</v>
      </c>
      <c r="C15" s="106" t="s">
        <v>195</v>
      </c>
      <c r="D15" s="87" t="s">
        <v>299</v>
      </c>
      <c r="E15" s="101"/>
      <c r="F15" s="25"/>
      <c r="G15" s="65"/>
      <c r="H15" s="68" t="s">
        <v>303</v>
      </c>
    </row>
    <row r="16" spans="1:8" s="62" customFormat="1" ht="42">
      <c r="A16" s="63">
        <v>11</v>
      </c>
      <c r="B16" s="87" t="s">
        <v>298</v>
      </c>
      <c r="C16" s="106" t="s">
        <v>196</v>
      </c>
      <c r="D16" s="87" t="s">
        <v>299</v>
      </c>
      <c r="E16" s="101"/>
      <c r="F16" s="25"/>
      <c r="G16" s="65"/>
      <c r="H16" s="68" t="s">
        <v>305</v>
      </c>
    </row>
    <row r="17" spans="1:8" s="62" customFormat="1" ht="42">
      <c r="A17" s="27">
        <v>12</v>
      </c>
      <c r="B17" s="87" t="s">
        <v>302</v>
      </c>
      <c r="C17" s="84" t="s">
        <v>301</v>
      </c>
      <c r="D17" s="87" t="s">
        <v>299</v>
      </c>
      <c r="E17" s="101"/>
      <c r="F17" s="25"/>
      <c r="G17" s="65"/>
      <c r="H17" s="68" t="s">
        <v>307</v>
      </c>
    </row>
    <row r="18" spans="1:8" s="62" customFormat="1">
      <c r="A18" s="63">
        <v>13</v>
      </c>
      <c r="B18" s="63" t="s">
        <v>148</v>
      </c>
      <c r="C18" s="64" t="s">
        <v>138</v>
      </c>
      <c r="D18" s="79" t="s">
        <v>93</v>
      </c>
      <c r="E18" s="65"/>
      <c r="F18" s="65"/>
      <c r="G18" s="65"/>
      <c r="H18" s="28" t="s">
        <v>138</v>
      </c>
    </row>
    <row r="19" spans="1:8">
      <c r="A19" s="63">
        <v>14</v>
      </c>
      <c r="B19" s="80" t="s">
        <v>855</v>
      </c>
      <c r="C19" s="80" t="s">
        <v>922</v>
      </c>
      <c r="D19" s="102" t="s">
        <v>93</v>
      </c>
      <c r="E19" s="107"/>
      <c r="F19" s="25"/>
      <c r="G19" s="84"/>
      <c r="H19" s="84" t="s">
        <v>139</v>
      </c>
    </row>
    <row r="20" spans="1:8">
      <c r="A20" s="27">
        <v>15</v>
      </c>
      <c r="B20" s="80" t="s">
        <v>856</v>
      </c>
      <c r="C20" s="80" t="s">
        <v>923</v>
      </c>
      <c r="D20" s="87" t="s">
        <v>93</v>
      </c>
      <c r="E20" s="107"/>
      <c r="F20" s="25"/>
      <c r="G20" s="85"/>
      <c r="H20" s="76" t="s">
        <v>144</v>
      </c>
    </row>
    <row r="21" spans="1:8">
      <c r="A21" s="63">
        <v>16</v>
      </c>
      <c r="B21" s="80" t="s">
        <v>857</v>
      </c>
      <c r="C21" s="80" t="s">
        <v>924</v>
      </c>
      <c r="D21" s="102" t="s">
        <v>237</v>
      </c>
      <c r="E21" s="107"/>
      <c r="F21" s="25"/>
      <c r="G21" s="75"/>
      <c r="H21" s="56"/>
    </row>
    <row r="22" spans="1:8" ht="28">
      <c r="A22" s="27">
        <v>17</v>
      </c>
      <c r="B22" s="84" t="s">
        <v>128</v>
      </c>
      <c r="C22" s="75" t="s">
        <v>117</v>
      </c>
      <c r="D22" s="80" t="s">
        <v>108</v>
      </c>
      <c r="E22" s="75"/>
      <c r="F22" s="25" t="s">
        <v>8</v>
      </c>
      <c r="G22" s="85" t="s">
        <v>134</v>
      </c>
      <c r="H22" s="76" t="s">
        <v>121</v>
      </c>
    </row>
    <row r="23" spans="1:8">
      <c r="A23" s="63">
        <v>18</v>
      </c>
      <c r="B23" s="84" t="s">
        <v>129</v>
      </c>
      <c r="C23" s="75" t="s">
        <v>118</v>
      </c>
      <c r="D23" s="80" t="s">
        <v>112</v>
      </c>
      <c r="E23" s="75"/>
      <c r="F23" s="75"/>
      <c r="G23" s="75"/>
      <c r="H23" s="56" t="s">
        <v>144</v>
      </c>
    </row>
    <row r="24" spans="1:8">
      <c r="A24" s="63">
        <v>19</v>
      </c>
      <c r="B24" s="84" t="s">
        <v>130</v>
      </c>
      <c r="C24" s="75" t="s">
        <v>10</v>
      </c>
      <c r="D24" s="80" t="s">
        <v>110</v>
      </c>
      <c r="E24" s="75"/>
      <c r="F24" s="25" t="s">
        <v>8</v>
      </c>
      <c r="G24" s="84" t="s">
        <v>133</v>
      </c>
      <c r="H24" s="75"/>
    </row>
    <row r="25" spans="1:8">
      <c r="A25" s="27">
        <v>20</v>
      </c>
      <c r="B25" s="84" t="s">
        <v>131</v>
      </c>
      <c r="C25" s="75" t="s">
        <v>119</v>
      </c>
      <c r="D25" s="80" t="s">
        <v>112</v>
      </c>
      <c r="E25" s="75"/>
      <c r="F25" s="75"/>
      <c r="G25" s="75"/>
      <c r="H25" s="56" t="s">
        <v>144</v>
      </c>
    </row>
    <row r="26" spans="1:8">
      <c r="A26" s="63">
        <v>21</v>
      </c>
      <c r="B26" s="84" t="s">
        <v>132</v>
      </c>
      <c r="C26" s="75" t="s">
        <v>11</v>
      </c>
      <c r="D26" s="80" t="s">
        <v>110</v>
      </c>
      <c r="E26" s="75"/>
      <c r="F26" s="25" t="s">
        <v>8</v>
      </c>
      <c r="G26" s="84" t="s">
        <v>133</v>
      </c>
      <c r="H26" s="75"/>
    </row>
    <row r="27" spans="1:8">
      <c r="A27" s="27">
        <v>22</v>
      </c>
      <c r="B27" s="75" t="s">
        <v>120</v>
      </c>
      <c r="C27" s="75" t="s">
        <v>94</v>
      </c>
      <c r="D27" s="80" t="s">
        <v>122</v>
      </c>
      <c r="E27" s="75"/>
      <c r="F27" s="75"/>
      <c r="G27" s="75"/>
      <c r="H27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2:H2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93" t="s">
        <v>0</v>
      </c>
      <c r="C2" s="194"/>
      <c r="E2" s="3"/>
      <c r="F2" s="3"/>
      <c r="G2" s="3"/>
      <c r="H2" s="3"/>
    </row>
    <row r="3" spans="1:8">
      <c r="B3" s="5" t="s">
        <v>656</v>
      </c>
      <c r="C3" s="5" t="s">
        <v>313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291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599</v>
      </c>
      <c r="C7" s="28" t="s">
        <v>600</v>
      </c>
      <c r="D7" s="78" t="s">
        <v>112</v>
      </c>
      <c r="E7" s="25" t="s">
        <v>135</v>
      </c>
      <c r="F7" s="25" t="s">
        <v>8</v>
      </c>
      <c r="G7" s="25"/>
      <c r="H7" s="28" t="s">
        <v>598</v>
      </c>
    </row>
    <row r="8" spans="1:8" s="15" customFormat="1">
      <c r="A8" s="63">
        <v>3</v>
      </c>
      <c r="B8" s="27" t="s">
        <v>281</v>
      </c>
      <c r="C8" s="28" t="s">
        <v>280</v>
      </c>
      <c r="D8" s="78" t="s">
        <v>112</v>
      </c>
      <c r="E8" s="25" t="s">
        <v>601</v>
      </c>
      <c r="F8" s="25" t="s">
        <v>8</v>
      </c>
      <c r="G8" s="25"/>
      <c r="H8" s="28" t="s">
        <v>279</v>
      </c>
    </row>
    <row r="9" spans="1:8" s="62" customFormat="1">
      <c r="A9" s="27">
        <v>4</v>
      </c>
      <c r="B9" s="63" t="s">
        <v>227</v>
      </c>
      <c r="C9" s="64" t="s">
        <v>228</v>
      </c>
      <c r="D9" s="79" t="s">
        <v>93</v>
      </c>
      <c r="E9" s="65"/>
      <c r="F9" s="25" t="s">
        <v>8</v>
      </c>
      <c r="G9" s="65"/>
      <c r="H9" s="64" t="s">
        <v>229</v>
      </c>
    </row>
    <row r="10" spans="1:8" s="62" customFormat="1">
      <c r="A10" s="63">
        <v>5</v>
      </c>
      <c r="B10" s="63" t="s">
        <v>232</v>
      </c>
      <c r="C10" s="64" t="s">
        <v>231</v>
      </c>
      <c r="D10" s="79" t="s">
        <v>230</v>
      </c>
      <c r="E10" s="65"/>
      <c r="F10" s="25"/>
      <c r="G10" s="65"/>
      <c r="H10" s="64"/>
    </row>
    <row r="11" spans="1:8" s="62" customFormat="1">
      <c r="A11" s="27">
        <v>6</v>
      </c>
      <c r="B11" s="80" t="s">
        <v>233</v>
      </c>
      <c r="C11" s="109" t="s">
        <v>239</v>
      </c>
      <c r="D11" s="109" t="s">
        <v>216</v>
      </c>
      <c r="E11" s="104"/>
      <c r="F11" s="25"/>
      <c r="G11" s="65"/>
      <c r="H11" s="68"/>
    </row>
    <row r="12" spans="1:8" s="62" customFormat="1">
      <c r="A12" s="63">
        <v>7</v>
      </c>
      <c r="B12" s="87" t="s">
        <v>235</v>
      </c>
      <c r="C12" s="106" t="s">
        <v>212</v>
      </c>
      <c r="D12" s="87" t="s">
        <v>655</v>
      </c>
      <c r="E12" s="65"/>
      <c r="F12" s="25"/>
      <c r="G12" s="65"/>
      <c r="H12" s="68"/>
    </row>
    <row r="13" spans="1:8" s="62" customFormat="1">
      <c r="A13" s="27">
        <v>8</v>
      </c>
      <c r="B13" s="87" t="s">
        <v>236</v>
      </c>
      <c r="C13" s="106" t="s">
        <v>213</v>
      </c>
      <c r="D13" s="87" t="s">
        <v>170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277</v>
      </c>
      <c r="C14" s="106" t="s">
        <v>276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207</v>
      </c>
      <c r="C15" s="80" t="s">
        <v>245</v>
      </c>
      <c r="D15" s="102" t="s">
        <v>93</v>
      </c>
      <c r="E15" s="107"/>
      <c r="F15" s="25"/>
      <c r="G15" s="84"/>
      <c r="H15" s="84" t="s">
        <v>222</v>
      </c>
    </row>
    <row r="16" spans="1:8" s="57" customFormat="1">
      <c r="A16" s="63">
        <v>11</v>
      </c>
      <c r="B16" s="55" t="s">
        <v>165</v>
      </c>
      <c r="C16" s="56" t="s">
        <v>272</v>
      </c>
      <c r="D16" s="77" t="s">
        <v>112</v>
      </c>
      <c r="E16" s="58"/>
      <c r="F16" s="58"/>
      <c r="G16" s="58"/>
      <c r="H16" s="28" t="s">
        <v>139</v>
      </c>
    </row>
    <row r="17" spans="1:8">
      <c r="A17" s="27">
        <v>12</v>
      </c>
      <c r="B17" s="80" t="s">
        <v>247</v>
      </c>
      <c r="C17" s="80" t="s">
        <v>273</v>
      </c>
      <c r="D17" s="102" t="s">
        <v>93</v>
      </c>
      <c r="E17" s="107"/>
      <c r="F17" s="25"/>
      <c r="G17" s="75"/>
      <c r="H17" s="56" t="s">
        <v>242</v>
      </c>
    </row>
    <row r="18" spans="1:8" ht="28">
      <c r="A18" s="63">
        <v>13</v>
      </c>
      <c r="B18" s="84" t="s">
        <v>128</v>
      </c>
      <c r="C18" s="75" t="s">
        <v>117</v>
      </c>
      <c r="D18" s="80" t="s">
        <v>108</v>
      </c>
      <c r="E18" s="75"/>
      <c r="F18" s="25" t="s">
        <v>8</v>
      </c>
      <c r="G18" s="85" t="s">
        <v>134</v>
      </c>
      <c r="H18" s="76" t="s">
        <v>121</v>
      </c>
    </row>
    <row r="19" spans="1:8">
      <c r="A19" s="27">
        <v>14</v>
      </c>
      <c r="B19" s="84" t="s">
        <v>129</v>
      </c>
      <c r="C19" s="75" t="s">
        <v>118</v>
      </c>
      <c r="D19" s="80" t="s">
        <v>112</v>
      </c>
      <c r="E19" s="75"/>
      <c r="F19" s="75"/>
      <c r="G19" s="75"/>
      <c r="H19" s="56" t="s">
        <v>144</v>
      </c>
    </row>
    <row r="20" spans="1:8">
      <c r="A20" s="63">
        <v>15</v>
      </c>
      <c r="B20" s="84" t="s">
        <v>130</v>
      </c>
      <c r="C20" s="75" t="s">
        <v>10</v>
      </c>
      <c r="D20" s="80" t="s">
        <v>110</v>
      </c>
      <c r="E20" s="75"/>
      <c r="F20" s="25" t="s">
        <v>8</v>
      </c>
      <c r="G20" s="84" t="s">
        <v>133</v>
      </c>
      <c r="H20" s="75"/>
    </row>
    <row r="21" spans="1:8">
      <c r="A21" s="27">
        <v>16</v>
      </c>
      <c r="B21" s="84" t="s">
        <v>131</v>
      </c>
      <c r="C21" s="75" t="s">
        <v>119</v>
      </c>
      <c r="D21" s="80" t="s">
        <v>112</v>
      </c>
      <c r="E21" s="75"/>
      <c r="F21" s="75"/>
      <c r="G21" s="75"/>
      <c r="H21" s="56" t="s">
        <v>144</v>
      </c>
    </row>
    <row r="22" spans="1:8">
      <c r="A22" s="63">
        <v>17</v>
      </c>
      <c r="B22" s="84" t="s">
        <v>132</v>
      </c>
      <c r="C22" s="75" t="s">
        <v>11</v>
      </c>
      <c r="D22" s="80" t="s">
        <v>110</v>
      </c>
      <c r="E22" s="75"/>
      <c r="F22" s="25" t="s">
        <v>8</v>
      </c>
      <c r="G22" s="84" t="s">
        <v>133</v>
      </c>
      <c r="H22" s="75"/>
    </row>
    <row r="23" spans="1:8">
      <c r="A23" s="27">
        <v>18</v>
      </c>
      <c r="B23" s="75" t="s">
        <v>120</v>
      </c>
      <c r="C23" s="75" t="s">
        <v>94</v>
      </c>
      <c r="D23" s="80" t="s">
        <v>122</v>
      </c>
      <c r="E23" s="75"/>
      <c r="F23" s="75"/>
      <c r="G23" s="75"/>
      <c r="H23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H21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651</v>
      </c>
      <c r="C3" s="115" t="s">
        <v>421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314</v>
      </c>
      <c r="D5" s="116" t="s">
        <v>4</v>
      </c>
      <c r="E5" s="116" t="s">
        <v>315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316</v>
      </c>
      <c r="C6" s="119" t="s">
        <v>97</v>
      </c>
      <c r="D6" s="120" t="s">
        <v>317</v>
      </c>
      <c r="E6" s="121" t="s">
        <v>318</v>
      </c>
      <c r="F6" s="122" t="s">
        <v>8</v>
      </c>
      <c r="G6" s="123"/>
      <c r="H6" s="119" t="s">
        <v>86</v>
      </c>
    </row>
    <row r="7" spans="1:8" s="15" customFormat="1">
      <c r="A7" s="27">
        <v>2</v>
      </c>
      <c r="B7" s="27" t="s">
        <v>281</v>
      </c>
      <c r="C7" s="28" t="s">
        <v>280</v>
      </c>
      <c r="D7" s="78" t="s">
        <v>112</v>
      </c>
      <c r="E7" s="25" t="s">
        <v>143</v>
      </c>
      <c r="F7" s="25" t="s">
        <v>8</v>
      </c>
      <c r="G7" s="25"/>
      <c r="H7" s="28" t="s">
        <v>279</v>
      </c>
    </row>
    <row r="8" spans="1:8" s="117" customFormat="1">
      <c r="A8" s="117">
        <v>3</v>
      </c>
      <c r="B8" s="118" t="s">
        <v>320</v>
      </c>
      <c r="C8" s="127" t="s">
        <v>321</v>
      </c>
      <c r="D8" s="120" t="s">
        <v>322</v>
      </c>
      <c r="E8" s="122"/>
      <c r="F8" s="123" t="s">
        <v>319</v>
      </c>
      <c r="G8" s="123"/>
      <c r="H8" s="127" t="s">
        <v>2646</v>
      </c>
    </row>
    <row r="9" spans="1:8" s="124" customFormat="1" ht="28">
      <c r="A9" s="27">
        <v>4</v>
      </c>
      <c r="B9" s="125" t="s">
        <v>428</v>
      </c>
      <c r="C9" s="126" t="s">
        <v>427</v>
      </c>
      <c r="D9" s="120" t="s">
        <v>93</v>
      </c>
      <c r="E9" s="122"/>
      <c r="F9" s="122"/>
      <c r="G9" s="122"/>
      <c r="H9" s="68" t="s">
        <v>429</v>
      </c>
    </row>
    <row r="10" spans="1:8" s="117" customFormat="1">
      <c r="A10" s="117">
        <v>5</v>
      </c>
      <c r="B10" s="118" t="s">
        <v>323</v>
      </c>
      <c r="C10" s="127" t="s">
        <v>324</v>
      </c>
      <c r="D10" s="120" t="s">
        <v>325</v>
      </c>
      <c r="E10" s="123"/>
      <c r="F10" s="123"/>
      <c r="G10" s="123"/>
      <c r="H10" s="127" t="s">
        <v>326</v>
      </c>
    </row>
    <row r="11" spans="1:8" s="117" customFormat="1">
      <c r="A11" s="27">
        <v>6</v>
      </c>
      <c r="B11" s="118" t="s">
        <v>327</v>
      </c>
      <c r="C11" s="127" t="s">
        <v>328</v>
      </c>
      <c r="D11" s="128" t="s">
        <v>493</v>
      </c>
      <c r="E11" s="123"/>
      <c r="F11" s="123"/>
      <c r="G11" s="123"/>
      <c r="H11" s="127" t="s">
        <v>326</v>
      </c>
    </row>
    <row r="12" spans="1:8" s="133" customFormat="1">
      <c r="A12" s="117">
        <v>7</v>
      </c>
      <c r="B12" s="129" t="s">
        <v>148</v>
      </c>
      <c r="C12" s="130" t="s">
        <v>329</v>
      </c>
      <c r="D12" s="131" t="s">
        <v>93</v>
      </c>
      <c r="E12" s="132"/>
      <c r="F12" s="132" t="s">
        <v>8</v>
      </c>
      <c r="G12" s="44"/>
      <c r="H12" s="127" t="s">
        <v>330</v>
      </c>
    </row>
    <row r="13" spans="1:8" s="117" customFormat="1">
      <c r="A13" s="27">
        <v>8</v>
      </c>
      <c r="B13" s="118" t="s">
        <v>331</v>
      </c>
      <c r="C13" s="127" t="s">
        <v>332</v>
      </c>
      <c r="D13" s="128" t="s">
        <v>322</v>
      </c>
      <c r="E13" s="123"/>
      <c r="F13" s="123" t="s">
        <v>8</v>
      </c>
      <c r="G13" s="123"/>
      <c r="H13" s="127" t="s">
        <v>333</v>
      </c>
    </row>
    <row r="14" spans="1:8" s="117" customFormat="1">
      <c r="A14" s="117">
        <v>9</v>
      </c>
      <c r="B14" s="118" t="s">
        <v>334</v>
      </c>
      <c r="C14" s="127" t="s">
        <v>335</v>
      </c>
      <c r="D14" s="128" t="s">
        <v>336</v>
      </c>
      <c r="E14" s="123"/>
      <c r="F14" s="123"/>
      <c r="G14" s="123"/>
      <c r="H14" s="127"/>
    </row>
    <row r="15" spans="1:8" s="117" customFormat="1">
      <c r="A15" s="27">
        <v>10</v>
      </c>
      <c r="B15" s="118" t="s">
        <v>337</v>
      </c>
      <c r="C15" s="127" t="s">
        <v>338</v>
      </c>
      <c r="D15" s="128" t="s">
        <v>93</v>
      </c>
      <c r="E15" s="123"/>
      <c r="F15" s="123"/>
      <c r="G15" s="123"/>
      <c r="H15" s="134" t="s">
        <v>583</v>
      </c>
    </row>
    <row r="16" spans="1:8" ht="28">
      <c r="A16" s="117">
        <v>11</v>
      </c>
      <c r="B16" s="135" t="s">
        <v>340</v>
      </c>
      <c r="C16" s="136" t="s">
        <v>117</v>
      </c>
      <c r="D16" s="109" t="s">
        <v>341</v>
      </c>
      <c r="E16" s="136"/>
      <c r="F16" s="122" t="s">
        <v>8</v>
      </c>
      <c r="G16" s="137" t="s">
        <v>342</v>
      </c>
      <c r="H16" s="138" t="s">
        <v>343</v>
      </c>
    </row>
    <row r="17" spans="1:8">
      <c r="A17" s="27">
        <v>12</v>
      </c>
      <c r="B17" s="135" t="s">
        <v>345</v>
      </c>
      <c r="C17" s="136" t="s">
        <v>118</v>
      </c>
      <c r="D17" s="109" t="s">
        <v>322</v>
      </c>
      <c r="E17" s="136"/>
      <c r="F17" s="136"/>
      <c r="G17" s="136"/>
      <c r="H17" s="134" t="s">
        <v>583</v>
      </c>
    </row>
    <row r="18" spans="1:8">
      <c r="A18" s="117">
        <v>13</v>
      </c>
      <c r="B18" s="135" t="s">
        <v>347</v>
      </c>
      <c r="C18" s="136" t="s">
        <v>10</v>
      </c>
      <c r="D18" s="109" t="s">
        <v>336</v>
      </c>
      <c r="E18" s="136"/>
      <c r="F18" s="122" t="s">
        <v>8</v>
      </c>
      <c r="G18" s="135" t="s">
        <v>348</v>
      </c>
      <c r="H18" s="136"/>
    </row>
    <row r="19" spans="1:8">
      <c r="A19" s="27">
        <v>14</v>
      </c>
      <c r="B19" s="135" t="s">
        <v>349</v>
      </c>
      <c r="C19" s="136" t="s">
        <v>119</v>
      </c>
      <c r="D19" s="109" t="s">
        <v>350</v>
      </c>
      <c r="E19" s="136"/>
      <c r="F19" s="136"/>
      <c r="G19" s="136"/>
      <c r="H19" s="134" t="s">
        <v>583</v>
      </c>
    </row>
    <row r="20" spans="1:8">
      <c r="A20" s="117">
        <v>15</v>
      </c>
      <c r="B20" s="135" t="s">
        <v>352</v>
      </c>
      <c r="C20" s="136" t="s">
        <v>11</v>
      </c>
      <c r="D20" s="109" t="s">
        <v>353</v>
      </c>
      <c r="E20" s="136"/>
      <c r="F20" s="122" t="s">
        <v>8</v>
      </c>
      <c r="G20" s="135" t="s">
        <v>354</v>
      </c>
      <c r="H20" s="136"/>
    </row>
    <row r="21" spans="1:8">
      <c r="A21" s="27">
        <v>16</v>
      </c>
      <c r="B21" s="136" t="s">
        <v>120</v>
      </c>
      <c r="C21" s="136" t="s">
        <v>94</v>
      </c>
      <c r="D21" s="109" t="s">
        <v>355</v>
      </c>
      <c r="E21" s="136"/>
      <c r="F21" s="136"/>
      <c r="G21" s="136"/>
      <c r="H21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H1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622</v>
      </c>
      <c r="C3" s="115" t="s">
        <v>420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395</v>
      </c>
      <c r="D5" s="116" t="s">
        <v>4</v>
      </c>
      <c r="E5" s="116" t="s">
        <v>396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397</v>
      </c>
      <c r="E6" s="121" t="s">
        <v>393</v>
      </c>
      <c r="F6" s="122" t="s">
        <v>8</v>
      </c>
      <c r="G6" s="123"/>
      <c r="H6" s="119" t="s">
        <v>398</v>
      </c>
    </row>
    <row r="7" spans="1:8" s="117" customFormat="1">
      <c r="A7" s="118">
        <v>2</v>
      </c>
      <c r="B7" s="118" t="s">
        <v>399</v>
      </c>
      <c r="C7" s="119" t="s">
        <v>436</v>
      </c>
      <c r="D7" s="120" t="s">
        <v>397</v>
      </c>
      <c r="E7" s="121" t="s">
        <v>394</v>
      </c>
      <c r="F7" s="122" t="s">
        <v>8</v>
      </c>
      <c r="G7" s="123"/>
      <c r="H7" s="119" t="s">
        <v>413</v>
      </c>
    </row>
    <row r="8" spans="1:8" s="139" customFormat="1">
      <c r="A8" s="118">
        <v>3</v>
      </c>
      <c r="B8" s="129" t="s">
        <v>400</v>
      </c>
      <c r="C8" s="130" t="s">
        <v>401</v>
      </c>
      <c r="D8" s="131" t="s">
        <v>402</v>
      </c>
      <c r="E8" s="121"/>
      <c r="F8" s="122" t="s">
        <v>8</v>
      </c>
      <c r="G8" s="132"/>
      <c r="H8" s="130" t="s">
        <v>403</v>
      </c>
    </row>
    <row r="9" spans="1:8" s="124" customFormat="1">
      <c r="A9" s="118">
        <v>4</v>
      </c>
      <c r="B9" s="125" t="s">
        <v>404</v>
      </c>
      <c r="C9" s="126" t="s">
        <v>405</v>
      </c>
      <c r="D9" s="120" t="s">
        <v>406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407</v>
      </c>
      <c r="C10" s="127" t="s">
        <v>408</v>
      </c>
      <c r="D10" s="128" t="s">
        <v>406</v>
      </c>
      <c r="E10" s="123"/>
      <c r="F10" s="122"/>
      <c r="G10" s="123"/>
      <c r="H10" s="127"/>
    </row>
    <row r="11" spans="1:8" s="117" customFormat="1">
      <c r="A11" s="118">
        <v>6</v>
      </c>
      <c r="B11" s="118" t="s">
        <v>409</v>
      </c>
      <c r="C11" s="127" t="s">
        <v>410</v>
      </c>
      <c r="D11" s="128" t="s">
        <v>416</v>
      </c>
      <c r="E11" s="123"/>
      <c r="F11" s="122" t="s">
        <v>8</v>
      </c>
      <c r="G11" s="123"/>
      <c r="H11" s="127"/>
    </row>
    <row r="12" spans="1:8" s="62" customFormat="1">
      <c r="A12" s="118">
        <v>7</v>
      </c>
      <c r="B12" s="63" t="s">
        <v>430</v>
      </c>
      <c r="C12" s="64" t="s">
        <v>412</v>
      </c>
      <c r="D12" s="79" t="s">
        <v>431</v>
      </c>
      <c r="E12" s="65"/>
      <c r="F12" s="65"/>
      <c r="G12" s="65"/>
      <c r="H12" s="64"/>
    </row>
    <row r="13" spans="1:8" s="117" customFormat="1">
      <c r="A13" s="118">
        <v>8</v>
      </c>
      <c r="B13" s="118" t="s">
        <v>414</v>
      </c>
      <c r="C13" s="127" t="s">
        <v>415</v>
      </c>
      <c r="D13" s="128" t="s">
        <v>417</v>
      </c>
      <c r="E13" s="123"/>
      <c r="F13" s="123"/>
      <c r="G13" s="123"/>
      <c r="H13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H1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623</v>
      </c>
      <c r="C3" s="115" t="s">
        <v>587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318</v>
      </c>
      <c r="F6" s="122" t="s">
        <v>8</v>
      </c>
      <c r="G6" s="123"/>
      <c r="H6" s="119" t="s">
        <v>398</v>
      </c>
    </row>
    <row r="7" spans="1:8" s="117" customFormat="1">
      <c r="A7" s="118">
        <v>2</v>
      </c>
      <c r="B7" s="118" t="s">
        <v>399</v>
      </c>
      <c r="C7" s="119" t="s">
        <v>436</v>
      </c>
      <c r="D7" s="120" t="s">
        <v>112</v>
      </c>
      <c r="E7" s="121" t="s">
        <v>135</v>
      </c>
      <c r="F7" s="122" t="s">
        <v>8</v>
      </c>
      <c r="G7" s="123"/>
      <c r="H7" s="119" t="s">
        <v>413</v>
      </c>
    </row>
    <row r="8" spans="1:8" s="117" customFormat="1">
      <c r="A8" s="118">
        <v>3</v>
      </c>
      <c r="B8" s="27" t="s">
        <v>1992</v>
      </c>
      <c r="C8" s="83" t="s">
        <v>2002</v>
      </c>
      <c r="D8" s="144" t="s">
        <v>2007</v>
      </c>
      <c r="E8" s="121"/>
      <c r="F8" s="122" t="s">
        <v>8</v>
      </c>
      <c r="G8" s="123"/>
      <c r="H8" s="119"/>
    </row>
    <row r="9" spans="1:8" s="139" customFormat="1">
      <c r="A9" s="118">
        <v>4</v>
      </c>
      <c r="B9" s="129" t="s">
        <v>644</v>
      </c>
      <c r="C9" s="130" t="s">
        <v>589</v>
      </c>
      <c r="D9" s="131" t="s">
        <v>588</v>
      </c>
      <c r="E9" s="121"/>
      <c r="F9" s="122" t="s">
        <v>8</v>
      </c>
      <c r="G9" s="132"/>
      <c r="H9" s="130"/>
    </row>
    <row r="10" spans="1:8" s="117" customFormat="1">
      <c r="A10" s="118">
        <v>5</v>
      </c>
      <c r="B10" s="118" t="s">
        <v>414</v>
      </c>
      <c r="C10" s="127" t="s">
        <v>158</v>
      </c>
      <c r="D10" s="128" t="s">
        <v>230</v>
      </c>
      <c r="E10" s="123"/>
      <c r="F10" s="123"/>
      <c r="G10" s="123"/>
      <c r="H10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1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624</v>
      </c>
      <c r="C3" s="115" t="s">
        <v>438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395</v>
      </c>
      <c r="D5" s="116" t="s">
        <v>4</v>
      </c>
      <c r="E5" s="116" t="s">
        <v>396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397</v>
      </c>
      <c r="E6" s="121" t="s">
        <v>393</v>
      </c>
      <c r="F6" s="122" t="s">
        <v>8</v>
      </c>
      <c r="G6" s="123"/>
      <c r="H6" s="119" t="s">
        <v>398</v>
      </c>
    </row>
    <row r="7" spans="1:8" s="117" customFormat="1">
      <c r="A7" s="118">
        <v>2</v>
      </c>
      <c r="B7" s="118" t="s">
        <v>399</v>
      </c>
      <c r="C7" s="119" t="s">
        <v>436</v>
      </c>
      <c r="D7" s="120" t="s">
        <v>397</v>
      </c>
      <c r="E7" s="121" t="s">
        <v>394</v>
      </c>
      <c r="F7" s="122" t="s">
        <v>8</v>
      </c>
      <c r="G7" s="123"/>
      <c r="H7" s="119" t="s">
        <v>413</v>
      </c>
    </row>
    <row r="8" spans="1:8" s="139" customFormat="1">
      <c r="A8" s="118">
        <v>3</v>
      </c>
      <c r="B8" s="129" t="s">
        <v>450</v>
      </c>
      <c r="C8" s="130" t="s">
        <v>439</v>
      </c>
      <c r="D8" s="131" t="s">
        <v>444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451</v>
      </c>
      <c r="C9" s="126" t="s">
        <v>440</v>
      </c>
      <c r="D9" s="120" t="s">
        <v>445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453</v>
      </c>
      <c r="C10" s="127" t="s">
        <v>441</v>
      </c>
      <c r="D10" s="128" t="s">
        <v>444</v>
      </c>
      <c r="E10" s="123"/>
      <c r="F10" s="122" t="s">
        <v>8</v>
      </c>
      <c r="G10" s="123"/>
      <c r="H10" s="127"/>
    </row>
    <row r="11" spans="1:8" s="117" customFormat="1">
      <c r="A11" s="27">
        <v>6</v>
      </c>
      <c r="B11" s="118" t="s">
        <v>452</v>
      </c>
      <c r="C11" s="127" t="s">
        <v>442</v>
      </c>
      <c r="D11" s="128" t="s">
        <v>446</v>
      </c>
      <c r="E11" s="123"/>
      <c r="F11" s="122" t="s">
        <v>8</v>
      </c>
      <c r="G11" s="123"/>
      <c r="H11" s="127"/>
    </row>
    <row r="12" spans="1:8" s="62" customFormat="1" ht="42">
      <c r="A12" s="118">
        <v>7</v>
      </c>
      <c r="B12" s="63" t="s">
        <v>454</v>
      </c>
      <c r="C12" s="64" t="s">
        <v>447</v>
      </c>
      <c r="D12" s="128" t="s">
        <v>448</v>
      </c>
      <c r="E12" s="65"/>
      <c r="F12" s="122" t="s">
        <v>8</v>
      </c>
      <c r="G12" s="65"/>
      <c r="H12" s="64" t="s">
        <v>449</v>
      </c>
    </row>
    <row r="13" spans="1:8" s="117" customFormat="1">
      <c r="A13" s="118">
        <v>8</v>
      </c>
      <c r="B13" s="118" t="s">
        <v>414</v>
      </c>
      <c r="C13" s="127" t="s">
        <v>415</v>
      </c>
      <c r="D13" s="128" t="s">
        <v>417</v>
      </c>
      <c r="E13" s="123"/>
      <c r="F13" s="123"/>
      <c r="G13" s="123"/>
      <c r="H13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H11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625</v>
      </c>
      <c r="C3" s="115" t="s">
        <v>455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395</v>
      </c>
      <c r="D5" s="116" t="s">
        <v>4</v>
      </c>
      <c r="E5" s="116" t="s">
        <v>396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397</v>
      </c>
      <c r="E6" s="121" t="s">
        <v>393</v>
      </c>
      <c r="F6" s="122" t="s">
        <v>8</v>
      </c>
      <c r="G6" s="123"/>
      <c r="H6" s="119" t="s">
        <v>398</v>
      </c>
    </row>
    <row r="7" spans="1:8" s="117" customFormat="1">
      <c r="A7" s="118">
        <v>2</v>
      </c>
      <c r="B7" s="118" t="s">
        <v>399</v>
      </c>
      <c r="C7" s="119" t="s">
        <v>436</v>
      </c>
      <c r="D7" s="120" t="s">
        <v>397</v>
      </c>
      <c r="E7" s="121" t="s">
        <v>394</v>
      </c>
      <c r="F7" s="122" t="s">
        <v>8</v>
      </c>
      <c r="G7" s="123"/>
      <c r="H7" s="119" t="s">
        <v>413</v>
      </c>
    </row>
    <row r="8" spans="1:8" s="139" customFormat="1" ht="42">
      <c r="A8" s="118">
        <v>3</v>
      </c>
      <c r="B8" s="129" t="s">
        <v>459</v>
      </c>
      <c r="C8" s="130" t="s">
        <v>456</v>
      </c>
      <c r="D8" s="131" t="s">
        <v>448</v>
      </c>
      <c r="E8" s="121"/>
      <c r="F8" s="122" t="s">
        <v>8</v>
      </c>
      <c r="G8" s="132"/>
      <c r="H8" s="130" t="s">
        <v>462</v>
      </c>
    </row>
    <row r="9" spans="1:8" s="124" customFormat="1">
      <c r="A9" s="27">
        <v>4</v>
      </c>
      <c r="B9" s="125" t="s">
        <v>460</v>
      </c>
      <c r="C9" s="126" t="s">
        <v>457</v>
      </c>
      <c r="D9" s="128" t="s">
        <v>444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461</v>
      </c>
      <c r="C10" s="127" t="s">
        <v>458</v>
      </c>
      <c r="D10" s="128" t="s">
        <v>446</v>
      </c>
      <c r="E10" s="123"/>
      <c r="F10" s="122"/>
      <c r="G10" s="123"/>
      <c r="H10" s="127"/>
    </row>
    <row r="11" spans="1:8" s="117" customFormat="1">
      <c r="A11" s="27">
        <v>6</v>
      </c>
      <c r="B11" s="118" t="s">
        <v>414</v>
      </c>
      <c r="C11" s="127" t="s">
        <v>415</v>
      </c>
      <c r="D11" s="128" t="s">
        <v>417</v>
      </c>
      <c r="E11" s="123"/>
      <c r="F11" s="123"/>
      <c r="G11" s="123"/>
      <c r="H11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H12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626</v>
      </c>
      <c r="C3" s="115" t="s">
        <v>463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395</v>
      </c>
      <c r="D5" s="116" t="s">
        <v>4</v>
      </c>
      <c r="E5" s="116" t="s">
        <v>396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397</v>
      </c>
      <c r="E6" s="121" t="s">
        <v>393</v>
      </c>
      <c r="F6" s="122" t="s">
        <v>8</v>
      </c>
      <c r="G6" s="123"/>
      <c r="H6" s="119" t="s">
        <v>398</v>
      </c>
    </row>
    <row r="7" spans="1:8" s="117" customFormat="1">
      <c r="A7" s="118">
        <v>2</v>
      </c>
      <c r="B7" s="118" t="s">
        <v>399</v>
      </c>
      <c r="C7" s="119" t="s">
        <v>436</v>
      </c>
      <c r="D7" s="120" t="s">
        <v>397</v>
      </c>
      <c r="E7" s="121" t="s">
        <v>394</v>
      </c>
      <c r="F7" s="122" t="s">
        <v>8</v>
      </c>
      <c r="G7" s="123"/>
      <c r="H7" s="119" t="s">
        <v>413</v>
      </c>
    </row>
    <row r="8" spans="1:8" s="139" customFormat="1">
      <c r="A8" s="118">
        <v>3</v>
      </c>
      <c r="B8" s="129" t="s">
        <v>469</v>
      </c>
      <c r="C8" s="130" t="s">
        <v>464</v>
      </c>
      <c r="D8" s="128" t="s">
        <v>475</v>
      </c>
      <c r="E8" s="121"/>
      <c r="F8" s="122" t="s">
        <v>8</v>
      </c>
      <c r="G8" s="132"/>
      <c r="H8" s="130"/>
    </row>
    <row r="9" spans="1:8" s="124" customFormat="1">
      <c r="A9" s="27">
        <v>4</v>
      </c>
      <c r="B9" s="125" t="s">
        <v>470</v>
      </c>
      <c r="C9" s="126" t="s">
        <v>465</v>
      </c>
      <c r="D9" s="128" t="s">
        <v>473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471</v>
      </c>
      <c r="C10" s="127" t="s">
        <v>466</v>
      </c>
      <c r="D10" s="131" t="s">
        <v>448</v>
      </c>
      <c r="E10" s="123"/>
      <c r="F10" s="122" t="s">
        <v>8</v>
      </c>
      <c r="G10" s="123"/>
      <c r="H10" s="127" t="s">
        <v>474</v>
      </c>
    </row>
    <row r="11" spans="1:8" s="117" customFormat="1" ht="42">
      <c r="A11" s="118">
        <v>5</v>
      </c>
      <c r="B11" s="118" t="s">
        <v>472</v>
      </c>
      <c r="C11" s="127" t="s">
        <v>467</v>
      </c>
      <c r="D11" s="131" t="s">
        <v>448</v>
      </c>
      <c r="E11" s="123"/>
      <c r="F11" s="122" t="s">
        <v>8</v>
      </c>
      <c r="G11" s="123"/>
      <c r="H11" s="130" t="s">
        <v>468</v>
      </c>
    </row>
    <row r="12" spans="1:8" s="117" customFormat="1">
      <c r="A12" s="27">
        <v>6</v>
      </c>
      <c r="B12" s="118" t="s">
        <v>414</v>
      </c>
      <c r="C12" s="127" t="s">
        <v>158</v>
      </c>
      <c r="D12" s="128" t="s">
        <v>417</v>
      </c>
      <c r="E12" s="123"/>
      <c r="F12" s="123"/>
      <c r="G12" s="123"/>
      <c r="H12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H1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2120</v>
      </c>
      <c r="C3" s="115" t="s">
        <v>563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395</v>
      </c>
      <c r="D5" s="116" t="s">
        <v>4</v>
      </c>
      <c r="E5" s="116" t="s">
        <v>396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397</v>
      </c>
      <c r="E6" s="121" t="s">
        <v>393</v>
      </c>
      <c r="F6" s="122" t="s">
        <v>8</v>
      </c>
      <c r="G6" s="123"/>
      <c r="H6" s="119" t="s">
        <v>398</v>
      </c>
    </row>
    <row r="7" spans="1:8" s="117" customFormat="1">
      <c r="A7" s="118">
        <v>2</v>
      </c>
      <c r="B7" s="118" t="s">
        <v>399</v>
      </c>
      <c r="C7" s="119" t="s">
        <v>436</v>
      </c>
      <c r="D7" s="120" t="s">
        <v>397</v>
      </c>
      <c r="E7" s="121" t="s">
        <v>394</v>
      </c>
      <c r="F7" s="122" t="s">
        <v>8</v>
      </c>
      <c r="G7" s="123"/>
      <c r="H7" s="119" t="s">
        <v>413</v>
      </c>
    </row>
    <row r="8" spans="1:8" s="139" customFormat="1">
      <c r="A8" s="118">
        <v>3</v>
      </c>
      <c r="B8" s="129" t="s">
        <v>564</v>
      </c>
      <c r="C8" s="130" t="s">
        <v>555</v>
      </c>
      <c r="D8" s="128" t="s">
        <v>104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566</v>
      </c>
      <c r="C9" s="126" t="s">
        <v>556</v>
      </c>
      <c r="D9" s="128" t="s">
        <v>561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568</v>
      </c>
      <c r="C10" s="127" t="s">
        <v>565</v>
      </c>
      <c r="D10" s="131" t="s">
        <v>92</v>
      </c>
      <c r="E10" s="123"/>
      <c r="F10" s="122" t="s">
        <v>8</v>
      </c>
      <c r="G10" s="123"/>
      <c r="H10" s="127" t="s">
        <v>4212</v>
      </c>
    </row>
    <row r="11" spans="1:8" s="117" customFormat="1" ht="28">
      <c r="A11" s="118">
        <v>6</v>
      </c>
      <c r="B11" s="118" t="s">
        <v>569</v>
      </c>
      <c r="C11" s="127" t="s">
        <v>557</v>
      </c>
      <c r="D11" s="131" t="s">
        <v>92</v>
      </c>
      <c r="E11" s="123"/>
      <c r="F11" s="122" t="s">
        <v>8</v>
      </c>
      <c r="G11" s="123"/>
      <c r="H11" s="127" t="s">
        <v>4212</v>
      </c>
    </row>
    <row r="12" spans="1:8" s="117" customFormat="1" ht="28">
      <c r="A12" s="118">
        <v>7</v>
      </c>
      <c r="B12" s="118" t="s">
        <v>570</v>
      </c>
      <c r="C12" s="127" t="s">
        <v>558</v>
      </c>
      <c r="D12" s="128" t="s">
        <v>92</v>
      </c>
      <c r="E12" s="123"/>
      <c r="F12" s="122" t="s">
        <v>8</v>
      </c>
      <c r="G12" s="123"/>
      <c r="H12" s="127" t="s">
        <v>4212</v>
      </c>
    </row>
    <row r="13" spans="1:8" ht="28">
      <c r="A13" s="118">
        <v>8</v>
      </c>
      <c r="B13" s="118" t="s">
        <v>571</v>
      </c>
      <c r="C13" s="127" t="s">
        <v>559</v>
      </c>
      <c r="D13" s="128" t="s">
        <v>92</v>
      </c>
      <c r="E13" s="123"/>
      <c r="F13" s="122" t="s">
        <v>8</v>
      </c>
      <c r="G13" s="123"/>
      <c r="H13" s="127" t="s">
        <v>4212</v>
      </c>
    </row>
    <row r="14" spans="1:8">
      <c r="A14" s="118">
        <v>9</v>
      </c>
      <c r="B14" s="118" t="s">
        <v>567</v>
      </c>
      <c r="C14" s="127" t="s">
        <v>560</v>
      </c>
      <c r="D14" s="128" t="s">
        <v>562</v>
      </c>
      <c r="E14" s="123"/>
      <c r="F14" s="122" t="s">
        <v>8</v>
      </c>
      <c r="G14" s="123"/>
      <c r="H14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H1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764</v>
      </c>
      <c r="C3" s="115" t="s">
        <v>762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318</v>
      </c>
      <c r="F6" s="122" t="s">
        <v>8</v>
      </c>
      <c r="G6" s="123"/>
      <c r="H6" s="119" t="s">
        <v>398</v>
      </c>
    </row>
    <row r="7" spans="1:8" s="117" customFormat="1">
      <c r="A7" s="118">
        <v>2</v>
      </c>
      <c r="B7" s="118" t="s">
        <v>399</v>
      </c>
      <c r="C7" s="119" t="s">
        <v>436</v>
      </c>
      <c r="D7" s="120" t="s">
        <v>112</v>
      </c>
      <c r="E7" s="121" t="s">
        <v>135</v>
      </c>
      <c r="F7" s="122" t="s">
        <v>8</v>
      </c>
      <c r="G7" s="123"/>
      <c r="H7" s="119" t="s">
        <v>413</v>
      </c>
    </row>
    <row r="8" spans="1:8" s="139" customFormat="1">
      <c r="A8" s="118">
        <v>3</v>
      </c>
      <c r="B8" s="129" t="s">
        <v>756</v>
      </c>
      <c r="C8" s="130" t="s">
        <v>755</v>
      </c>
      <c r="D8" s="128" t="s">
        <v>104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759</v>
      </c>
      <c r="C9" s="126" t="s">
        <v>757</v>
      </c>
      <c r="D9" s="131" t="s">
        <v>758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761</v>
      </c>
      <c r="C10" s="127" t="s">
        <v>760</v>
      </c>
      <c r="D10" s="131" t="s">
        <v>758</v>
      </c>
      <c r="E10" s="123"/>
      <c r="F10" s="122" t="s">
        <v>8</v>
      </c>
      <c r="G10" s="123"/>
      <c r="H10" s="127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H11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3474</v>
      </c>
      <c r="C3" s="115" t="s">
        <v>3475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93</v>
      </c>
      <c r="E6" s="121" t="s">
        <v>291</v>
      </c>
      <c r="F6" s="122" t="s">
        <v>8</v>
      </c>
      <c r="G6" s="123"/>
      <c r="H6" s="119" t="s">
        <v>3452</v>
      </c>
    </row>
    <row r="7" spans="1:8" s="117" customFormat="1">
      <c r="A7" s="118">
        <v>2</v>
      </c>
      <c r="B7" s="118" t="s">
        <v>3453</v>
      </c>
      <c r="C7" s="119" t="s">
        <v>3454</v>
      </c>
      <c r="D7" s="120" t="s">
        <v>93</v>
      </c>
      <c r="E7" s="121" t="s">
        <v>897</v>
      </c>
      <c r="F7" s="122" t="s">
        <v>8</v>
      </c>
      <c r="G7" s="123"/>
      <c r="H7" s="119" t="s">
        <v>3455</v>
      </c>
    </row>
    <row r="8" spans="1:8" s="139" customFormat="1" ht="28">
      <c r="A8" s="118">
        <v>3</v>
      </c>
      <c r="B8" s="118" t="s">
        <v>3469</v>
      </c>
      <c r="C8" s="119" t="s">
        <v>3468</v>
      </c>
      <c r="D8" s="120" t="s">
        <v>108</v>
      </c>
      <c r="E8" s="121"/>
      <c r="F8" s="122" t="s">
        <v>8</v>
      </c>
      <c r="G8" s="123"/>
      <c r="H8" s="174" t="s">
        <v>3470</v>
      </c>
    </row>
    <row r="9" spans="1:8" s="124" customFormat="1">
      <c r="A9" s="118">
        <v>4</v>
      </c>
      <c r="B9" s="129" t="s">
        <v>3463</v>
      </c>
      <c r="C9" s="130" t="s">
        <v>555</v>
      </c>
      <c r="D9" s="128" t="s">
        <v>3473</v>
      </c>
      <c r="E9" s="121"/>
      <c r="F9" s="122" t="s">
        <v>8</v>
      </c>
      <c r="G9" s="132"/>
      <c r="H9" s="130"/>
    </row>
    <row r="10" spans="1:8" s="117" customFormat="1">
      <c r="A10" s="118">
        <v>5</v>
      </c>
      <c r="B10" s="125" t="s">
        <v>3464</v>
      </c>
      <c r="C10" s="126" t="s">
        <v>3465</v>
      </c>
      <c r="D10" s="128" t="s">
        <v>3460</v>
      </c>
      <c r="E10" s="122"/>
      <c r="F10" s="122" t="s">
        <v>8</v>
      </c>
      <c r="G10" s="122"/>
      <c r="H10" s="126"/>
    </row>
    <row r="11" spans="1:8">
      <c r="B11" s="118" t="s">
        <v>3466</v>
      </c>
      <c r="C11" s="127" t="s">
        <v>3467</v>
      </c>
      <c r="D11" s="131" t="s">
        <v>3472</v>
      </c>
      <c r="E11" s="123"/>
      <c r="F11" s="122" t="s">
        <v>8</v>
      </c>
      <c r="G11" s="123"/>
      <c r="H11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550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H10"/>
  <sheetViews>
    <sheetView zoomScale="85" zoomScaleNormal="85" workbookViewId="0">
      <pane ySplit="5" topLeftCell="A6" activePane="bottomLeft" state="frozen"/>
      <selection pane="bottomLeft" activeCell="H23" sqref="H2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3476</v>
      </c>
      <c r="C3" s="115" t="s">
        <v>3477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93</v>
      </c>
      <c r="E6" s="121" t="s">
        <v>291</v>
      </c>
      <c r="F6" s="122" t="s">
        <v>8</v>
      </c>
      <c r="G6" s="123"/>
      <c r="H6" s="119" t="s">
        <v>3452</v>
      </c>
    </row>
    <row r="7" spans="1:8" s="117" customFormat="1">
      <c r="A7" s="118">
        <v>2</v>
      </c>
      <c r="B7" s="118" t="s">
        <v>3453</v>
      </c>
      <c r="C7" s="119" t="s">
        <v>3454</v>
      </c>
      <c r="D7" s="120" t="s">
        <v>93</v>
      </c>
      <c r="E7" s="121" t="s">
        <v>897</v>
      </c>
      <c r="F7" s="122" t="s">
        <v>8</v>
      </c>
      <c r="G7" s="123"/>
      <c r="H7" s="119" t="s">
        <v>3455</v>
      </c>
    </row>
    <row r="8" spans="1:8" s="139" customFormat="1">
      <c r="A8" s="118">
        <v>3</v>
      </c>
      <c r="B8" s="118" t="s">
        <v>3456</v>
      </c>
      <c r="C8" s="119" t="s">
        <v>3457</v>
      </c>
      <c r="D8" s="120" t="s">
        <v>402</v>
      </c>
      <c r="E8" s="121"/>
      <c r="F8" s="122" t="s">
        <v>8</v>
      </c>
      <c r="G8" s="123"/>
      <c r="H8" s="174"/>
    </row>
    <row r="9" spans="1:8" s="124" customFormat="1">
      <c r="A9" s="118">
        <v>4</v>
      </c>
      <c r="B9" s="129" t="s">
        <v>3458</v>
      </c>
      <c r="C9" s="130" t="s">
        <v>3459</v>
      </c>
      <c r="D9" s="128" t="s">
        <v>3471</v>
      </c>
      <c r="E9" s="121"/>
      <c r="F9" s="122" t="s">
        <v>8</v>
      </c>
      <c r="G9" s="132"/>
      <c r="H9" s="130"/>
    </row>
    <row r="10" spans="1:8" s="117" customFormat="1">
      <c r="A10" s="118">
        <v>5</v>
      </c>
      <c r="B10" s="125" t="s">
        <v>3461</v>
      </c>
      <c r="C10" s="126" t="s">
        <v>3462</v>
      </c>
      <c r="D10" s="128" t="s">
        <v>3471</v>
      </c>
      <c r="E10" s="122"/>
      <c r="F10" s="122" t="s">
        <v>8</v>
      </c>
      <c r="G10" s="122"/>
      <c r="H10" s="12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H1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28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4207</v>
      </c>
      <c r="C3" s="115" t="s">
        <v>4206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93</v>
      </c>
      <c r="E6" s="121" t="s">
        <v>291</v>
      </c>
      <c r="F6" s="122" t="s">
        <v>8</v>
      </c>
      <c r="G6" s="123"/>
      <c r="H6" s="119" t="s">
        <v>3452</v>
      </c>
    </row>
    <row r="7" spans="1:8" s="117" customFormat="1">
      <c r="A7" s="118">
        <v>2</v>
      </c>
      <c r="B7" s="118" t="s">
        <v>3453</v>
      </c>
      <c r="C7" s="119" t="s">
        <v>3454</v>
      </c>
      <c r="D7" s="120" t="s">
        <v>93</v>
      </c>
      <c r="E7" s="121" t="s">
        <v>897</v>
      </c>
      <c r="F7" s="122" t="s">
        <v>8</v>
      </c>
      <c r="G7" s="123"/>
      <c r="H7" s="119" t="s">
        <v>3455</v>
      </c>
    </row>
    <row r="8" spans="1:8" s="139" customFormat="1">
      <c r="A8" s="118">
        <v>3</v>
      </c>
      <c r="B8" s="129" t="s">
        <v>3463</v>
      </c>
      <c r="C8" s="130" t="s">
        <v>555</v>
      </c>
      <c r="D8" s="128" t="s">
        <v>4196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3464</v>
      </c>
      <c r="C9" s="126" t="s">
        <v>4195</v>
      </c>
      <c r="D9" s="128" t="s">
        <v>3460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4205</v>
      </c>
      <c r="C10" s="127" t="s">
        <v>2885</v>
      </c>
      <c r="D10" s="131" t="s">
        <v>4197</v>
      </c>
      <c r="E10" s="123"/>
      <c r="F10" s="122" t="s">
        <v>8</v>
      </c>
      <c r="G10" s="123"/>
      <c r="H10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H11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28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4209</v>
      </c>
      <c r="C3" s="115" t="s">
        <v>4208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93</v>
      </c>
      <c r="E6" s="121" t="s">
        <v>291</v>
      </c>
      <c r="F6" s="122" t="s">
        <v>8</v>
      </c>
      <c r="G6" s="123"/>
      <c r="H6" s="119" t="s">
        <v>3452</v>
      </c>
    </row>
    <row r="7" spans="1:8" s="117" customFormat="1">
      <c r="A7" s="118">
        <v>2</v>
      </c>
      <c r="B7" s="118" t="s">
        <v>3453</v>
      </c>
      <c r="C7" s="119" t="s">
        <v>3454</v>
      </c>
      <c r="D7" s="120" t="s">
        <v>93</v>
      </c>
      <c r="E7" s="121" t="s">
        <v>897</v>
      </c>
      <c r="F7" s="122" t="s">
        <v>8</v>
      </c>
      <c r="G7" s="123"/>
      <c r="H7" s="119" t="s">
        <v>3455</v>
      </c>
    </row>
    <row r="8" spans="1:8" s="139" customFormat="1">
      <c r="A8" s="118">
        <v>3</v>
      </c>
      <c r="B8" s="129" t="s">
        <v>3463</v>
      </c>
      <c r="C8" s="130" t="s">
        <v>555</v>
      </c>
      <c r="D8" s="128" t="s">
        <v>4196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4204</v>
      </c>
      <c r="C9" s="126" t="s">
        <v>3465</v>
      </c>
      <c r="D9" s="128" t="s">
        <v>4198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3466</v>
      </c>
      <c r="C10" s="127" t="s">
        <v>4193</v>
      </c>
      <c r="D10" s="131" t="s">
        <v>655</v>
      </c>
      <c r="E10" s="123"/>
      <c r="F10" s="122" t="s">
        <v>8</v>
      </c>
      <c r="G10" s="123"/>
      <c r="H10" s="127"/>
    </row>
    <row r="11" spans="1:8">
      <c r="A11" s="118">
        <v>6</v>
      </c>
      <c r="B11" s="118" t="s">
        <v>4203</v>
      </c>
      <c r="C11" s="127" t="s">
        <v>4194</v>
      </c>
      <c r="D11" s="131" t="s">
        <v>655</v>
      </c>
      <c r="E11" s="123"/>
      <c r="F11" s="122" t="s">
        <v>8</v>
      </c>
      <c r="G11" s="123"/>
      <c r="H11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2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H1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4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647</v>
      </c>
      <c r="C3" s="115" t="s">
        <v>646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56" t="s">
        <v>112</v>
      </c>
      <c r="E6" s="121" t="s">
        <v>318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437</v>
      </c>
      <c r="C7" s="119" t="s">
        <v>144</v>
      </c>
      <c r="D7" s="156" t="s">
        <v>112</v>
      </c>
      <c r="E7" s="122" t="s">
        <v>591</v>
      </c>
      <c r="F7" s="122" t="s">
        <v>8</v>
      </c>
      <c r="G7" s="123"/>
      <c r="H7" s="119" t="s">
        <v>144</v>
      </c>
    </row>
    <row r="8" spans="1:8" s="15" customFormat="1">
      <c r="A8" s="118">
        <v>3</v>
      </c>
      <c r="B8" s="27" t="s">
        <v>281</v>
      </c>
      <c r="C8" s="28" t="s">
        <v>280</v>
      </c>
      <c r="D8" s="78" t="s">
        <v>112</v>
      </c>
      <c r="E8" s="25"/>
      <c r="F8" s="25" t="s">
        <v>8</v>
      </c>
      <c r="G8" s="25"/>
      <c r="H8" s="28" t="s">
        <v>279</v>
      </c>
    </row>
    <row r="9" spans="1:8" ht="28">
      <c r="A9" s="118">
        <v>4</v>
      </c>
      <c r="B9" s="135" t="s">
        <v>128</v>
      </c>
      <c r="C9" s="136" t="s">
        <v>117</v>
      </c>
      <c r="D9" s="109" t="s">
        <v>108</v>
      </c>
      <c r="E9" s="136"/>
      <c r="F9" s="122" t="s">
        <v>8</v>
      </c>
      <c r="G9" s="137" t="s">
        <v>134</v>
      </c>
      <c r="H9" s="138" t="s">
        <v>121</v>
      </c>
    </row>
    <row r="10" spans="1:8">
      <c r="A10" s="118">
        <v>5</v>
      </c>
      <c r="B10" s="135" t="s">
        <v>129</v>
      </c>
      <c r="C10" s="136" t="s">
        <v>118</v>
      </c>
      <c r="D10" s="109" t="s">
        <v>112</v>
      </c>
      <c r="E10" s="136"/>
      <c r="F10" s="136"/>
      <c r="G10" s="136"/>
      <c r="H10" s="134" t="s">
        <v>339</v>
      </c>
    </row>
    <row r="11" spans="1:8">
      <c r="A11" s="118">
        <v>6</v>
      </c>
      <c r="B11" s="135" t="s">
        <v>130</v>
      </c>
      <c r="C11" s="136" t="s">
        <v>10</v>
      </c>
      <c r="D11" s="109" t="s">
        <v>110</v>
      </c>
      <c r="E11" s="136"/>
      <c r="F11" s="122" t="s">
        <v>8</v>
      </c>
      <c r="G11" s="135" t="s">
        <v>133</v>
      </c>
      <c r="H11" s="136"/>
    </row>
    <row r="12" spans="1:8">
      <c r="A12" s="118">
        <v>7</v>
      </c>
      <c r="B12" s="135" t="s">
        <v>131</v>
      </c>
      <c r="C12" s="136" t="s">
        <v>119</v>
      </c>
      <c r="D12" s="109" t="s">
        <v>112</v>
      </c>
      <c r="E12" s="136"/>
      <c r="F12" s="136"/>
      <c r="G12" s="136"/>
      <c r="H12" s="134" t="s">
        <v>339</v>
      </c>
    </row>
    <row r="13" spans="1:8">
      <c r="A13" s="118">
        <v>8</v>
      </c>
      <c r="B13" s="135" t="s">
        <v>132</v>
      </c>
      <c r="C13" s="136" t="s">
        <v>11</v>
      </c>
      <c r="D13" s="109" t="s">
        <v>110</v>
      </c>
      <c r="E13" s="136"/>
      <c r="F13" s="122" t="s">
        <v>8</v>
      </c>
      <c r="G13" s="135" t="s">
        <v>133</v>
      </c>
      <c r="H13" s="136"/>
    </row>
    <row r="14" spans="1:8">
      <c r="A14" s="118">
        <v>9</v>
      </c>
      <c r="B14" s="136" t="s">
        <v>120</v>
      </c>
      <c r="C14" s="136" t="s">
        <v>94</v>
      </c>
      <c r="D14" s="152" t="s">
        <v>122</v>
      </c>
      <c r="E14" s="136"/>
      <c r="F14" s="136"/>
      <c r="G14" s="136"/>
      <c r="H14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H1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95" t="s">
        <v>0</v>
      </c>
      <c r="C2" s="196"/>
      <c r="E2" s="114"/>
      <c r="F2" s="114"/>
      <c r="G2" s="114"/>
      <c r="H2" s="114"/>
    </row>
    <row r="3" spans="1:8">
      <c r="B3" s="115" t="s">
        <v>628</v>
      </c>
      <c r="C3" s="115" t="s">
        <v>435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314</v>
      </c>
      <c r="D5" s="116" t="s">
        <v>4</v>
      </c>
      <c r="E5" s="116" t="s">
        <v>315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316</v>
      </c>
      <c r="C6" s="119" t="s">
        <v>97</v>
      </c>
      <c r="D6" s="120" t="s">
        <v>317</v>
      </c>
      <c r="E6" s="121" t="s">
        <v>318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399</v>
      </c>
      <c r="C7" s="119" t="s">
        <v>436</v>
      </c>
      <c r="D7" s="122" t="s">
        <v>397</v>
      </c>
      <c r="E7" s="121" t="s">
        <v>394</v>
      </c>
      <c r="F7" s="122" t="s">
        <v>8</v>
      </c>
      <c r="G7" s="123"/>
      <c r="H7" s="119" t="s">
        <v>413</v>
      </c>
    </row>
    <row r="8" spans="1:8" s="15" customFormat="1">
      <c r="A8" s="27">
        <v>3</v>
      </c>
      <c r="B8" s="27" t="s">
        <v>281</v>
      </c>
      <c r="C8" s="28" t="s">
        <v>280</v>
      </c>
      <c r="D8" s="78" t="s">
        <v>112</v>
      </c>
      <c r="E8" s="25"/>
      <c r="F8" s="25" t="s">
        <v>8</v>
      </c>
      <c r="G8" s="25"/>
      <c r="H8" s="28" t="s">
        <v>279</v>
      </c>
    </row>
    <row r="9" spans="1:8" s="117" customFormat="1">
      <c r="A9" s="117">
        <v>4</v>
      </c>
      <c r="B9" s="118" t="s">
        <v>320</v>
      </c>
      <c r="C9" s="127" t="s">
        <v>321</v>
      </c>
      <c r="D9" s="120" t="s">
        <v>322</v>
      </c>
      <c r="E9" s="122"/>
      <c r="F9" s="123" t="s">
        <v>319</v>
      </c>
      <c r="G9" s="123"/>
      <c r="H9" s="127" t="s">
        <v>390</v>
      </c>
    </row>
    <row r="10" spans="1:8" s="133" customFormat="1">
      <c r="A10" s="118">
        <v>5</v>
      </c>
      <c r="B10" s="129" t="s">
        <v>148</v>
      </c>
      <c r="C10" s="130" t="s">
        <v>329</v>
      </c>
      <c r="D10" s="131" t="s">
        <v>93</v>
      </c>
      <c r="E10" s="132"/>
      <c r="F10" s="132" t="s">
        <v>8</v>
      </c>
      <c r="G10" s="44"/>
      <c r="H10" s="127" t="s">
        <v>330</v>
      </c>
    </row>
    <row r="11" spans="1:8" s="117" customFormat="1">
      <c r="A11" s="27">
        <v>6</v>
      </c>
      <c r="B11" s="118" t="s">
        <v>331</v>
      </c>
      <c r="C11" s="127" t="s">
        <v>332</v>
      </c>
      <c r="D11" s="128" t="s">
        <v>322</v>
      </c>
      <c r="E11" s="123"/>
      <c r="F11" s="123" t="s">
        <v>8</v>
      </c>
      <c r="G11" s="123"/>
      <c r="H11" s="127" t="s">
        <v>333</v>
      </c>
    </row>
    <row r="12" spans="1:8" s="117" customFormat="1">
      <c r="A12" s="117">
        <v>7</v>
      </c>
      <c r="B12" s="118" t="s">
        <v>334</v>
      </c>
      <c r="C12" s="127" t="s">
        <v>335</v>
      </c>
      <c r="D12" s="128" t="s">
        <v>336</v>
      </c>
      <c r="E12" s="123"/>
      <c r="F12" s="123"/>
      <c r="G12" s="123"/>
      <c r="H12" s="127"/>
    </row>
    <row r="13" spans="1:8" s="117" customFormat="1">
      <c r="A13" s="118">
        <v>8</v>
      </c>
      <c r="B13" s="118" t="s">
        <v>437</v>
      </c>
      <c r="C13" s="127" t="s">
        <v>389</v>
      </c>
      <c r="D13" s="128" t="s">
        <v>93</v>
      </c>
      <c r="E13" s="123"/>
      <c r="F13" s="123"/>
      <c r="G13" s="123"/>
      <c r="H13" s="134" t="s">
        <v>389</v>
      </c>
    </row>
    <row r="14" spans="1:8" ht="28">
      <c r="A14" s="27">
        <v>9</v>
      </c>
      <c r="B14" s="135" t="s">
        <v>340</v>
      </c>
      <c r="C14" s="136" t="s">
        <v>117</v>
      </c>
      <c r="D14" s="109" t="s">
        <v>341</v>
      </c>
      <c r="E14" s="136"/>
      <c r="F14" s="122" t="s">
        <v>8</v>
      </c>
      <c r="G14" s="137" t="s">
        <v>342</v>
      </c>
      <c r="H14" s="138" t="s">
        <v>343</v>
      </c>
    </row>
    <row r="15" spans="1:8">
      <c r="A15" s="117">
        <v>10</v>
      </c>
      <c r="B15" s="135" t="s">
        <v>345</v>
      </c>
      <c r="C15" s="136" t="s">
        <v>118</v>
      </c>
      <c r="D15" s="109" t="s">
        <v>322</v>
      </c>
      <c r="E15" s="136"/>
      <c r="F15" s="136"/>
      <c r="G15" s="136"/>
      <c r="H15" s="134" t="s">
        <v>389</v>
      </c>
    </row>
    <row r="16" spans="1:8">
      <c r="A16" s="118">
        <v>11</v>
      </c>
      <c r="B16" s="135" t="s">
        <v>347</v>
      </c>
      <c r="C16" s="136" t="s">
        <v>10</v>
      </c>
      <c r="D16" s="109" t="s">
        <v>336</v>
      </c>
      <c r="E16" s="136"/>
      <c r="F16" s="122" t="s">
        <v>8</v>
      </c>
      <c r="G16" s="135" t="s">
        <v>348</v>
      </c>
      <c r="H16" s="136"/>
    </row>
    <row r="17" spans="1:8">
      <c r="A17" s="27">
        <v>12</v>
      </c>
      <c r="B17" s="135" t="s">
        <v>349</v>
      </c>
      <c r="C17" s="136" t="s">
        <v>119</v>
      </c>
      <c r="D17" s="109" t="s">
        <v>350</v>
      </c>
      <c r="E17" s="136"/>
      <c r="F17" s="136"/>
      <c r="G17" s="136"/>
      <c r="H17" s="134" t="s">
        <v>389</v>
      </c>
    </row>
    <row r="18" spans="1:8">
      <c r="A18" s="117">
        <v>13</v>
      </c>
      <c r="B18" s="135" t="s">
        <v>352</v>
      </c>
      <c r="C18" s="136" t="s">
        <v>11</v>
      </c>
      <c r="D18" s="109" t="s">
        <v>353</v>
      </c>
      <c r="E18" s="136"/>
      <c r="F18" s="122" t="s">
        <v>8</v>
      </c>
      <c r="G18" s="135" t="s">
        <v>354</v>
      </c>
      <c r="H18" s="136"/>
    </row>
    <row r="19" spans="1:8">
      <c r="A19" s="118">
        <v>14</v>
      </c>
      <c r="B19" s="136" t="s">
        <v>120</v>
      </c>
      <c r="C19" s="136" t="s">
        <v>94</v>
      </c>
      <c r="D19" s="109" t="s">
        <v>355</v>
      </c>
      <c r="E19" s="136"/>
      <c r="F19" s="136"/>
      <c r="G19" s="136"/>
      <c r="H19" s="136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"/>
  <sheetData/>
  <phoneticPr fontId="3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修改履历</vt:lpstr>
      <vt:lpstr>目录</vt:lpstr>
      <vt:lpstr>Sheet1</vt:lpstr>
      <vt:lpstr>居民签约信息推送表</vt:lpstr>
      <vt:lpstr>护理通用字典表</vt:lpstr>
      <vt:lpstr>护理通用字典表(数据)</vt:lpstr>
      <vt:lpstr>疾病诊断字典表</vt:lpstr>
      <vt:lpstr>护理记录单文书字典</vt:lpstr>
      <vt:lpstr>护理记录单文书字典(数据)</vt:lpstr>
      <vt:lpstr>护理记录单文书表单字典</vt:lpstr>
      <vt:lpstr>护理记录单文书表单字典(数据)</vt:lpstr>
      <vt:lpstr>护理记录单文书项目字典</vt:lpstr>
      <vt:lpstr>护理记录单文书项目字典(数据)</vt:lpstr>
      <vt:lpstr>护理档案分类记录文书对照表</vt:lpstr>
      <vt:lpstr>护理档案分类指导建议表</vt:lpstr>
      <vt:lpstr>护理档案分类机构对照表</vt:lpstr>
      <vt:lpstr>护理记录模板表</vt:lpstr>
      <vt:lpstr>护理项目字典表</vt:lpstr>
      <vt:lpstr>治疗室表</vt:lpstr>
      <vt:lpstr>护理病人登记信息</vt:lpstr>
      <vt:lpstr>支持中心每日结算表</vt:lpstr>
      <vt:lpstr>护理每日结算表</vt:lpstr>
      <vt:lpstr>病人护理项目医嘱</vt:lpstr>
      <vt:lpstr>病人护理项目执行记录</vt:lpstr>
      <vt:lpstr>病人需求评估</vt:lpstr>
      <vt:lpstr>病人护理项目评估建议</vt:lpstr>
      <vt:lpstr>病人护理记录单文书索引表</vt:lpstr>
      <vt:lpstr>病人护理记录单明细项表</vt:lpstr>
      <vt:lpstr>图片影像存储表</vt:lpstr>
      <vt:lpstr>既往病史评估表_手术史</vt:lpstr>
      <vt:lpstr>既往病史评估表_过敏史</vt:lpstr>
      <vt:lpstr>既往病史评估表_家族史</vt:lpstr>
      <vt:lpstr>糖尿病随访记录单_服药情况</vt:lpstr>
      <vt:lpstr>居家营养方案_营养补充剂</vt:lpstr>
      <vt:lpstr>手指血糖监测记录单_用药情况</vt:lpstr>
      <vt:lpstr>手指血糖监测记录单_运动情况</vt:lpstr>
      <vt:lpstr>慢阻肺护理记录单_雾化吸入</vt:lpstr>
      <vt:lpstr>持续疼痛评估表_处方药使用情况</vt:lpstr>
      <vt:lpstr>医师病人关注表</vt:lpstr>
      <vt:lpstr>打印记录表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2019-06-05T06:25:10Z</cp:lastPrinted>
  <dcterms:created xsi:type="dcterms:W3CDTF">2006-09-13T11:21:00Z</dcterms:created>
  <dcterms:modified xsi:type="dcterms:W3CDTF">2024-09-18T06:39:18Z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2052-9.1.0.4940</vt:lpwstr>
  </property>
</Properties>
</file>